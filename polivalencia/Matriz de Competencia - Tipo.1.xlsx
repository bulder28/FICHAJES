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VF\Produccion\04. Matriz de polivalencia\"/>
    </mc:Choice>
  </mc:AlternateContent>
  <xr:revisionPtr revIDLastSave="0" documentId="13_ncr:1_{4D5B08CE-A60E-4116-A776-7D06650BA69E}" xr6:coauthVersionLast="47" xr6:coauthVersionMax="47" xr10:uidLastSave="{00000000-0000-0000-0000-000000000000}"/>
  <bookViews>
    <workbookView xWindow="-120" yWindow="-120" windowWidth="29040" windowHeight="15720" xr2:uid="{88488FD6-BFDE-4690-ACFD-5307EBD11099}"/>
  </bookViews>
  <sheets>
    <sheet name="Matriz tipo" sheetId="6" r:id="rId1"/>
  </sheets>
  <definedNames>
    <definedName name="_xlnm.Print_Area" localSheetId="0">'Matriz tipo'!$A$1:$CK$85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81" i="6" l="1"/>
  <c r="CC81" i="6"/>
  <c r="CC82" i="6" s="1"/>
  <c r="CA81" i="6"/>
  <c r="BY81" i="6"/>
  <c r="BW81" i="6"/>
  <c r="BU81" i="6"/>
  <c r="BU82" i="6" s="1"/>
  <c r="BS81" i="6"/>
  <c r="BQ81" i="6"/>
  <c r="BQ82" i="6" s="1"/>
  <c r="BO81" i="6"/>
  <c r="BM81" i="6"/>
  <c r="BK81" i="6"/>
  <c r="BI81" i="6"/>
  <c r="BI82" i="6" s="1"/>
  <c r="BG81" i="6"/>
  <c r="BE81" i="6"/>
  <c r="BE82" i="6" s="1"/>
  <c r="BC81" i="6"/>
  <c r="BA81" i="6"/>
  <c r="AY81" i="6"/>
  <c r="AW81" i="6"/>
  <c r="AW82" i="6" s="1"/>
  <c r="AU81" i="6"/>
  <c r="AS82" i="6" s="1"/>
  <c r="AS81" i="6"/>
  <c r="AQ81" i="6"/>
  <c r="AO81" i="6"/>
  <c r="AM81" i="6"/>
  <c r="AK81" i="6"/>
  <c r="AK82" i="6" s="1"/>
  <c r="AI81" i="6"/>
  <c r="AG81" i="6"/>
  <c r="AE81" i="6"/>
  <c r="AC81" i="6"/>
  <c r="AA81" i="6"/>
  <c r="Y81" i="6"/>
  <c r="Y82" i="6" s="1"/>
  <c r="W81" i="6"/>
  <c r="U81" i="6"/>
  <c r="U82" i="6" s="1"/>
  <c r="S81" i="6"/>
  <c r="Q81" i="6"/>
  <c r="Q82" i="6" s="1"/>
  <c r="O81" i="6"/>
  <c r="M81" i="6"/>
  <c r="M82" i="6" s="1"/>
  <c r="K81" i="6"/>
  <c r="I81" i="6"/>
  <c r="I82" i="6" s="1"/>
  <c r="G81" i="6"/>
  <c r="E81" i="6"/>
  <c r="CI79" i="6"/>
  <c r="CH79" i="6"/>
  <c r="CI78" i="6"/>
  <c r="CJ77" i="6" s="1"/>
  <c r="CI75" i="6"/>
  <c r="CH75" i="6"/>
  <c r="CI74" i="6"/>
  <c r="CJ73" i="6"/>
  <c r="CI71" i="6"/>
  <c r="CH71" i="6"/>
  <c r="CI70" i="6"/>
  <c r="CJ69" i="6" s="1"/>
  <c r="CI67" i="6"/>
  <c r="CH67" i="6"/>
  <c r="CI66" i="6"/>
  <c r="CJ65" i="6" s="1"/>
  <c r="CI63" i="6"/>
  <c r="CH63" i="6"/>
  <c r="CI62" i="6"/>
  <c r="CJ61" i="6" s="1"/>
  <c r="CI59" i="6"/>
  <c r="CH59" i="6"/>
  <c r="CI58" i="6"/>
  <c r="CJ57" i="6" s="1"/>
  <c r="CI55" i="6"/>
  <c r="CH55" i="6"/>
  <c r="CI54" i="6"/>
  <c r="CJ53" i="6" s="1"/>
  <c r="CI51" i="6"/>
  <c r="CH51" i="6"/>
  <c r="CI50" i="6"/>
  <c r="CJ49" i="6"/>
  <c r="CI47" i="6"/>
  <c r="CH47" i="6"/>
  <c r="CI46" i="6"/>
  <c r="CJ45" i="6" s="1"/>
  <c r="CI43" i="6"/>
  <c r="CH43" i="6"/>
  <c r="CI42" i="6"/>
  <c r="CJ41" i="6" s="1"/>
  <c r="CI39" i="6"/>
  <c r="CH39" i="6"/>
  <c r="CI38" i="6"/>
  <c r="CJ37" i="6"/>
  <c r="CI35" i="6"/>
  <c r="CH35" i="6"/>
  <c r="CI34" i="6"/>
  <c r="CJ33" i="6" s="1"/>
  <c r="CI31" i="6"/>
  <c r="CH31" i="6"/>
  <c r="CI30" i="6"/>
  <c r="CJ29" i="6" s="1"/>
  <c r="CI27" i="6"/>
  <c r="CH27" i="6"/>
  <c r="CI26" i="6"/>
  <c r="CJ25" i="6"/>
  <c r="CI23" i="6"/>
  <c r="CH23" i="6"/>
  <c r="CI22" i="6"/>
  <c r="CJ21" i="6" s="1"/>
  <c r="CI19" i="6"/>
  <c r="CH19" i="6"/>
  <c r="CI18" i="6"/>
  <c r="CJ17" i="6" s="1"/>
  <c r="CI15" i="6"/>
  <c r="CH15" i="6"/>
  <c r="CI14" i="6"/>
  <c r="CJ13" i="6"/>
  <c r="AG82" i="6" l="1"/>
  <c r="BM82" i="6"/>
  <c r="AO82" i="6"/>
  <c r="E82" i="6"/>
  <c r="AC82" i="6"/>
  <c r="BA82" i="6"/>
  <c r="BY82" i="6"/>
  <c r="CJ82" i="6" l="1"/>
</calcChain>
</file>

<file path=xl/sharedStrings.xml><?xml version="1.0" encoding="utf-8"?>
<sst xmlns="http://schemas.openxmlformats.org/spreadsheetml/2006/main" count="24" uniqueCount="23">
  <si>
    <t>Actualizado:</t>
  </si>
  <si>
    <t>Mmm 202X</t>
  </si>
  <si>
    <t>Próxima actualización:</t>
  </si>
  <si>
    <t>Responsable</t>
  </si>
  <si>
    <t>Legenda</t>
  </si>
  <si>
    <t>Fecha de actualización</t>
  </si>
  <si>
    <t>Sin entrenamiento</t>
  </si>
  <si>
    <t>En entrenamiento (básico)</t>
  </si>
  <si>
    <t>Necesita supervisión</t>
  </si>
  <si>
    <t>Cualificado</t>
  </si>
  <si>
    <t>Experto, puede enseñar / supervisar</t>
  </si>
  <si>
    <t>Ok</t>
  </si>
  <si>
    <t>Multiplicar la cualificación</t>
  </si>
  <si>
    <t>Crear plan de formación</t>
  </si>
  <si>
    <t># Personas</t>
  </si>
  <si>
    <t>Habilidades</t>
  </si>
  <si>
    <t>Nombre</t>
  </si>
  <si>
    <t>Objetivo</t>
  </si>
  <si>
    <t>Actual</t>
  </si>
  <si>
    <t>Status</t>
  </si>
  <si>
    <t>Status de Competencia</t>
  </si>
  <si>
    <t>Grado de Formación</t>
  </si>
  <si>
    <t>Formación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</si>
</sst>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indexed="50"/>
      <name val="Arial"/>
      <family val="2"/>
    </font>
    <font>
      <sz val="10"/>
      <color theme="0" tint="-0.14999847407452621"/>
      <name val="Arial"/>
      <family val="2"/>
    </font>
    <font>
      <b/>
      <sz val="10"/>
      <name val="Arial"/>
      <family val="2"/>
    </font>
    <font>
      <sz val="14"/>
      <color theme="4" tint="-0.249977111117893"/>
      <name val="Wingdings 3"/>
      <family val="1"/>
      <charset val="2"/>
    </font>
    <font>
      <sz val="9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color theme="1"/>
      <name val="Aptos Narrow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4" tint="0.39988402966399123"/>
      </left>
      <right style="thin">
        <color theme="4" tint="0.39988402966399123"/>
      </right>
      <top/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7924741355632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4" tint="0.39988402966399123"/>
      </left>
      <right/>
      <top/>
      <bottom/>
      <diagonal/>
    </border>
    <border>
      <left style="thin">
        <color theme="4" tint="0.39988402966399123"/>
      </left>
      <right style="thin">
        <color theme="4" tint="0.39979247413556324"/>
      </right>
      <top/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0" xfId="0" applyFill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0" xfId="0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9" fillId="0" borderId="7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6" fillId="0" borderId="4" xfId="0" applyFont="1" applyBorder="1" applyProtection="1">
      <protection locked="0"/>
    </xf>
    <xf numFmtId="0" fontId="7" fillId="2" borderId="0" xfId="0" applyFont="1" applyFill="1" applyAlignment="1">
      <alignment horizontal="center"/>
    </xf>
    <xf numFmtId="0" fontId="11" fillId="0" borderId="0" xfId="0" applyFont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6" fillId="6" borderId="4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14" fillId="2" borderId="0" xfId="0" applyFont="1" applyFill="1" applyAlignment="1">
      <alignment horizontal="center"/>
    </xf>
    <xf numFmtId="9" fontId="17" fillId="2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49" fontId="0" fillId="2" borderId="20" xfId="0" applyNumberFormat="1" applyFill="1" applyBorder="1" applyAlignment="1">
      <alignment horizontal="center" vertical="center" wrapText="1"/>
    </xf>
    <xf numFmtId="1" fontId="5" fillId="2" borderId="21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49" fontId="0" fillId="2" borderId="9" xfId="0" applyNumberFormat="1" applyFill="1" applyBorder="1" applyAlignment="1">
      <alignment horizontal="center" vertical="center" wrapText="1"/>
    </xf>
    <xf numFmtId="1" fontId="5" fillId="2" borderId="12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/>
    </xf>
    <xf numFmtId="17" fontId="20" fillId="0" borderId="0" xfId="0" quotePrefix="1" applyNumberFormat="1" applyFont="1"/>
    <xf numFmtId="0" fontId="20" fillId="0" borderId="0" xfId="0" applyFont="1" applyAlignment="1">
      <alignment horizontal="right" vertical="top"/>
    </xf>
    <xf numFmtId="0" fontId="20" fillId="0" borderId="0" xfId="0" quotePrefix="1" applyFont="1" applyAlignment="1">
      <alignment vertical="top"/>
    </xf>
    <xf numFmtId="9" fontId="16" fillId="0" borderId="18" xfId="0" applyNumberFormat="1" applyFont="1" applyBorder="1" applyAlignment="1">
      <alignment horizontal="center" vertical="center"/>
    </xf>
    <xf numFmtId="9" fontId="16" fillId="0" borderId="19" xfId="0" applyNumberFormat="1" applyFont="1" applyBorder="1" applyAlignment="1">
      <alignment horizontal="center" vertical="center"/>
    </xf>
    <xf numFmtId="9" fontId="16" fillId="0" borderId="11" xfId="1" applyFont="1" applyBorder="1" applyAlignment="1">
      <alignment horizontal="center" vertical="center"/>
    </xf>
    <xf numFmtId="9" fontId="16" fillId="0" borderId="16" xfId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8" fillId="7" borderId="8" xfId="0" applyFont="1" applyFill="1" applyBorder="1" applyAlignment="1">
      <alignment horizontal="center" vertical="center" wrapText="1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18" fillId="0" borderId="8" xfId="0" applyFont="1" applyBorder="1" applyAlignment="1" applyProtection="1">
      <alignment horizontal="left" vertical="center" wrapText="1"/>
      <protection locked="0"/>
    </xf>
    <xf numFmtId="0" fontId="0" fillId="0" borderId="8" xfId="0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9" fillId="7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49" fontId="18" fillId="7" borderId="8" xfId="0" applyNumberFormat="1" applyFont="1" applyFill="1" applyBorder="1" applyAlignment="1">
      <alignment horizontal="center" vertical="center"/>
    </xf>
    <xf numFmtId="49" fontId="18" fillId="7" borderId="20" xfId="0" applyNumberFormat="1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 wrapText="1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8" fillId="7" borderId="8" xfId="0" applyFont="1" applyFill="1" applyBorder="1" applyAlignment="1">
      <alignment horizontal="center" vertical="center"/>
    </xf>
    <xf numFmtId="0" fontId="18" fillId="0" borderId="8" xfId="0" applyFont="1" applyBorder="1" applyAlignment="1" applyProtection="1">
      <alignment horizontal="center" vertical="center"/>
      <protection locked="0"/>
    </xf>
    <xf numFmtId="14" fontId="18" fillId="0" borderId="8" xfId="0" applyNumberFormat="1" applyFont="1" applyBorder="1" applyAlignment="1" applyProtection="1">
      <alignment horizontal="center" vertical="center"/>
      <protection locked="0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20" fillId="3" borderId="8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1384">
    <dxf>
      <font>
        <color theme="6" tint="0.39994506668294322"/>
      </font>
      <fill>
        <patternFill>
          <bgColor theme="6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14</xdr:col>
      <xdr:colOff>158320</xdr:colOff>
      <xdr:row>1</xdr:row>
      <xdr:rowOff>425824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4737B6D9-ACD4-495A-96C7-3C3D2DB14640}"/>
            </a:ext>
          </a:extLst>
        </xdr:cNvPr>
        <xdr:cNvSpPr txBox="1"/>
      </xdr:nvSpPr>
      <xdr:spPr>
        <a:xfrm>
          <a:off x="213879" y="1"/>
          <a:ext cx="5316541" cy="930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XXX - Turno x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27CA-440E-41B3-AABA-C190B33FC267}">
  <sheetPr>
    <pageSetUpPr fitToPage="1"/>
  </sheetPr>
  <dimension ref="B1:EE85"/>
  <sheetViews>
    <sheetView showGridLines="0" tabSelected="1" zoomScale="85" zoomScaleNormal="85" workbookViewId="0">
      <selection activeCell="CI63" sqref="CI63:CI64"/>
    </sheetView>
  </sheetViews>
  <sheetFormatPr baseColWidth="10" defaultColWidth="10" defaultRowHeight="15" x14ac:dyDescent="0.25"/>
  <cols>
    <col min="1" max="1" width="2.42578125" customWidth="1"/>
    <col min="2" max="2" width="32.140625" customWidth="1"/>
    <col min="3" max="3" width="22.42578125" customWidth="1"/>
    <col min="4" max="4" width="0.7109375" style="1" customWidth="1"/>
    <col min="5" max="5" width="2" customWidth="1"/>
    <col min="6" max="7" width="2.5703125" customWidth="1"/>
    <col min="8" max="9" width="2" customWidth="1"/>
    <col min="10" max="11" width="2.5703125" customWidth="1"/>
    <col min="12" max="13" width="2" customWidth="1"/>
    <col min="14" max="15" width="2.5703125" customWidth="1"/>
    <col min="16" max="17" width="2" customWidth="1"/>
    <col min="18" max="19" width="2.5703125" customWidth="1"/>
    <col min="20" max="21" width="2" customWidth="1"/>
    <col min="22" max="23" width="2.5703125" customWidth="1"/>
    <col min="24" max="25" width="2" customWidth="1"/>
    <col min="26" max="27" width="2.5703125" customWidth="1"/>
    <col min="28" max="29" width="2" customWidth="1"/>
    <col min="30" max="31" width="2.5703125" customWidth="1"/>
    <col min="32" max="33" width="2" customWidth="1"/>
    <col min="34" max="35" width="2.5703125" customWidth="1"/>
    <col min="36" max="37" width="2" customWidth="1"/>
    <col min="38" max="39" width="2.5703125" customWidth="1"/>
    <col min="40" max="41" width="2" customWidth="1"/>
    <col min="42" max="43" width="2.5703125" customWidth="1"/>
    <col min="44" max="45" width="2" customWidth="1"/>
    <col min="46" max="47" width="2.5703125" customWidth="1"/>
    <col min="48" max="49" width="2" customWidth="1"/>
    <col min="50" max="51" width="2.5703125" customWidth="1"/>
    <col min="52" max="53" width="2" customWidth="1"/>
    <col min="54" max="55" width="2.5703125" customWidth="1"/>
    <col min="56" max="57" width="2" customWidth="1"/>
    <col min="58" max="59" width="2.5703125" customWidth="1"/>
    <col min="60" max="61" width="2" customWidth="1"/>
    <col min="62" max="63" width="2.5703125" customWidth="1"/>
    <col min="64" max="65" width="2" customWidth="1"/>
    <col min="66" max="67" width="2.5703125" customWidth="1"/>
    <col min="68" max="69" width="2" customWidth="1"/>
    <col min="70" max="71" width="2.5703125" customWidth="1"/>
    <col min="72" max="73" width="2" customWidth="1"/>
    <col min="74" max="75" width="2.5703125" customWidth="1"/>
    <col min="76" max="77" width="2" customWidth="1"/>
    <col min="78" max="79" width="2.5703125" customWidth="1"/>
    <col min="80" max="81" width="2" customWidth="1"/>
    <col min="82" max="83" width="2.5703125" customWidth="1"/>
    <col min="84" max="84" width="2" customWidth="1"/>
    <col min="85" max="85" width="0.7109375" style="1" customWidth="1"/>
    <col min="86" max="87" width="15.42578125" style="2" customWidth="1"/>
    <col min="88" max="88" width="13.7109375" customWidth="1"/>
    <col min="89" max="89" width="2.42578125" customWidth="1"/>
    <col min="90" max="91" width="8.140625" customWidth="1"/>
    <col min="92" max="105" width="8.140625" style="3" customWidth="1"/>
    <col min="106" max="110" width="8.140625" customWidth="1"/>
    <col min="111" max="115" width="9.42578125" customWidth="1"/>
    <col min="116" max="117" width="9.42578125" style="3" customWidth="1"/>
    <col min="118" max="130" width="9.42578125" customWidth="1"/>
    <col min="131" max="132" width="1.28515625" customWidth="1"/>
    <col min="133" max="134" width="2.42578125" customWidth="1"/>
    <col min="135" max="135" width="1.28515625" customWidth="1"/>
  </cols>
  <sheetData>
    <row r="1" spans="2:135" ht="40.15" customHeight="1" x14ac:dyDescent="0.3">
      <c r="CI1" s="50" t="s">
        <v>0</v>
      </c>
      <c r="CJ1" s="51" t="s">
        <v>1</v>
      </c>
    </row>
    <row r="2" spans="2:135" ht="40.15" customHeight="1" x14ac:dyDescent="0.25">
      <c r="CI2" s="52" t="s">
        <v>2</v>
      </c>
      <c r="CJ2" s="53" t="s">
        <v>1</v>
      </c>
    </row>
    <row r="3" spans="2:135" ht="15" customHeight="1" x14ac:dyDescent="0.25">
      <c r="B3" s="78" t="s">
        <v>3</v>
      </c>
      <c r="C3" s="79"/>
      <c r="D3" s="4"/>
      <c r="E3" s="73" t="s">
        <v>4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5"/>
      <c r="CH3" s="78" t="s">
        <v>20</v>
      </c>
      <c r="CI3" s="78"/>
      <c r="CJ3" s="78"/>
      <c r="DC3" s="6"/>
      <c r="DG3" s="6"/>
      <c r="DK3" s="6"/>
      <c r="DO3" s="6"/>
      <c r="DS3" s="6"/>
      <c r="DW3" s="6"/>
      <c r="EA3" s="6"/>
      <c r="EE3" s="6"/>
    </row>
    <row r="4" spans="2:135" ht="15" customHeight="1" x14ac:dyDescent="0.25">
      <c r="B4" s="78"/>
      <c r="C4" s="79"/>
      <c r="D4" s="7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5"/>
      <c r="CH4" s="78"/>
      <c r="CI4" s="78"/>
      <c r="CJ4" s="78"/>
    </row>
    <row r="5" spans="2:135" ht="15" customHeight="1" x14ac:dyDescent="0.25">
      <c r="B5" s="78" t="s">
        <v>5</v>
      </c>
      <c r="C5" s="80"/>
      <c r="D5" s="8"/>
      <c r="E5" s="30"/>
      <c r="F5" s="31"/>
      <c r="G5" s="31"/>
      <c r="H5" s="32"/>
      <c r="I5" s="81" t="s">
        <v>6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3"/>
      <c r="U5" s="30"/>
      <c r="V5" s="31"/>
      <c r="W5" s="31"/>
      <c r="X5" s="32"/>
      <c r="Y5" s="90" t="s">
        <v>7</v>
      </c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  <c r="AK5" s="30"/>
      <c r="AL5" s="31"/>
      <c r="AM5" s="31"/>
      <c r="AN5" s="32"/>
      <c r="AO5" s="90" t="s">
        <v>8</v>
      </c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2"/>
      <c r="BA5" s="30"/>
      <c r="BB5" s="31"/>
      <c r="BC5" s="31"/>
      <c r="BD5" s="32"/>
      <c r="BE5" s="81" t="s">
        <v>9</v>
      </c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3"/>
      <c r="BQ5" s="30"/>
      <c r="BR5" s="31"/>
      <c r="BS5" s="31"/>
      <c r="BT5" s="32"/>
      <c r="BU5" s="90" t="s">
        <v>10</v>
      </c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2"/>
      <c r="CG5" s="9"/>
      <c r="CH5" s="102" t="s">
        <v>11</v>
      </c>
      <c r="CI5" s="103" t="s">
        <v>12</v>
      </c>
      <c r="CJ5" s="104" t="s">
        <v>13</v>
      </c>
      <c r="CK5" s="3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L5"/>
      <c r="DM5"/>
    </row>
    <row r="6" spans="2:135" ht="15" customHeight="1" x14ac:dyDescent="0.25">
      <c r="B6" s="78"/>
      <c r="C6" s="80"/>
      <c r="D6" s="8"/>
      <c r="E6" s="33"/>
      <c r="F6" s="10"/>
      <c r="G6" s="10"/>
      <c r="H6" s="3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6"/>
      <c r="U6" s="33"/>
      <c r="V6" s="10"/>
      <c r="W6" s="10"/>
      <c r="X6" s="34"/>
      <c r="Y6" s="93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33"/>
      <c r="AL6" s="10"/>
      <c r="AM6" s="10"/>
      <c r="AN6" s="34"/>
      <c r="AO6" s="93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5"/>
      <c r="BA6" s="33"/>
      <c r="BB6" s="10"/>
      <c r="BC6" s="10"/>
      <c r="BD6" s="34"/>
      <c r="BE6" s="84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6"/>
      <c r="BQ6" s="33"/>
      <c r="BR6" s="29"/>
      <c r="BS6" s="29"/>
      <c r="BT6" s="34"/>
      <c r="BU6" s="93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5"/>
      <c r="CG6" s="9"/>
      <c r="CH6" s="102"/>
      <c r="CI6" s="103"/>
      <c r="CJ6" s="104"/>
      <c r="CK6" s="11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L6"/>
      <c r="DM6"/>
    </row>
    <row r="7" spans="2:135" ht="15" customHeight="1" x14ac:dyDescent="0.25">
      <c r="B7" s="59" t="s">
        <v>14</v>
      </c>
      <c r="C7" s="105"/>
      <c r="E7" s="33"/>
      <c r="F7" s="10"/>
      <c r="G7" s="10"/>
      <c r="H7" s="3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6"/>
      <c r="U7" s="33"/>
      <c r="V7" s="10"/>
      <c r="W7" s="10"/>
      <c r="X7" s="34"/>
      <c r="Y7" s="93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5"/>
      <c r="AK7" s="33"/>
      <c r="AL7" s="10"/>
      <c r="AM7" s="10"/>
      <c r="AN7" s="34"/>
      <c r="AO7" s="93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5"/>
      <c r="BA7" s="35"/>
      <c r="BB7" s="10"/>
      <c r="BC7" s="10"/>
      <c r="BD7" s="34"/>
      <c r="BE7" s="84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33"/>
      <c r="BR7" s="29"/>
      <c r="BS7" s="29"/>
      <c r="BT7" s="34"/>
      <c r="BU7" s="93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5"/>
      <c r="CG7" s="9"/>
      <c r="CH7" s="102"/>
      <c r="CI7" s="103"/>
      <c r="CJ7" s="104"/>
      <c r="CK7" s="11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L7"/>
      <c r="DM7"/>
    </row>
    <row r="8" spans="2:135" ht="15" customHeight="1" x14ac:dyDescent="0.25">
      <c r="B8" s="59"/>
      <c r="C8" s="105"/>
      <c r="E8" s="99">
        <v>0</v>
      </c>
      <c r="F8" s="100"/>
      <c r="G8" s="100"/>
      <c r="H8" s="101"/>
      <c r="I8" s="87"/>
      <c r="J8" s="88"/>
      <c r="K8" s="88"/>
      <c r="L8" s="88"/>
      <c r="M8" s="88"/>
      <c r="N8" s="88"/>
      <c r="O8" s="88"/>
      <c r="P8" s="88"/>
      <c r="Q8" s="88"/>
      <c r="R8" s="88"/>
      <c r="S8" s="88"/>
      <c r="T8" s="89"/>
      <c r="U8" s="99">
        <v>1</v>
      </c>
      <c r="V8" s="100"/>
      <c r="W8" s="100"/>
      <c r="X8" s="101"/>
      <c r="Y8" s="96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8"/>
      <c r="AK8" s="99">
        <v>2</v>
      </c>
      <c r="AL8" s="100"/>
      <c r="AM8" s="100"/>
      <c r="AN8" s="101"/>
      <c r="AO8" s="96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8"/>
      <c r="BA8" s="99">
        <v>3</v>
      </c>
      <c r="BB8" s="100"/>
      <c r="BC8" s="100"/>
      <c r="BD8" s="101"/>
      <c r="BE8" s="87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9"/>
      <c r="BQ8" s="99">
        <v>4</v>
      </c>
      <c r="BR8" s="100"/>
      <c r="BS8" s="100"/>
      <c r="BT8" s="101"/>
      <c r="BU8" s="96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8"/>
      <c r="CG8" s="12"/>
      <c r="CH8" s="102"/>
      <c r="CI8" s="103"/>
      <c r="CJ8" s="104"/>
      <c r="CK8" s="11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L8"/>
      <c r="DM8"/>
    </row>
    <row r="9" spans="2:135" ht="5.0999999999999996" customHeight="1" x14ac:dyDescent="0.25">
      <c r="D9" s="13"/>
      <c r="J9" s="3"/>
      <c r="CJ9" s="14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35" ht="20.100000000000001" customHeight="1" x14ac:dyDescent="0.25">
      <c r="B10" s="72" t="s">
        <v>15</v>
      </c>
      <c r="C10" s="72"/>
      <c r="E10" s="73" t="s">
        <v>16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4"/>
      <c r="CH10" s="74" t="s">
        <v>17</v>
      </c>
      <c r="CI10" s="74" t="s">
        <v>18</v>
      </c>
      <c r="CJ10" s="59" t="s">
        <v>19</v>
      </c>
      <c r="CK10" s="15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L10"/>
      <c r="DM10"/>
    </row>
    <row r="11" spans="2:135" ht="20.100000000000001" customHeight="1" x14ac:dyDescent="0.25">
      <c r="B11" s="72"/>
      <c r="C11" s="72"/>
      <c r="D11" s="4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0"/>
      <c r="V11" s="70"/>
      <c r="W11" s="70"/>
      <c r="X11" s="70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0"/>
      <c r="AL11" s="70"/>
      <c r="AM11" s="70"/>
      <c r="AN11" s="70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0"/>
      <c r="BR11" s="70"/>
      <c r="BS11" s="70"/>
      <c r="BT11" s="70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16"/>
      <c r="CH11" s="74"/>
      <c r="CI11" s="74"/>
      <c r="CJ11" s="59"/>
      <c r="CK11" s="17"/>
      <c r="CO11"/>
      <c r="CP11"/>
      <c r="CQ11"/>
      <c r="CR11"/>
      <c r="CS11"/>
      <c r="CT11"/>
      <c r="CU11"/>
      <c r="CV11"/>
      <c r="CW11"/>
      <c r="CX11"/>
      <c r="CY11"/>
      <c r="CZ11"/>
      <c r="DA11"/>
      <c r="DL11"/>
      <c r="DM11"/>
    </row>
    <row r="12" spans="2:135" ht="20.100000000000001" customHeight="1" x14ac:dyDescent="0.25">
      <c r="B12" s="72"/>
      <c r="C12" s="72"/>
      <c r="D12" s="4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0"/>
      <c r="V12" s="70"/>
      <c r="W12" s="70"/>
      <c r="X12" s="70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0"/>
      <c r="AL12" s="70"/>
      <c r="AM12" s="70"/>
      <c r="AN12" s="70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0"/>
      <c r="BR12" s="70"/>
      <c r="BS12" s="70"/>
      <c r="BT12" s="70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16"/>
      <c r="CH12" s="75"/>
      <c r="CI12" s="75"/>
      <c r="CJ12" s="76"/>
      <c r="CK12" s="3"/>
      <c r="CO12"/>
      <c r="CP12"/>
      <c r="CQ12"/>
      <c r="CR12"/>
      <c r="CS12"/>
      <c r="CT12"/>
      <c r="CU12"/>
      <c r="CV12"/>
      <c r="CW12"/>
      <c r="CX12"/>
      <c r="CY12"/>
      <c r="CZ12"/>
      <c r="DA12"/>
      <c r="DL12"/>
      <c r="DM12"/>
    </row>
    <row r="13" spans="2:135" ht="6" customHeight="1" x14ac:dyDescent="0.25">
      <c r="B13" s="63"/>
      <c r="C13" s="63"/>
      <c r="D13" s="38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18"/>
      <c r="V13" s="18"/>
      <c r="W13" s="18"/>
      <c r="X13" s="18"/>
      <c r="Y13" s="39"/>
      <c r="Z13" s="40"/>
      <c r="AA13" s="40"/>
      <c r="AB13" s="40"/>
      <c r="AC13" s="39"/>
      <c r="AD13" s="40"/>
      <c r="AE13" s="40"/>
      <c r="AF13" s="40"/>
      <c r="AG13" s="39"/>
      <c r="AH13" s="40"/>
      <c r="AI13" s="40"/>
      <c r="AJ13" s="40"/>
      <c r="AK13" s="39"/>
      <c r="AL13" s="40"/>
      <c r="AM13" s="40"/>
      <c r="AN13" s="40"/>
      <c r="AO13" s="39"/>
      <c r="AP13" s="40"/>
      <c r="AQ13" s="40"/>
      <c r="AR13" s="40"/>
      <c r="AS13" s="39"/>
      <c r="AT13" s="40"/>
      <c r="AU13" s="40"/>
      <c r="AV13" s="41"/>
      <c r="AW13" s="40"/>
      <c r="AX13" s="40"/>
      <c r="AY13" s="40"/>
      <c r="AZ13" s="41"/>
      <c r="BA13" s="40"/>
      <c r="BB13" s="40"/>
      <c r="BC13" s="40"/>
      <c r="BD13" s="41"/>
      <c r="BE13" s="40"/>
      <c r="BF13" s="40"/>
      <c r="BG13" s="40"/>
      <c r="BH13" s="41"/>
      <c r="BI13" s="40"/>
      <c r="BJ13" s="40"/>
      <c r="BK13" s="40"/>
      <c r="BL13" s="41"/>
      <c r="BM13" s="18"/>
      <c r="BN13" s="18"/>
      <c r="BO13" s="18"/>
      <c r="BP13" s="18"/>
      <c r="BQ13" s="39"/>
      <c r="BR13" s="40"/>
      <c r="BS13" s="40"/>
      <c r="BT13" s="40"/>
      <c r="BU13" s="39"/>
      <c r="BV13" s="40"/>
      <c r="BW13" s="40"/>
      <c r="BX13" s="40"/>
      <c r="BY13" s="39"/>
      <c r="BZ13" s="40"/>
      <c r="CA13" s="40"/>
      <c r="CB13" s="41"/>
      <c r="CC13" s="40"/>
      <c r="CD13" s="40"/>
      <c r="CE13" s="40"/>
      <c r="CF13" s="41"/>
      <c r="CH13" s="44"/>
      <c r="CI13" s="47"/>
      <c r="CJ13" s="64" t="str">
        <f>IF(ISBLANK(B13),"",IF(CI14&gt;=CH14,3,IF(CI14=(CH14-1),2,1)))</f>
        <v/>
      </c>
      <c r="CK13" s="3"/>
      <c r="CO13"/>
      <c r="CP13"/>
      <c r="CQ13"/>
      <c r="CR13"/>
      <c r="CS13"/>
      <c r="CT13"/>
      <c r="CU13"/>
      <c r="CV13"/>
      <c r="CW13"/>
      <c r="CX13"/>
      <c r="CY13"/>
      <c r="CZ13"/>
      <c r="DA13"/>
      <c r="DL13"/>
      <c r="DM13"/>
    </row>
    <row r="14" spans="2:135" ht="15" customHeight="1" x14ac:dyDescent="0.25">
      <c r="B14" s="63"/>
      <c r="C14" s="63"/>
      <c r="D14" s="38"/>
      <c r="E14" s="42"/>
      <c r="F14" s="20"/>
      <c r="G14" s="20"/>
      <c r="H14" s="43"/>
      <c r="I14" s="42"/>
      <c r="J14" s="20"/>
      <c r="K14" s="20"/>
      <c r="L14" s="43"/>
      <c r="M14" s="42"/>
      <c r="N14" s="20"/>
      <c r="O14" s="20"/>
      <c r="P14" s="43"/>
      <c r="Q14" s="42"/>
      <c r="R14" s="20"/>
      <c r="S14" s="20"/>
      <c r="T14" s="43"/>
      <c r="U14" s="19"/>
      <c r="V14" s="20"/>
      <c r="W14" s="20"/>
      <c r="X14" s="19"/>
      <c r="Y14" s="42"/>
      <c r="Z14" s="20"/>
      <c r="AA14" s="20"/>
      <c r="AB14" s="19"/>
      <c r="AC14" s="42"/>
      <c r="AD14" s="20"/>
      <c r="AE14" s="20"/>
      <c r="AF14" s="19"/>
      <c r="AG14" s="42"/>
      <c r="AH14" s="20"/>
      <c r="AI14" s="20"/>
      <c r="AJ14" s="19"/>
      <c r="AK14" s="42"/>
      <c r="AL14" s="20"/>
      <c r="AM14" s="20"/>
      <c r="AN14" s="19"/>
      <c r="AO14" s="42"/>
      <c r="AP14" s="20"/>
      <c r="AQ14" s="20"/>
      <c r="AR14" s="19"/>
      <c r="AS14" s="42"/>
      <c r="AT14" s="20"/>
      <c r="AU14" s="20"/>
      <c r="AV14" s="43"/>
      <c r="AW14" s="19"/>
      <c r="AX14" s="20"/>
      <c r="AY14" s="20"/>
      <c r="AZ14" s="43"/>
      <c r="BA14" s="19"/>
      <c r="BB14" s="20"/>
      <c r="BC14" s="20"/>
      <c r="BD14" s="43"/>
      <c r="BE14" s="19"/>
      <c r="BF14" s="20"/>
      <c r="BG14" s="20"/>
      <c r="BH14" s="43"/>
      <c r="BI14" s="19"/>
      <c r="BJ14" s="20"/>
      <c r="BK14" s="20"/>
      <c r="BL14" s="43"/>
      <c r="BM14" s="19"/>
      <c r="BN14" s="20"/>
      <c r="BO14" s="20"/>
      <c r="BP14" s="19"/>
      <c r="BQ14" s="42"/>
      <c r="BR14" s="20"/>
      <c r="BS14" s="20"/>
      <c r="BT14" s="19"/>
      <c r="BU14" s="42"/>
      <c r="BV14" s="20"/>
      <c r="BW14" s="20"/>
      <c r="BX14" s="19"/>
      <c r="BY14" s="42"/>
      <c r="BZ14" s="20"/>
      <c r="CA14" s="20"/>
      <c r="CB14" s="43"/>
      <c r="CC14" s="19"/>
      <c r="CD14" s="20"/>
      <c r="CE14" s="20"/>
      <c r="CF14" s="43"/>
      <c r="CH14" s="46">
        <v>0</v>
      </c>
      <c r="CI14" s="48" t="str">
        <f>IF(ISBLANK(B13),"",COUNTIF(E16:CF16,"&gt;=3"))</f>
        <v/>
      </c>
      <c r="CJ14" s="64"/>
      <c r="CK14" s="11"/>
      <c r="CO14"/>
      <c r="CP14"/>
      <c r="CQ14"/>
      <c r="CR14"/>
      <c r="CS14"/>
      <c r="CT14"/>
      <c r="CU14"/>
      <c r="CV14"/>
      <c r="CW14"/>
      <c r="CX14"/>
      <c r="CY14"/>
      <c r="CZ14"/>
      <c r="DA14"/>
      <c r="DL14"/>
      <c r="DM14"/>
    </row>
    <row r="15" spans="2:135" ht="15" customHeight="1" x14ac:dyDescent="0.25">
      <c r="B15" s="63"/>
      <c r="C15" s="63"/>
      <c r="D15" s="38"/>
      <c r="E15" s="42"/>
      <c r="F15" s="20"/>
      <c r="G15" s="20"/>
      <c r="H15" s="43"/>
      <c r="I15" s="42"/>
      <c r="J15" s="20"/>
      <c r="K15" s="20"/>
      <c r="L15" s="43"/>
      <c r="M15" s="42"/>
      <c r="N15" s="20"/>
      <c r="O15" s="20"/>
      <c r="P15" s="43"/>
      <c r="Q15" s="42"/>
      <c r="R15" s="20"/>
      <c r="S15" s="20"/>
      <c r="T15" s="43"/>
      <c r="U15" s="19"/>
      <c r="V15" s="20"/>
      <c r="W15" s="20"/>
      <c r="X15" s="19"/>
      <c r="Y15" s="42"/>
      <c r="Z15" s="20"/>
      <c r="AA15" s="20"/>
      <c r="AB15" s="19"/>
      <c r="AC15" s="42"/>
      <c r="AD15" s="20"/>
      <c r="AE15" s="20"/>
      <c r="AF15" s="19"/>
      <c r="AG15" s="42"/>
      <c r="AH15" s="20"/>
      <c r="AI15" s="20"/>
      <c r="AJ15" s="19"/>
      <c r="AK15" s="42"/>
      <c r="AL15" s="20"/>
      <c r="AM15" s="20"/>
      <c r="AN15" s="19"/>
      <c r="AO15" s="42"/>
      <c r="AP15" s="20"/>
      <c r="AQ15" s="20"/>
      <c r="AR15" s="19"/>
      <c r="AS15" s="42"/>
      <c r="AT15" s="20"/>
      <c r="AU15" s="20"/>
      <c r="AV15" s="43"/>
      <c r="AW15" s="19"/>
      <c r="AX15" s="20"/>
      <c r="AY15" s="20"/>
      <c r="AZ15" s="43"/>
      <c r="BA15" s="19"/>
      <c r="BB15" s="20"/>
      <c r="BC15" s="20"/>
      <c r="BD15" s="43"/>
      <c r="BE15" s="19"/>
      <c r="BF15" s="20"/>
      <c r="BG15" s="20"/>
      <c r="BH15" s="43"/>
      <c r="BI15" s="19"/>
      <c r="BJ15" s="20"/>
      <c r="BK15" s="20"/>
      <c r="BL15" s="43"/>
      <c r="BM15" s="19"/>
      <c r="BN15" s="20"/>
      <c r="BO15" s="20"/>
      <c r="BP15" s="19"/>
      <c r="BQ15" s="42"/>
      <c r="BR15" s="20"/>
      <c r="BS15" s="20"/>
      <c r="BT15" s="19"/>
      <c r="BU15" s="42"/>
      <c r="BV15" s="20"/>
      <c r="BW15" s="20"/>
      <c r="BX15" s="19"/>
      <c r="BY15" s="42"/>
      <c r="BZ15" s="20"/>
      <c r="CA15" s="20"/>
      <c r="CB15" s="43"/>
      <c r="CC15" s="19"/>
      <c r="CD15" s="20"/>
      <c r="CE15" s="20"/>
      <c r="CF15" s="43"/>
      <c r="CH15" s="65" t="str">
        <f>IF(ISBLANK(B13),"","personas cualificadas")</f>
        <v/>
      </c>
      <c r="CI15" s="65" t="str">
        <f>IF(ISBLANK(B13),"","personas cualificadas")</f>
        <v/>
      </c>
      <c r="CJ15" s="64"/>
      <c r="CK15" s="11"/>
      <c r="CO15"/>
      <c r="CP15"/>
      <c r="CS15"/>
      <c r="CT15"/>
      <c r="CU15"/>
      <c r="CV15"/>
      <c r="CW15"/>
      <c r="CX15"/>
      <c r="CY15"/>
      <c r="CZ15"/>
      <c r="DA15"/>
      <c r="DL15"/>
      <c r="DM15"/>
    </row>
    <row r="16" spans="2:135" x14ac:dyDescent="0.25">
      <c r="B16" s="63"/>
      <c r="C16" s="63"/>
      <c r="D16" s="38"/>
      <c r="E16" s="69">
        <v>0</v>
      </c>
      <c r="F16" s="67"/>
      <c r="G16" s="67"/>
      <c r="H16" s="68"/>
      <c r="I16" s="69">
        <v>0</v>
      </c>
      <c r="J16" s="67"/>
      <c r="K16" s="67"/>
      <c r="L16" s="68"/>
      <c r="M16" s="69">
        <v>0</v>
      </c>
      <c r="N16" s="67"/>
      <c r="O16" s="67"/>
      <c r="P16" s="68"/>
      <c r="Q16" s="69">
        <v>0</v>
      </c>
      <c r="R16" s="67"/>
      <c r="S16" s="67"/>
      <c r="T16" s="68"/>
      <c r="U16" s="67">
        <v>0</v>
      </c>
      <c r="V16" s="67"/>
      <c r="W16" s="67"/>
      <c r="X16" s="67"/>
      <c r="Y16" s="69">
        <v>0</v>
      </c>
      <c r="Z16" s="67"/>
      <c r="AA16" s="67"/>
      <c r="AB16" s="67"/>
      <c r="AC16" s="69">
        <v>0</v>
      </c>
      <c r="AD16" s="67"/>
      <c r="AE16" s="67"/>
      <c r="AF16" s="67"/>
      <c r="AG16" s="69">
        <v>0</v>
      </c>
      <c r="AH16" s="67"/>
      <c r="AI16" s="67"/>
      <c r="AJ16" s="67"/>
      <c r="AK16" s="69">
        <v>0</v>
      </c>
      <c r="AL16" s="67"/>
      <c r="AM16" s="67"/>
      <c r="AN16" s="67"/>
      <c r="AO16" s="69">
        <v>0</v>
      </c>
      <c r="AP16" s="67"/>
      <c r="AQ16" s="67"/>
      <c r="AR16" s="67"/>
      <c r="AS16" s="69">
        <v>0</v>
      </c>
      <c r="AT16" s="67"/>
      <c r="AU16" s="67"/>
      <c r="AV16" s="68"/>
      <c r="AW16" s="67">
        <v>0</v>
      </c>
      <c r="AX16" s="67"/>
      <c r="AY16" s="67"/>
      <c r="AZ16" s="68"/>
      <c r="BA16" s="67">
        <v>0</v>
      </c>
      <c r="BB16" s="67"/>
      <c r="BC16" s="67"/>
      <c r="BD16" s="68"/>
      <c r="BE16" s="67">
        <v>0</v>
      </c>
      <c r="BF16" s="67"/>
      <c r="BG16" s="67"/>
      <c r="BH16" s="68"/>
      <c r="BI16" s="67">
        <v>0</v>
      </c>
      <c r="BJ16" s="67"/>
      <c r="BK16" s="67"/>
      <c r="BL16" s="68"/>
      <c r="BM16" s="67">
        <v>0</v>
      </c>
      <c r="BN16" s="67"/>
      <c r="BO16" s="67"/>
      <c r="BP16" s="67"/>
      <c r="BQ16" s="62">
        <v>0</v>
      </c>
      <c r="BR16" s="60"/>
      <c r="BS16" s="60"/>
      <c r="BT16" s="60"/>
      <c r="BU16" s="62">
        <v>0</v>
      </c>
      <c r="BV16" s="60"/>
      <c r="BW16" s="60"/>
      <c r="BX16" s="60"/>
      <c r="BY16" s="62">
        <v>0</v>
      </c>
      <c r="BZ16" s="60"/>
      <c r="CA16" s="60"/>
      <c r="CB16" s="61"/>
      <c r="CC16" s="60"/>
      <c r="CD16" s="60"/>
      <c r="CE16" s="60"/>
      <c r="CF16" s="61"/>
      <c r="CG16" s="21"/>
      <c r="CH16" s="66"/>
      <c r="CI16" s="66"/>
      <c r="CJ16" s="64"/>
      <c r="CK16" s="11"/>
      <c r="CO16"/>
      <c r="CP16"/>
      <c r="CS16"/>
      <c r="CT16"/>
      <c r="CU16"/>
      <c r="CV16"/>
      <c r="CW16"/>
      <c r="CX16"/>
      <c r="CY16"/>
      <c r="CZ16"/>
      <c r="DA16"/>
      <c r="DL16"/>
      <c r="DM16"/>
    </row>
    <row r="17" spans="2:117" ht="6" customHeight="1" x14ac:dyDescent="0.25">
      <c r="B17" s="63"/>
      <c r="C17" s="63"/>
      <c r="D17" s="38"/>
      <c r="E17" s="39"/>
      <c r="F17" s="40"/>
      <c r="G17" s="40"/>
      <c r="H17" s="40"/>
      <c r="I17" s="39"/>
      <c r="J17" s="40"/>
      <c r="K17" s="40"/>
      <c r="L17" s="40"/>
      <c r="M17" s="39"/>
      <c r="N17" s="40"/>
      <c r="O17" s="40"/>
      <c r="P17" s="40"/>
      <c r="Q17" s="39"/>
      <c r="R17" s="40"/>
      <c r="S17" s="40"/>
      <c r="T17" s="40"/>
      <c r="U17" s="39"/>
      <c r="V17" s="40"/>
      <c r="W17" s="40"/>
      <c r="X17" s="40"/>
      <c r="Y17" s="39"/>
      <c r="Z17" s="40"/>
      <c r="AA17" s="40"/>
      <c r="AB17" s="40"/>
      <c r="AC17" s="39"/>
      <c r="AD17" s="40"/>
      <c r="AE17" s="40"/>
      <c r="AF17" s="40"/>
      <c r="AG17" s="39"/>
      <c r="AH17" s="40"/>
      <c r="AI17" s="40"/>
      <c r="AJ17" s="40"/>
      <c r="AK17" s="39"/>
      <c r="AL17" s="40"/>
      <c r="AM17" s="40"/>
      <c r="AN17" s="40"/>
      <c r="AO17" s="39"/>
      <c r="AP17" s="40"/>
      <c r="AQ17" s="40"/>
      <c r="AR17" s="40"/>
      <c r="AS17" s="39"/>
      <c r="AT17" s="40"/>
      <c r="AU17" s="40"/>
      <c r="AV17" s="41"/>
      <c r="AW17" s="40"/>
      <c r="AX17" s="40"/>
      <c r="AY17" s="40"/>
      <c r="AZ17" s="41"/>
      <c r="BA17" s="40"/>
      <c r="BB17" s="40"/>
      <c r="BC17" s="40"/>
      <c r="BD17" s="41"/>
      <c r="BE17" s="40"/>
      <c r="BF17" s="40"/>
      <c r="BG17" s="40"/>
      <c r="BH17" s="41"/>
      <c r="BI17" s="40"/>
      <c r="BJ17" s="40"/>
      <c r="BK17" s="40"/>
      <c r="BL17" s="41"/>
      <c r="BM17" s="40"/>
      <c r="BN17" s="40"/>
      <c r="BO17" s="40"/>
      <c r="BP17" s="41"/>
      <c r="BQ17" s="40"/>
      <c r="BR17" s="40"/>
      <c r="BS17" s="40"/>
      <c r="BT17" s="41"/>
      <c r="BU17" s="40"/>
      <c r="BV17" s="40"/>
      <c r="BW17" s="40"/>
      <c r="BX17" s="41"/>
      <c r="BY17" s="40"/>
      <c r="BZ17" s="40"/>
      <c r="CA17" s="40"/>
      <c r="CB17" s="41"/>
      <c r="CC17" s="40"/>
      <c r="CD17" s="40"/>
      <c r="CE17" s="40"/>
      <c r="CF17" s="41"/>
      <c r="CH17" s="44"/>
      <c r="CI17" s="47"/>
      <c r="CJ17" s="64" t="str">
        <f>IF(ISBLANK(B17),"",IF(CI18&gt;=CH18,3,IF(CI18=(CH18-1),2,1)))</f>
        <v/>
      </c>
      <c r="CK17" s="11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L17"/>
      <c r="DM17"/>
    </row>
    <row r="18" spans="2:117" ht="15" customHeight="1" x14ac:dyDescent="0.25">
      <c r="B18" s="63"/>
      <c r="C18" s="63"/>
      <c r="D18" s="38"/>
      <c r="E18" s="42"/>
      <c r="F18" s="20"/>
      <c r="G18" s="20"/>
      <c r="H18" s="19"/>
      <c r="I18" s="42"/>
      <c r="J18" s="20"/>
      <c r="K18" s="20"/>
      <c r="L18" s="19"/>
      <c r="M18" s="42"/>
      <c r="N18" s="20"/>
      <c r="O18" s="20"/>
      <c r="P18" s="19"/>
      <c r="Q18" s="42"/>
      <c r="R18" s="20"/>
      <c r="S18" s="20"/>
      <c r="T18" s="19"/>
      <c r="U18" s="42"/>
      <c r="V18" s="20"/>
      <c r="W18" s="20"/>
      <c r="X18" s="19"/>
      <c r="Y18" s="42"/>
      <c r="Z18" s="20"/>
      <c r="AA18" s="20"/>
      <c r="AB18" s="19"/>
      <c r="AC18" s="42"/>
      <c r="AD18" s="20"/>
      <c r="AE18" s="20"/>
      <c r="AF18" s="19"/>
      <c r="AG18" s="42"/>
      <c r="AH18" s="20"/>
      <c r="AI18" s="20"/>
      <c r="AJ18" s="19"/>
      <c r="AK18" s="42"/>
      <c r="AL18" s="20"/>
      <c r="AM18" s="20"/>
      <c r="AN18" s="19"/>
      <c r="AO18" s="42"/>
      <c r="AP18" s="20"/>
      <c r="AQ18" s="20"/>
      <c r="AR18" s="19"/>
      <c r="AS18" s="42"/>
      <c r="AT18" s="20"/>
      <c r="AU18" s="20"/>
      <c r="AV18" s="43"/>
      <c r="AW18" s="19"/>
      <c r="AX18" s="20"/>
      <c r="AY18" s="20"/>
      <c r="AZ18" s="43"/>
      <c r="BA18" s="19"/>
      <c r="BB18" s="20"/>
      <c r="BC18" s="20"/>
      <c r="BD18" s="43"/>
      <c r="BE18" s="19"/>
      <c r="BF18" s="20"/>
      <c r="BG18" s="20"/>
      <c r="BH18" s="43"/>
      <c r="BI18" s="19"/>
      <c r="BJ18" s="20"/>
      <c r="BK18" s="20"/>
      <c r="BL18" s="43"/>
      <c r="BM18" s="19"/>
      <c r="BN18" s="20"/>
      <c r="BO18" s="20"/>
      <c r="BP18" s="43"/>
      <c r="BQ18" s="19"/>
      <c r="BR18" s="20"/>
      <c r="BS18" s="20"/>
      <c r="BT18" s="43"/>
      <c r="BU18" s="19"/>
      <c r="BV18" s="20"/>
      <c r="BW18" s="20"/>
      <c r="BX18" s="43"/>
      <c r="BY18" s="19"/>
      <c r="BZ18" s="20"/>
      <c r="CA18" s="20"/>
      <c r="CB18" s="43"/>
      <c r="CC18" s="19"/>
      <c r="CD18" s="20"/>
      <c r="CE18" s="20"/>
      <c r="CF18" s="43"/>
      <c r="CH18" s="46">
        <v>0</v>
      </c>
      <c r="CI18" s="48" t="str">
        <f>IF(ISBLANK(B17),"",COUNTIF(E20:CF20,"&gt;=3"))</f>
        <v/>
      </c>
      <c r="CJ18" s="64"/>
      <c r="CK18" s="11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L18"/>
      <c r="DM18"/>
    </row>
    <row r="19" spans="2:117" ht="15" customHeight="1" x14ac:dyDescent="0.25">
      <c r="B19" s="63"/>
      <c r="C19" s="63"/>
      <c r="D19" s="38"/>
      <c r="E19" s="42"/>
      <c r="F19" s="20"/>
      <c r="G19" s="20"/>
      <c r="H19" s="19"/>
      <c r="I19" s="42"/>
      <c r="J19" s="20"/>
      <c r="K19" s="20"/>
      <c r="L19" s="19"/>
      <c r="M19" s="42"/>
      <c r="N19" s="20"/>
      <c r="O19" s="20"/>
      <c r="P19" s="19"/>
      <c r="Q19" s="42"/>
      <c r="R19" s="20"/>
      <c r="S19" s="20"/>
      <c r="T19" s="19"/>
      <c r="U19" s="42"/>
      <c r="V19" s="20"/>
      <c r="W19" s="20"/>
      <c r="X19" s="19"/>
      <c r="Y19" s="42"/>
      <c r="Z19" s="20"/>
      <c r="AA19" s="20"/>
      <c r="AB19" s="19"/>
      <c r="AC19" s="42"/>
      <c r="AD19" s="20"/>
      <c r="AE19" s="20"/>
      <c r="AF19" s="19"/>
      <c r="AG19" s="42"/>
      <c r="AH19" s="20"/>
      <c r="AI19" s="20"/>
      <c r="AJ19" s="19"/>
      <c r="AK19" s="42"/>
      <c r="AL19" s="20"/>
      <c r="AM19" s="20"/>
      <c r="AN19" s="19"/>
      <c r="AO19" s="42"/>
      <c r="AP19" s="20"/>
      <c r="AQ19" s="20"/>
      <c r="AR19" s="19"/>
      <c r="AS19" s="42"/>
      <c r="AT19" s="20"/>
      <c r="AU19" s="20"/>
      <c r="AV19" s="43"/>
      <c r="AW19" s="19"/>
      <c r="AX19" s="20"/>
      <c r="AY19" s="20"/>
      <c r="AZ19" s="43"/>
      <c r="BA19" s="19"/>
      <c r="BB19" s="20"/>
      <c r="BC19" s="20"/>
      <c r="BD19" s="43"/>
      <c r="BE19" s="19"/>
      <c r="BF19" s="20"/>
      <c r="BG19" s="20"/>
      <c r="BH19" s="43"/>
      <c r="BI19" s="19"/>
      <c r="BJ19" s="20"/>
      <c r="BK19" s="20"/>
      <c r="BL19" s="43"/>
      <c r="BM19" s="19"/>
      <c r="BN19" s="20"/>
      <c r="BO19" s="20"/>
      <c r="BP19" s="43"/>
      <c r="BQ19" s="19"/>
      <c r="BR19" s="20"/>
      <c r="BS19" s="20"/>
      <c r="BT19" s="43"/>
      <c r="BU19" s="19"/>
      <c r="BV19" s="20"/>
      <c r="BW19" s="20"/>
      <c r="BX19" s="43"/>
      <c r="BY19" s="19"/>
      <c r="BZ19" s="20"/>
      <c r="CA19" s="20"/>
      <c r="CB19" s="43"/>
      <c r="CC19" s="19"/>
      <c r="CD19" s="20"/>
      <c r="CE19" s="20"/>
      <c r="CF19" s="43"/>
      <c r="CH19" s="65" t="str">
        <f>IF(ISBLANK(B17),"","personas cualificadas")</f>
        <v/>
      </c>
      <c r="CI19" s="65" t="str">
        <f>IF(ISBLANK(B17),"","personas cualificadas")</f>
        <v/>
      </c>
      <c r="CJ19" s="64"/>
      <c r="CK19" s="11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L19"/>
      <c r="DM19"/>
    </row>
    <row r="20" spans="2:117" x14ac:dyDescent="0.25">
      <c r="B20" s="63"/>
      <c r="C20" s="63"/>
      <c r="D20" s="38"/>
      <c r="E20" s="69">
        <v>0</v>
      </c>
      <c r="F20" s="67"/>
      <c r="G20" s="67"/>
      <c r="H20" s="67"/>
      <c r="I20" s="69">
        <v>0</v>
      </c>
      <c r="J20" s="67"/>
      <c r="K20" s="67"/>
      <c r="L20" s="67"/>
      <c r="M20" s="69">
        <v>0</v>
      </c>
      <c r="N20" s="67"/>
      <c r="O20" s="67"/>
      <c r="P20" s="67"/>
      <c r="Q20" s="69">
        <v>0</v>
      </c>
      <c r="R20" s="67"/>
      <c r="S20" s="67"/>
      <c r="T20" s="67"/>
      <c r="U20" s="69">
        <v>0</v>
      </c>
      <c r="V20" s="67"/>
      <c r="W20" s="67"/>
      <c r="X20" s="67"/>
      <c r="Y20" s="69">
        <v>0</v>
      </c>
      <c r="Z20" s="67"/>
      <c r="AA20" s="67"/>
      <c r="AB20" s="67"/>
      <c r="AC20" s="69">
        <v>0</v>
      </c>
      <c r="AD20" s="67"/>
      <c r="AE20" s="67"/>
      <c r="AF20" s="67"/>
      <c r="AG20" s="69">
        <v>0</v>
      </c>
      <c r="AH20" s="67"/>
      <c r="AI20" s="67"/>
      <c r="AJ20" s="67"/>
      <c r="AK20" s="69"/>
      <c r="AL20" s="67"/>
      <c r="AM20" s="67"/>
      <c r="AN20" s="67"/>
      <c r="AO20" s="69">
        <v>0</v>
      </c>
      <c r="AP20" s="67"/>
      <c r="AQ20" s="67"/>
      <c r="AR20" s="67"/>
      <c r="AS20" s="69"/>
      <c r="AT20" s="67"/>
      <c r="AU20" s="67"/>
      <c r="AV20" s="68"/>
      <c r="AW20" s="67"/>
      <c r="AX20" s="67"/>
      <c r="AY20" s="67"/>
      <c r="AZ20" s="68"/>
      <c r="BA20" s="67"/>
      <c r="BB20" s="67"/>
      <c r="BC20" s="67"/>
      <c r="BD20" s="68"/>
      <c r="BE20" s="67"/>
      <c r="BF20" s="67"/>
      <c r="BG20" s="67"/>
      <c r="BH20" s="68"/>
      <c r="BI20" s="67">
        <v>0</v>
      </c>
      <c r="BJ20" s="67"/>
      <c r="BK20" s="67"/>
      <c r="BL20" s="68"/>
      <c r="BM20" s="67">
        <v>0</v>
      </c>
      <c r="BN20" s="67"/>
      <c r="BO20" s="67"/>
      <c r="BP20" s="68"/>
      <c r="BQ20" s="67"/>
      <c r="BR20" s="67"/>
      <c r="BS20" s="67"/>
      <c r="BT20" s="68"/>
      <c r="BU20" s="67"/>
      <c r="BV20" s="67"/>
      <c r="BW20" s="67"/>
      <c r="BX20" s="68"/>
      <c r="BY20" s="67"/>
      <c r="BZ20" s="67"/>
      <c r="CA20" s="67"/>
      <c r="CB20" s="68"/>
      <c r="CC20" s="67"/>
      <c r="CD20" s="67"/>
      <c r="CE20" s="67"/>
      <c r="CF20" s="68"/>
      <c r="CG20" s="21"/>
      <c r="CH20" s="66"/>
      <c r="CI20" s="66"/>
      <c r="CJ20" s="64"/>
      <c r="CK20" s="11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L20"/>
      <c r="DM20"/>
    </row>
    <row r="21" spans="2:117" ht="6" customHeight="1" x14ac:dyDescent="0.25">
      <c r="B21" s="63"/>
      <c r="C21" s="63"/>
      <c r="D21" s="38"/>
      <c r="E21" s="39"/>
      <c r="F21" s="40"/>
      <c r="G21" s="40"/>
      <c r="H21" s="40"/>
      <c r="I21" s="39"/>
      <c r="J21" s="40"/>
      <c r="K21" s="40"/>
      <c r="L21" s="40"/>
      <c r="M21" s="39"/>
      <c r="N21" s="40"/>
      <c r="O21" s="40"/>
      <c r="P21" s="40"/>
      <c r="Q21" s="39"/>
      <c r="R21" s="40"/>
      <c r="S21" s="40"/>
      <c r="T21" s="40"/>
      <c r="U21" s="39"/>
      <c r="V21" s="40"/>
      <c r="W21" s="40"/>
      <c r="X21" s="40"/>
      <c r="Y21" s="39"/>
      <c r="Z21" s="40"/>
      <c r="AA21" s="40"/>
      <c r="AB21" s="40"/>
      <c r="AC21" s="39"/>
      <c r="AD21" s="40"/>
      <c r="AE21" s="40"/>
      <c r="AF21" s="40"/>
      <c r="AG21" s="39"/>
      <c r="AH21" s="40"/>
      <c r="AI21" s="40"/>
      <c r="AJ21" s="40"/>
      <c r="AK21" s="39"/>
      <c r="AL21" s="40"/>
      <c r="AM21" s="40"/>
      <c r="AN21" s="40"/>
      <c r="AO21" s="39"/>
      <c r="AP21" s="40"/>
      <c r="AQ21" s="40"/>
      <c r="AR21" s="40"/>
      <c r="AS21" s="39"/>
      <c r="AT21" s="40"/>
      <c r="AU21" s="40"/>
      <c r="AV21" s="41"/>
      <c r="AW21" s="40"/>
      <c r="AX21" s="40"/>
      <c r="AY21" s="40"/>
      <c r="AZ21" s="41"/>
      <c r="BA21" s="40"/>
      <c r="BB21" s="40"/>
      <c r="BC21" s="40"/>
      <c r="BD21" s="41"/>
      <c r="BE21" s="40"/>
      <c r="BF21" s="40"/>
      <c r="BG21" s="40"/>
      <c r="BH21" s="41"/>
      <c r="BI21" s="40"/>
      <c r="BJ21" s="40"/>
      <c r="BK21" s="40"/>
      <c r="BL21" s="41"/>
      <c r="BM21" s="40"/>
      <c r="BN21" s="40"/>
      <c r="BO21" s="40"/>
      <c r="BP21" s="41"/>
      <c r="BQ21" s="40"/>
      <c r="BR21" s="40"/>
      <c r="BS21" s="40"/>
      <c r="BT21" s="41"/>
      <c r="BU21" s="40"/>
      <c r="BV21" s="40"/>
      <c r="BW21" s="40"/>
      <c r="BX21" s="41"/>
      <c r="BY21" s="40"/>
      <c r="BZ21" s="40"/>
      <c r="CA21" s="40"/>
      <c r="CB21" s="41"/>
      <c r="CC21" s="40"/>
      <c r="CD21" s="40"/>
      <c r="CE21" s="40"/>
      <c r="CF21" s="41"/>
      <c r="CH21" s="44"/>
      <c r="CI21" s="47"/>
      <c r="CJ21" s="64" t="str">
        <f>IF(ISBLANK(B21),"",IF(CI22&gt;=CH22,3,IF(CI22=(CH22-1),2,1)))</f>
        <v/>
      </c>
      <c r="CK21" s="1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L21"/>
      <c r="DM21"/>
    </row>
    <row r="22" spans="2:117" ht="15" customHeight="1" x14ac:dyDescent="0.25">
      <c r="B22" s="63"/>
      <c r="C22" s="63"/>
      <c r="D22" s="38"/>
      <c r="E22" s="42"/>
      <c r="F22" s="20"/>
      <c r="G22" s="20"/>
      <c r="H22" s="19"/>
      <c r="I22" s="42"/>
      <c r="J22" s="20"/>
      <c r="K22" s="20"/>
      <c r="L22" s="19"/>
      <c r="M22" s="42"/>
      <c r="N22" s="20"/>
      <c r="O22" s="20"/>
      <c r="P22" s="19"/>
      <c r="Q22" s="42"/>
      <c r="R22" s="20"/>
      <c r="S22" s="20"/>
      <c r="T22" s="19"/>
      <c r="U22" s="42"/>
      <c r="V22" s="20"/>
      <c r="W22" s="20"/>
      <c r="X22" s="19"/>
      <c r="Y22" s="42"/>
      <c r="Z22" s="20"/>
      <c r="AA22" s="20"/>
      <c r="AB22" s="19"/>
      <c r="AC22" s="42"/>
      <c r="AD22" s="20"/>
      <c r="AE22" s="20"/>
      <c r="AF22" s="19"/>
      <c r="AG22" s="42"/>
      <c r="AH22" s="20"/>
      <c r="AI22" s="20"/>
      <c r="AJ22" s="19"/>
      <c r="AK22" s="42"/>
      <c r="AL22" s="20"/>
      <c r="AM22" s="20"/>
      <c r="AN22" s="19"/>
      <c r="AO22" s="42"/>
      <c r="AP22" s="20"/>
      <c r="AQ22" s="20"/>
      <c r="AR22" s="19"/>
      <c r="AS22" s="42"/>
      <c r="AT22" s="20"/>
      <c r="AU22" s="20"/>
      <c r="AV22" s="43"/>
      <c r="AW22" s="19"/>
      <c r="AX22" s="20"/>
      <c r="AY22" s="20"/>
      <c r="AZ22" s="43"/>
      <c r="BA22" s="19"/>
      <c r="BB22" s="20"/>
      <c r="BC22" s="20"/>
      <c r="BD22" s="43"/>
      <c r="BE22" s="19"/>
      <c r="BF22" s="20"/>
      <c r="BG22" s="20"/>
      <c r="BH22" s="43"/>
      <c r="BI22" s="19"/>
      <c r="BJ22" s="20"/>
      <c r="BK22" s="20"/>
      <c r="BL22" s="43"/>
      <c r="BM22" s="19"/>
      <c r="BN22" s="20"/>
      <c r="BO22" s="20"/>
      <c r="BP22" s="43"/>
      <c r="BQ22" s="19"/>
      <c r="BR22" s="20"/>
      <c r="BS22" s="20"/>
      <c r="BT22" s="43"/>
      <c r="BU22" s="19"/>
      <c r="BV22" s="20"/>
      <c r="BW22" s="20"/>
      <c r="BX22" s="43"/>
      <c r="BY22" s="19"/>
      <c r="BZ22" s="20"/>
      <c r="CA22" s="20"/>
      <c r="CB22" s="43"/>
      <c r="CC22" s="19"/>
      <c r="CD22" s="20"/>
      <c r="CE22" s="20"/>
      <c r="CF22" s="43"/>
      <c r="CH22" s="46">
        <v>0</v>
      </c>
      <c r="CI22" s="48" t="str">
        <f>IF(ISBLANK(B21),"",COUNTIF(E24:CF24,"&gt;=3"))</f>
        <v/>
      </c>
      <c r="CJ22" s="64"/>
      <c r="CK22" s="11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L22"/>
      <c r="DM22"/>
    </row>
    <row r="23" spans="2:117" ht="15" customHeight="1" x14ac:dyDescent="0.25">
      <c r="B23" s="63"/>
      <c r="C23" s="63"/>
      <c r="D23" s="38"/>
      <c r="E23" s="42"/>
      <c r="F23" s="20"/>
      <c r="G23" s="20"/>
      <c r="H23" s="19"/>
      <c r="I23" s="42"/>
      <c r="J23" s="20"/>
      <c r="K23" s="20"/>
      <c r="L23" s="19"/>
      <c r="M23" s="42"/>
      <c r="N23" s="20"/>
      <c r="O23" s="20"/>
      <c r="P23" s="19"/>
      <c r="Q23" s="42"/>
      <c r="R23" s="20"/>
      <c r="S23" s="20"/>
      <c r="T23" s="19"/>
      <c r="U23" s="42"/>
      <c r="V23" s="20"/>
      <c r="W23" s="20"/>
      <c r="X23" s="19"/>
      <c r="Y23" s="42"/>
      <c r="Z23" s="20"/>
      <c r="AA23" s="20"/>
      <c r="AB23" s="19"/>
      <c r="AC23" s="42"/>
      <c r="AD23" s="20"/>
      <c r="AE23" s="20"/>
      <c r="AF23" s="19"/>
      <c r="AG23" s="42"/>
      <c r="AH23" s="20"/>
      <c r="AI23" s="20"/>
      <c r="AJ23" s="19"/>
      <c r="AK23" s="42"/>
      <c r="AL23" s="20"/>
      <c r="AM23" s="20"/>
      <c r="AN23" s="19"/>
      <c r="AO23" s="42"/>
      <c r="AP23" s="20"/>
      <c r="AQ23" s="20"/>
      <c r="AR23" s="19"/>
      <c r="AS23" s="42"/>
      <c r="AT23" s="20"/>
      <c r="AU23" s="20"/>
      <c r="AV23" s="43"/>
      <c r="AW23" s="19"/>
      <c r="AX23" s="20"/>
      <c r="AY23" s="20"/>
      <c r="AZ23" s="43"/>
      <c r="BA23" s="19"/>
      <c r="BB23" s="20"/>
      <c r="BC23" s="20"/>
      <c r="BD23" s="43"/>
      <c r="BE23" s="19"/>
      <c r="BF23" s="20"/>
      <c r="BG23" s="20"/>
      <c r="BH23" s="43"/>
      <c r="BI23" s="19"/>
      <c r="BJ23" s="20"/>
      <c r="BK23" s="20"/>
      <c r="BL23" s="43"/>
      <c r="BM23" s="19"/>
      <c r="BN23" s="20"/>
      <c r="BO23" s="20"/>
      <c r="BP23" s="43"/>
      <c r="BQ23" s="19"/>
      <c r="BR23" s="20"/>
      <c r="BS23" s="20"/>
      <c r="BT23" s="43"/>
      <c r="BU23" s="19"/>
      <c r="BV23" s="20"/>
      <c r="BW23" s="20"/>
      <c r="BX23" s="43"/>
      <c r="BY23" s="19"/>
      <c r="BZ23" s="20"/>
      <c r="CA23" s="20"/>
      <c r="CB23" s="43"/>
      <c r="CC23" s="19"/>
      <c r="CD23" s="20"/>
      <c r="CE23" s="20"/>
      <c r="CF23" s="43"/>
      <c r="CH23" s="65" t="str">
        <f>IF(ISBLANK(B21),"","personas cualificadas")</f>
        <v/>
      </c>
      <c r="CI23" s="65" t="str">
        <f>IF(ISBLANK(B21),"","personas cualificadas")</f>
        <v/>
      </c>
      <c r="CJ23" s="64"/>
      <c r="CK23" s="11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L23"/>
      <c r="DM23"/>
    </row>
    <row r="24" spans="2:117" x14ac:dyDescent="0.25">
      <c r="B24" s="63"/>
      <c r="C24" s="63"/>
      <c r="D24" s="38"/>
      <c r="E24" s="69">
        <v>0</v>
      </c>
      <c r="F24" s="67"/>
      <c r="G24" s="67"/>
      <c r="H24" s="67"/>
      <c r="I24" s="69">
        <v>0</v>
      </c>
      <c r="J24" s="67"/>
      <c r="K24" s="67"/>
      <c r="L24" s="67"/>
      <c r="M24" s="69">
        <v>0</v>
      </c>
      <c r="N24" s="67"/>
      <c r="O24" s="67"/>
      <c r="P24" s="67"/>
      <c r="Q24" s="69">
        <v>0</v>
      </c>
      <c r="R24" s="67"/>
      <c r="S24" s="67"/>
      <c r="T24" s="67"/>
      <c r="U24" s="69">
        <v>0</v>
      </c>
      <c r="V24" s="67"/>
      <c r="W24" s="67"/>
      <c r="X24" s="67"/>
      <c r="Y24" s="69">
        <v>0</v>
      </c>
      <c r="Z24" s="67"/>
      <c r="AA24" s="67"/>
      <c r="AB24" s="67"/>
      <c r="AC24" s="69">
        <v>0</v>
      </c>
      <c r="AD24" s="67"/>
      <c r="AE24" s="67"/>
      <c r="AF24" s="67"/>
      <c r="AG24" s="69">
        <v>0</v>
      </c>
      <c r="AH24" s="67"/>
      <c r="AI24" s="67"/>
      <c r="AJ24" s="67"/>
      <c r="AK24" s="69"/>
      <c r="AL24" s="67"/>
      <c r="AM24" s="67"/>
      <c r="AN24" s="67"/>
      <c r="AO24" s="69">
        <v>0</v>
      </c>
      <c r="AP24" s="67"/>
      <c r="AQ24" s="67"/>
      <c r="AR24" s="67"/>
      <c r="AS24" s="69"/>
      <c r="AT24" s="67"/>
      <c r="AU24" s="67"/>
      <c r="AV24" s="68"/>
      <c r="AW24" s="67"/>
      <c r="AX24" s="67"/>
      <c r="AY24" s="67"/>
      <c r="AZ24" s="68"/>
      <c r="BA24" s="67"/>
      <c r="BB24" s="67"/>
      <c r="BC24" s="67"/>
      <c r="BD24" s="68"/>
      <c r="BE24" s="67"/>
      <c r="BF24" s="67"/>
      <c r="BG24" s="67"/>
      <c r="BH24" s="68"/>
      <c r="BI24" s="67">
        <v>0</v>
      </c>
      <c r="BJ24" s="67"/>
      <c r="BK24" s="67"/>
      <c r="BL24" s="68"/>
      <c r="BM24" s="67">
        <v>0</v>
      </c>
      <c r="BN24" s="67"/>
      <c r="BO24" s="67"/>
      <c r="BP24" s="68"/>
      <c r="BQ24" s="67"/>
      <c r="BR24" s="67"/>
      <c r="BS24" s="67"/>
      <c r="BT24" s="68"/>
      <c r="BU24" s="67"/>
      <c r="BV24" s="67"/>
      <c r="BW24" s="67"/>
      <c r="BX24" s="68"/>
      <c r="BY24" s="67"/>
      <c r="BZ24" s="67"/>
      <c r="CA24" s="67"/>
      <c r="CB24" s="68"/>
      <c r="CC24" s="67"/>
      <c r="CD24" s="67"/>
      <c r="CE24" s="67"/>
      <c r="CF24" s="68"/>
      <c r="CG24" s="21"/>
      <c r="CH24" s="66"/>
      <c r="CI24" s="66"/>
      <c r="CJ24" s="64"/>
      <c r="CK24" s="11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L24"/>
      <c r="DM24"/>
    </row>
    <row r="25" spans="2:117" ht="6" customHeight="1" x14ac:dyDescent="0.25">
      <c r="B25" s="63"/>
      <c r="C25" s="63"/>
      <c r="D25" s="38"/>
      <c r="E25" s="39"/>
      <c r="F25" s="40"/>
      <c r="G25" s="40"/>
      <c r="H25" s="40"/>
      <c r="I25" s="39"/>
      <c r="J25" s="40"/>
      <c r="K25" s="40"/>
      <c r="L25" s="40"/>
      <c r="M25" s="39"/>
      <c r="N25" s="40"/>
      <c r="O25" s="40"/>
      <c r="P25" s="40"/>
      <c r="Q25" s="39"/>
      <c r="R25" s="40"/>
      <c r="S25" s="40"/>
      <c r="T25" s="40"/>
      <c r="U25" s="39"/>
      <c r="V25" s="40"/>
      <c r="W25" s="40"/>
      <c r="X25" s="40"/>
      <c r="Y25" s="39"/>
      <c r="Z25" s="40"/>
      <c r="AA25" s="40"/>
      <c r="AB25" s="40"/>
      <c r="AC25" s="39"/>
      <c r="AD25" s="40"/>
      <c r="AE25" s="40"/>
      <c r="AF25" s="40"/>
      <c r="AG25" s="39"/>
      <c r="AH25" s="40"/>
      <c r="AI25" s="40"/>
      <c r="AJ25" s="40"/>
      <c r="AK25" s="39"/>
      <c r="AL25" s="40"/>
      <c r="AM25" s="40"/>
      <c r="AN25" s="40"/>
      <c r="AO25" s="39"/>
      <c r="AP25" s="40"/>
      <c r="AQ25" s="40"/>
      <c r="AR25" s="40"/>
      <c r="AS25" s="39"/>
      <c r="AT25" s="40"/>
      <c r="AU25" s="40"/>
      <c r="AV25" s="41"/>
      <c r="AW25" s="40"/>
      <c r="AX25" s="40"/>
      <c r="AY25" s="40"/>
      <c r="AZ25" s="41"/>
      <c r="BA25" s="40"/>
      <c r="BB25" s="40"/>
      <c r="BC25" s="40"/>
      <c r="BD25" s="41"/>
      <c r="BE25" s="40"/>
      <c r="BF25" s="40"/>
      <c r="BG25" s="40"/>
      <c r="BH25" s="41"/>
      <c r="BI25" s="40"/>
      <c r="BJ25" s="40"/>
      <c r="BK25" s="40"/>
      <c r="BL25" s="41"/>
      <c r="BM25" s="40"/>
      <c r="BN25" s="40"/>
      <c r="BO25" s="40"/>
      <c r="BP25" s="41"/>
      <c r="BQ25" s="40"/>
      <c r="BR25" s="40"/>
      <c r="BS25" s="40"/>
      <c r="BT25" s="41"/>
      <c r="BU25" s="40"/>
      <c r="BV25" s="40"/>
      <c r="BW25" s="40"/>
      <c r="BX25" s="41"/>
      <c r="BY25" s="40"/>
      <c r="BZ25" s="40"/>
      <c r="CA25" s="40"/>
      <c r="CB25" s="41"/>
      <c r="CC25" s="40"/>
      <c r="CD25" s="40"/>
      <c r="CE25" s="40"/>
      <c r="CF25" s="41"/>
      <c r="CH25" s="44"/>
      <c r="CI25" s="47"/>
      <c r="CJ25" s="64" t="str">
        <f>IF(ISBLANK(B25),"",IF(CI26&gt;=CH26,3,IF(CI26=(CH26-1),2,1)))</f>
        <v/>
      </c>
      <c r="CK25" s="11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L25"/>
      <c r="DM25"/>
    </row>
    <row r="26" spans="2:117" ht="15" customHeight="1" x14ac:dyDescent="0.25">
      <c r="B26" s="63"/>
      <c r="C26" s="63"/>
      <c r="D26" s="38"/>
      <c r="E26" s="42"/>
      <c r="F26" s="20"/>
      <c r="G26" s="20"/>
      <c r="H26" s="19"/>
      <c r="I26" s="42"/>
      <c r="J26" s="20"/>
      <c r="K26" s="20"/>
      <c r="L26" s="19"/>
      <c r="M26" s="42"/>
      <c r="N26" s="20"/>
      <c r="O26" s="20"/>
      <c r="P26" s="19"/>
      <c r="Q26" s="42"/>
      <c r="R26" s="20"/>
      <c r="S26" s="20"/>
      <c r="T26" s="19"/>
      <c r="U26" s="42"/>
      <c r="V26" s="20"/>
      <c r="W26" s="20"/>
      <c r="X26" s="19"/>
      <c r="Y26" s="42"/>
      <c r="Z26" s="20"/>
      <c r="AA26" s="20"/>
      <c r="AB26" s="19"/>
      <c r="AC26" s="42"/>
      <c r="AD26" s="20"/>
      <c r="AE26" s="20"/>
      <c r="AF26" s="19"/>
      <c r="AG26" s="42"/>
      <c r="AH26" s="20"/>
      <c r="AI26" s="20"/>
      <c r="AJ26" s="19"/>
      <c r="AK26" s="42"/>
      <c r="AL26" s="20"/>
      <c r="AM26" s="20"/>
      <c r="AN26" s="19"/>
      <c r="AO26" s="42"/>
      <c r="AP26" s="20"/>
      <c r="AQ26" s="20"/>
      <c r="AR26" s="19"/>
      <c r="AS26" s="42"/>
      <c r="AT26" s="20"/>
      <c r="AU26" s="20"/>
      <c r="AV26" s="43"/>
      <c r="AW26" s="19"/>
      <c r="AX26" s="20"/>
      <c r="AY26" s="20"/>
      <c r="AZ26" s="43"/>
      <c r="BA26" s="19"/>
      <c r="BB26" s="20"/>
      <c r="BC26" s="20"/>
      <c r="BD26" s="43"/>
      <c r="BE26" s="19"/>
      <c r="BF26" s="20"/>
      <c r="BG26" s="20"/>
      <c r="BH26" s="43"/>
      <c r="BI26" s="19"/>
      <c r="BJ26" s="20"/>
      <c r="BK26" s="20"/>
      <c r="BL26" s="43"/>
      <c r="BM26" s="19"/>
      <c r="BN26" s="20"/>
      <c r="BO26" s="20"/>
      <c r="BP26" s="43"/>
      <c r="BQ26" s="19"/>
      <c r="BR26" s="20"/>
      <c r="BS26" s="20"/>
      <c r="BT26" s="43"/>
      <c r="BU26" s="19"/>
      <c r="BV26" s="20"/>
      <c r="BW26" s="20"/>
      <c r="BX26" s="43"/>
      <c r="BY26" s="19"/>
      <c r="BZ26" s="20"/>
      <c r="CA26" s="20"/>
      <c r="CB26" s="43"/>
      <c r="CC26" s="19"/>
      <c r="CD26" s="20"/>
      <c r="CE26" s="20"/>
      <c r="CF26" s="43"/>
      <c r="CH26" s="46">
        <v>0</v>
      </c>
      <c r="CI26" s="48" t="str">
        <f>IF(ISBLANK(B25),"",COUNTIF(E28:CF28,"&gt;=3"))</f>
        <v/>
      </c>
      <c r="CJ26" s="64"/>
      <c r="CK26" s="11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L26"/>
      <c r="DM26"/>
    </row>
    <row r="27" spans="2:117" ht="15" customHeight="1" x14ac:dyDescent="0.25">
      <c r="B27" s="63"/>
      <c r="C27" s="63"/>
      <c r="D27" s="38"/>
      <c r="E27" s="42"/>
      <c r="F27" s="20"/>
      <c r="G27" s="20"/>
      <c r="H27" s="19"/>
      <c r="I27" s="42"/>
      <c r="J27" s="20"/>
      <c r="K27" s="20"/>
      <c r="L27" s="19"/>
      <c r="M27" s="42"/>
      <c r="N27" s="20"/>
      <c r="O27" s="20"/>
      <c r="P27" s="19"/>
      <c r="Q27" s="42"/>
      <c r="R27" s="20"/>
      <c r="S27" s="20"/>
      <c r="T27" s="19"/>
      <c r="U27" s="42"/>
      <c r="V27" s="20"/>
      <c r="W27" s="20"/>
      <c r="X27" s="19"/>
      <c r="Y27" s="42"/>
      <c r="Z27" s="20"/>
      <c r="AA27" s="20"/>
      <c r="AB27" s="19"/>
      <c r="AC27" s="42"/>
      <c r="AD27" s="20"/>
      <c r="AE27" s="20"/>
      <c r="AF27" s="19"/>
      <c r="AG27" s="42"/>
      <c r="AH27" s="20"/>
      <c r="AI27" s="20"/>
      <c r="AJ27" s="19"/>
      <c r="AK27" s="42"/>
      <c r="AL27" s="20"/>
      <c r="AM27" s="20"/>
      <c r="AN27" s="19"/>
      <c r="AO27" s="42"/>
      <c r="AP27" s="20"/>
      <c r="AQ27" s="20"/>
      <c r="AR27" s="19"/>
      <c r="AS27" s="42"/>
      <c r="AT27" s="20"/>
      <c r="AU27" s="20"/>
      <c r="AV27" s="43"/>
      <c r="AW27" s="19"/>
      <c r="AX27" s="20"/>
      <c r="AY27" s="20"/>
      <c r="AZ27" s="43"/>
      <c r="BA27" s="19"/>
      <c r="BB27" s="20"/>
      <c r="BC27" s="20"/>
      <c r="BD27" s="43"/>
      <c r="BE27" s="19"/>
      <c r="BF27" s="20"/>
      <c r="BG27" s="20"/>
      <c r="BH27" s="43"/>
      <c r="BI27" s="19"/>
      <c r="BJ27" s="20"/>
      <c r="BK27" s="20"/>
      <c r="BL27" s="43"/>
      <c r="BM27" s="19"/>
      <c r="BN27" s="20"/>
      <c r="BO27" s="20"/>
      <c r="BP27" s="43"/>
      <c r="BQ27" s="19"/>
      <c r="BR27" s="20"/>
      <c r="BS27" s="20"/>
      <c r="BT27" s="43"/>
      <c r="BU27" s="19"/>
      <c r="BV27" s="20"/>
      <c r="BW27" s="20"/>
      <c r="BX27" s="43"/>
      <c r="BY27" s="19"/>
      <c r="BZ27" s="20"/>
      <c r="CA27" s="20"/>
      <c r="CB27" s="43"/>
      <c r="CC27" s="19"/>
      <c r="CD27" s="20"/>
      <c r="CE27" s="20"/>
      <c r="CF27" s="43"/>
      <c r="CH27" s="65" t="str">
        <f>IF(ISBLANK(B25),"","personas cualificadas")</f>
        <v/>
      </c>
      <c r="CI27" s="65" t="str">
        <f>IF(ISBLANK(B25),"","personas cualificadas")</f>
        <v/>
      </c>
      <c r="CJ27" s="64"/>
      <c r="CK27" s="11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L27"/>
      <c r="DM27"/>
    </row>
    <row r="28" spans="2:117" x14ac:dyDescent="0.25">
      <c r="B28" s="63"/>
      <c r="C28" s="63"/>
      <c r="D28" s="38"/>
      <c r="E28" s="62">
        <v>0</v>
      </c>
      <c r="F28" s="60"/>
      <c r="G28" s="60"/>
      <c r="H28" s="60"/>
      <c r="I28" s="62">
        <v>0</v>
      </c>
      <c r="J28" s="60"/>
      <c r="K28" s="60"/>
      <c r="L28" s="60"/>
      <c r="M28" s="62">
        <v>0</v>
      </c>
      <c r="N28" s="60"/>
      <c r="O28" s="60"/>
      <c r="P28" s="60"/>
      <c r="Q28" s="62">
        <v>0</v>
      </c>
      <c r="R28" s="60"/>
      <c r="S28" s="60"/>
      <c r="T28" s="60"/>
      <c r="U28" s="62">
        <v>0</v>
      </c>
      <c r="V28" s="60"/>
      <c r="W28" s="60"/>
      <c r="X28" s="60"/>
      <c r="Y28" s="62">
        <v>0</v>
      </c>
      <c r="Z28" s="60"/>
      <c r="AA28" s="60"/>
      <c r="AB28" s="60"/>
      <c r="AC28" s="62">
        <v>0</v>
      </c>
      <c r="AD28" s="60"/>
      <c r="AE28" s="60"/>
      <c r="AF28" s="60"/>
      <c r="AG28" s="62">
        <v>0</v>
      </c>
      <c r="AH28" s="60"/>
      <c r="AI28" s="60"/>
      <c r="AJ28" s="60"/>
      <c r="AK28" s="62"/>
      <c r="AL28" s="60"/>
      <c r="AM28" s="60"/>
      <c r="AN28" s="60"/>
      <c r="AO28" s="62">
        <v>0</v>
      </c>
      <c r="AP28" s="60"/>
      <c r="AQ28" s="60"/>
      <c r="AR28" s="60"/>
      <c r="AS28" s="62"/>
      <c r="AT28" s="60"/>
      <c r="AU28" s="60"/>
      <c r="AV28" s="61"/>
      <c r="AW28" s="60"/>
      <c r="AX28" s="60"/>
      <c r="AY28" s="60"/>
      <c r="AZ28" s="61"/>
      <c r="BA28" s="60"/>
      <c r="BB28" s="60"/>
      <c r="BC28" s="60"/>
      <c r="BD28" s="61"/>
      <c r="BE28" s="60"/>
      <c r="BF28" s="60"/>
      <c r="BG28" s="60"/>
      <c r="BH28" s="61"/>
      <c r="BI28" s="60">
        <v>0</v>
      </c>
      <c r="BJ28" s="60"/>
      <c r="BK28" s="60"/>
      <c r="BL28" s="61"/>
      <c r="BM28" s="60">
        <v>0</v>
      </c>
      <c r="BN28" s="60"/>
      <c r="BO28" s="60"/>
      <c r="BP28" s="61"/>
      <c r="BQ28" s="60"/>
      <c r="BR28" s="60"/>
      <c r="BS28" s="60"/>
      <c r="BT28" s="61"/>
      <c r="BU28" s="60"/>
      <c r="BV28" s="60"/>
      <c r="BW28" s="60"/>
      <c r="BX28" s="61"/>
      <c r="BY28" s="60"/>
      <c r="BZ28" s="60"/>
      <c r="CA28" s="60"/>
      <c r="CB28" s="61"/>
      <c r="CC28" s="60"/>
      <c r="CD28" s="60"/>
      <c r="CE28" s="60"/>
      <c r="CF28" s="61"/>
      <c r="CG28" s="21"/>
      <c r="CH28" s="66"/>
      <c r="CI28" s="66"/>
      <c r="CJ28" s="64"/>
      <c r="CK28" s="11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L28"/>
      <c r="DM28"/>
    </row>
    <row r="29" spans="2:117" ht="6" customHeight="1" x14ac:dyDescent="0.25">
      <c r="B29" s="63"/>
      <c r="C29" s="63"/>
      <c r="D29" s="38"/>
      <c r="E29" s="42"/>
      <c r="F29" s="19"/>
      <c r="G29" s="19"/>
      <c r="H29" s="19"/>
      <c r="I29" s="42"/>
      <c r="J29" s="19"/>
      <c r="K29" s="19"/>
      <c r="L29" s="19"/>
      <c r="M29" s="42"/>
      <c r="N29" s="19"/>
      <c r="O29" s="19"/>
      <c r="P29" s="19"/>
      <c r="Q29" s="42"/>
      <c r="R29" s="19"/>
      <c r="S29" s="19"/>
      <c r="T29" s="19"/>
      <c r="U29" s="42"/>
      <c r="V29" s="19"/>
      <c r="W29" s="19"/>
      <c r="X29" s="19"/>
      <c r="Y29" s="42"/>
      <c r="Z29" s="19"/>
      <c r="AA29" s="19"/>
      <c r="AB29" s="19"/>
      <c r="AC29" s="42"/>
      <c r="AD29" s="19"/>
      <c r="AE29" s="19"/>
      <c r="AF29" s="19"/>
      <c r="AG29" s="42"/>
      <c r="AH29" s="19"/>
      <c r="AI29" s="19"/>
      <c r="AJ29" s="19"/>
      <c r="AK29" s="42"/>
      <c r="AL29" s="19"/>
      <c r="AM29" s="19"/>
      <c r="AN29" s="19"/>
      <c r="AO29" s="42"/>
      <c r="AP29" s="19"/>
      <c r="AQ29" s="19"/>
      <c r="AR29" s="19"/>
      <c r="AS29" s="42"/>
      <c r="AT29" s="19"/>
      <c r="AU29" s="19"/>
      <c r="AV29" s="43"/>
      <c r="AW29" s="19"/>
      <c r="AX29" s="19"/>
      <c r="AY29" s="19"/>
      <c r="AZ29" s="43"/>
      <c r="BA29" s="19"/>
      <c r="BB29" s="19"/>
      <c r="BC29" s="19"/>
      <c r="BD29" s="43"/>
      <c r="BE29" s="19"/>
      <c r="BF29" s="19"/>
      <c r="BG29" s="19"/>
      <c r="BH29" s="43"/>
      <c r="BI29" s="19"/>
      <c r="BJ29" s="19"/>
      <c r="BK29" s="19"/>
      <c r="BL29" s="43"/>
      <c r="BM29" s="19"/>
      <c r="BN29" s="19"/>
      <c r="BO29" s="19"/>
      <c r="BP29" s="43"/>
      <c r="BQ29" s="19"/>
      <c r="BR29" s="19"/>
      <c r="BS29" s="19"/>
      <c r="BT29" s="43"/>
      <c r="BU29" s="19"/>
      <c r="BV29" s="19"/>
      <c r="BW29" s="19"/>
      <c r="BX29" s="43"/>
      <c r="BY29" s="19"/>
      <c r="BZ29" s="19"/>
      <c r="CA29" s="19"/>
      <c r="CB29" s="43"/>
      <c r="CC29" s="19"/>
      <c r="CD29" s="19"/>
      <c r="CE29" s="19"/>
      <c r="CF29" s="43"/>
      <c r="CH29" s="44"/>
      <c r="CI29" s="47"/>
      <c r="CJ29" s="64" t="str">
        <f>IF(ISBLANK(B29),"",IF(CI30&gt;=CH30,3,IF(CI30=(CH30-1),2,1)))</f>
        <v/>
      </c>
      <c r="CK29" s="11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L29"/>
      <c r="DM29"/>
    </row>
    <row r="30" spans="2:117" ht="15" customHeight="1" x14ac:dyDescent="0.25">
      <c r="B30" s="63"/>
      <c r="C30" s="63"/>
      <c r="D30" s="38"/>
      <c r="E30" s="42"/>
      <c r="F30" s="20"/>
      <c r="G30" s="20"/>
      <c r="H30" s="19"/>
      <c r="I30" s="42"/>
      <c r="J30" s="20"/>
      <c r="K30" s="20"/>
      <c r="L30" s="19"/>
      <c r="M30" s="42"/>
      <c r="N30" s="20"/>
      <c r="O30" s="20"/>
      <c r="P30" s="19"/>
      <c r="Q30" s="42"/>
      <c r="R30" s="20"/>
      <c r="S30" s="20"/>
      <c r="T30" s="19"/>
      <c r="U30" s="42"/>
      <c r="V30" s="20"/>
      <c r="W30" s="20"/>
      <c r="X30" s="19"/>
      <c r="Y30" s="42"/>
      <c r="Z30" s="20"/>
      <c r="AA30" s="20"/>
      <c r="AB30" s="19"/>
      <c r="AC30" s="42"/>
      <c r="AD30" s="20"/>
      <c r="AE30" s="20"/>
      <c r="AF30" s="19"/>
      <c r="AG30" s="42"/>
      <c r="AH30" s="20"/>
      <c r="AI30" s="20"/>
      <c r="AJ30" s="19"/>
      <c r="AK30" s="42"/>
      <c r="AL30" s="20"/>
      <c r="AM30" s="20"/>
      <c r="AN30" s="19"/>
      <c r="AO30" s="42"/>
      <c r="AP30" s="20"/>
      <c r="AQ30" s="20"/>
      <c r="AR30" s="19"/>
      <c r="AS30" s="42"/>
      <c r="AT30" s="20"/>
      <c r="AU30" s="20"/>
      <c r="AV30" s="43"/>
      <c r="AW30" s="19"/>
      <c r="AX30" s="20"/>
      <c r="AY30" s="20"/>
      <c r="AZ30" s="43"/>
      <c r="BA30" s="19"/>
      <c r="BB30" s="20"/>
      <c r="BC30" s="20"/>
      <c r="BD30" s="43"/>
      <c r="BE30" s="19"/>
      <c r="BF30" s="20"/>
      <c r="BG30" s="20"/>
      <c r="BH30" s="43"/>
      <c r="BI30" s="19"/>
      <c r="BJ30" s="20"/>
      <c r="BK30" s="20"/>
      <c r="BL30" s="43"/>
      <c r="BM30" s="19"/>
      <c r="BN30" s="20"/>
      <c r="BO30" s="20"/>
      <c r="BP30" s="43"/>
      <c r="BQ30" s="19"/>
      <c r="BR30" s="20"/>
      <c r="BS30" s="20"/>
      <c r="BT30" s="43"/>
      <c r="BU30" s="19"/>
      <c r="BV30" s="20"/>
      <c r="BW30" s="20"/>
      <c r="BX30" s="43"/>
      <c r="BY30" s="19"/>
      <c r="BZ30" s="20"/>
      <c r="CA30" s="20"/>
      <c r="CB30" s="43"/>
      <c r="CC30" s="19"/>
      <c r="CD30" s="20"/>
      <c r="CE30" s="20"/>
      <c r="CF30" s="43"/>
      <c r="CH30" s="46">
        <v>0</v>
      </c>
      <c r="CI30" s="48" t="str">
        <f>IF(ISBLANK(B29),"",COUNTIF(E32:CF32,"&gt;=3"))</f>
        <v/>
      </c>
      <c r="CJ30" s="64"/>
      <c r="CK30" s="11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L30"/>
      <c r="DM30"/>
    </row>
    <row r="31" spans="2:117" ht="15" customHeight="1" x14ac:dyDescent="0.25">
      <c r="B31" s="63"/>
      <c r="C31" s="63"/>
      <c r="D31" s="38"/>
      <c r="E31" s="42"/>
      <c r="F31" s="20"/>
      <c r="G31" s="20"/>
      <c r="H31" s="19"/>
      <c r="I31" s="42"/>
      <c r="J31" s="20"/>
      <c r="K31" s="20"/>
      <c r="L31" s="19"/>
      <c r="M31" s="42"/>
      <c r="N31" s="20"/>
      <c r="O31" s="20"/>
      <c r="P31" s="19"/>
      <c r="Q31" s="42"/>
      <c r="R31" s="20"/>
      <c r="S31" s="20"/>
      <c r="T31" s="19"/>
      <c r="U31" s="42"/>
      <c r="V31" s="20"/>
      <c r="W31" s="20"/>
      <c r="X31" s="19"/>
      <c r="Y31" s="42"/>
      <c r="Z31" s="20"/>
      <c r="AA31" s="20"/>
      <c r="AB31" s="19"/>
      <c r="AC31" s="42"/>
      <c r="AD31" s="20"/>
      <c r="AE31" s="20"/>
      <c r="AF31" s="19"/>
      <c r="AG31" s="42"/>
      <c r="AH31" s="20"/>
      <c r="AI31" s="20"/>
      <c r="AJ31" s="19"/>
      <c r="AK31" s="42"/>
      <c r="AL31" s="20"/>
      <c r="AM31" s="20"/>
      <c r="AN31" s="19"/>
      <c r="AO31" s="42"/>
      <c r="AP31" s="20"/>
      <c r="AQ31" s="20"/>
      <c r="AR31" s="19"/>
      <c r="AS31" s="42"/>
      <c r="AT31" s="20"/>
      <c r="AU31" s="20"/>
      <c r="AV31" s="43"/>
      <c r="AW31" s="19"/>
      <c r="AX31" s="20"/>
      <c r="AY31" s="20"/>
      <c r="AZ31" s="43"/>
      <c r="BA31" s="19"/>
      <c r="BB31" s="20"/>
      <c r="BC31" s="20"/>
      <c r="BD31" s="43"/>
      <c r="BE31" s="19"/>
      <c r="BF31" s="20"/>
      <c r="BG31" s="20"/>
      <c r="BH31" s="43"/>
      <c r="BI31" s="19"/>
      <c r="BJ31" s="20"/>
      <c r="BK31" s="20"/>
      <c r="BL31" s="43"/>
      <c r="BM31" s="19"/>
      <c r="BN31" s="20"/>
      <c r="BO31" s="20"/>
      <c r="BP31" s="43"/>
      <c r="BQ31" s="19"/>
      <c r="BR31" s="20"/>
      <c r="BS31" s="20"/>
      <c r="BT31" s="43"/>
      <c r="BU31" s="19"/>
      <c r="BV31" s="20"/>
      <c r="BW31" s="20"/>
      <c r="BX31" s="43"/>
      <c r="BY31" s="19"/>
      <c r="BZ31" s="20"/>
      <c r="CA31" s="20"/>
      <c r="CB31" s="43"/>
      <c r="CC31" s="19"/>
      <c r="CD31" s="20"/>
      <c r="CE31" s="20"/>
      <c r="CF31" s="43"/>
      <c r="CH31" s="65" t="str">
        <f>IF(ISBLANK(B29),"","personas cualificadas")</f>
        <v/>
      </c>
      <c r="CI31" s="65" t="str">
        <f>IF(ISBLANK(B29),"","personas cualificadas")</f>
        <v/>
      </c>
      <c r="CJ31" s="64"/>
      <c r="CK31" s="1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L31"/>
      <c r="DM31"/>
    </row>
    <row r="32" spans="2:117" x14ac:dyDescent="0.25">
      <c r="B32" s="63"/>
      <c r="C32" s="63"/>
      <c r="D32" s="38"/>
      <c r="E32" s="69">
        <v>0</v>
      </c>
      <c r="F32" s="67"/>
      <c r="G32" s="67"/>
      <c r="H32" s="67"/>
      <c r="I32" s="69">
        <v>0</v>
      </c>
      <c r="J32" s="67"/>
      <c r="K32" s="67"/>
      <c r="L32" s="67"/>
      <c r="M32" s="69">
        <v>0</v>
      </c>
      <c r="N32" s="67"/>
      <c r="O32" s="67"/>
      <c r="P32" s="67"/>
      <c r="Q32" s="69">
        <v>0</v>
      </c>
      <c r="R32" s="67"/>
      <c r="S32" s="67"/>
      <c r="T32" s="67"/>
      <c r="U32" s="69">
        <v>0</v>
      </c>
      <c r="V32" s="67"/>
      <c r="W32" s="67"/>
      <c r="X32" s="67"/>
      <c r="Y32" s="69">
        <v>0</v>
      </c>
      <c r="Z32" s="67"/>
      <c r="AA32" s="67"/>
      <c r="AB32" s="67"/>
      <c r="AC32" s="69">
        <v>0</v>
      </c>
      <c r="AD32" s="67"/>
      <c r="AE32" s="67"/>
      <c r="AF32" s="67"/>
      <c r="AG32" s="69"/>
      <c r="AH32" s="67"/>
      <c r="AI32" s="67"/>
      <c r="AJ32" s="67"/>
      <c r="AK32" s="69"/>
      <c r="AL32" s="67"/>
      <c r="AM32" s="67"/>
      <c r="AN32" s="67"/>
      <c r="AO32" s="69">
        <v>0</v>
      </c>
      <c r="AP32" s="67"/>
      <c r="AQ32" s="67"/>
      <c r="AR32" s="67"/>
      <c r="AS32" s="69"/>
      <c r="AT32" s="67"/>
      <c r="AU32" s="67"/>
      <c r="AV32" s="68"/>
      <c r="AW32" s="67"/>
      <c r="AX32" s="67"/>
      <c r="AY32" s="67"/>
      <c r="AZ32" s="68"/>
      <c r="BA32" s="67"/>
      <c r="BB32" s="67"/>
      <c r="BC32" s="67"/>
      <c r="BD32" s="68"/>
      <c r="BE32" s="67"/>
      <c r="BF32" s="67"/>
      <c r="BG32" s="67"/>
      <c r="BH32" s="68"/>
      <c r="BI32" s="67">
        <v>0</v>
      </c>
      <c r="BJ32" s="67"/>
      <c r="BK32" s="67"/>
      <c r="BL32" s="68"/>
      <c r="BM32" s="67">
        <v>0</v>
      </c>
      <c r="BN32" s="67"/>
      <c r="BO32" s="67"/>
      <c r="BP32" s="68"/>
      <c r="BQ32" s="67"/>
      <c r="BR32" s="67"/>
      <c r="BS32" s="67"/>
      <c r="BT32" s="68"/>
      <c r="BU32" s="67"/>
      <c r="BV32" s="67"/>
      <c r="BW32" s="67"/>
      <c r="BX32" s="68"/>
      <c r="BY32" s="67"/>
      <c r="BZ32" s="67"/>
      <c r="CA32" s="67"/>
      <c r="CB32" s="68"/>
      <c r="CC32" s="67"/>
      <c r="CD32" s="67"/>
      <c r="CE32" s="67"/>
      <c r="CF32" s="68"/>
      <c r="CG32" s="21"/>
      <c r="CH32" s="66"/>
      <c r="CI32" s="66"/>
      <c r="CJ32" s="64"/>
      <c r="CK32" s="11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L32"/>
      <c r="DM32"/>
    </row>
    <row r="33" spans="2:117" ht="6" customHeight="1" x14ac:dyDescent="0.25">
      <c r="B33" s="63"/>
      <c r="C33" s="63"/>
      <c r="D33" s="38"/>
      <c r="E33" s="39"/>
      <c r="F33" s="40"/>
      <c r="G33" s="40"/>
      <c r="H33" s="40"/>
      <c r="I33" s="39"/>
      <c r="J33" s="40"/>
      <c r="K33" s="40"/>
      <c r="L33" s="40"/>
      <c r="M33" s="39"/>
      <c r="N33" s="40"/>
      <c r="O33" s="40"/>
      <c r="P33" s="40"/>
      <c r="Q33" s="39"/>
      <c r="R33" s="40"/>
      <c r="S33" s="40"/>
      <c r="T33" s="40"/>
      <c r="U33" s="39"/>
      <c r="V33" s="40"/>
      <c r="W33" s="40"/>
      <c r="X33" s="40"/>
      <c r="Y33" s="39"/>
      <c r="Z33" s="40"/>
      <c r="AA33" s="40"/>
      <c r="AB33" s="40"/>
      <c r="AC33" s="39"/>
      <c r="AD33" s="40"/>
      <c r="AE33" s="40"/>
      <c r="AF33" s="40"/>
      <c r="AG33" s="39"/>
      <c r="AH33" s="40"/>
      <c r="AI33" s="40"/>
      <c r="AJ33" s="40"/>
      <c r="AK33" s="39"/>
      <c r="AL33" s="40"/>
      <c r="AM33" s="40"/>
      <c r="AN33" s="40"/>
      <c r="AO33" s="39"/>
      <c r="AP33" s="40"/>
      <c r="AQ33" s="40"/>
      <c r="AR33" s="40"/>
      <c r="AS33" s="39"/>
      <c r="AT33" s="40"/>
      <c r="AU33" s="40"/>
      <c r="AV33" s="41"/>
      <c r="AW33" s="40"/>
      <c r="AX33" s="40"/>
      <c r="AY33" s="40"/>
      <c r="AZ33" s="41"/>
      <c r="BA33" s="40"/>
      <c r="BB33" s="40"/>
      <c r="BC33" s="40"/>
      <c r="BD33" s="41"/>
      <c r="BE33" s="40"/>
      <c r="BF33" s="40"/>
      <c r="BG33" s="40"/>
      <c r="BH33" s="41"/>
      <c r="BI33" s="40"/>
      <c r="BJ33" s="40"/>
      <c r="BK33" s="40"/>
      <c r="BL33" s="41"/>
      <c r="BM33" s="40"/>
      <c r="BN33" s="40"/>
      <c r="BO33" s="40"/>
      <c r="BP33" s="41"/>
      <c r="BQ33" s="40"/>
      <c r="BR33" s="40"/>
      <c r="BS33" s="40"/>
      <c r="BT33" s="41"/>
      <c r="BU33" s="40"/>
      <c r="BV33" s="40"/>
      <c r="BW33" s="40"/>
      <c r="BX33" s="41"/>
      <c r="BY33" s="40"/>
      <c r="BZ33" s="40"/>
      <c r="CA33" s="40"/>
      <c r="CB33" s="41"/>
      <c r="CC33" s="40"/>
      <c r="CD33" s="40"/>
      <c r="CE33" s="40"/>
      <c r="CF33" s="41"/>
      <c r="CH33" s="44"/>
      <c r="CI33" s="47"/>
      <c r="CJ33" s="64" t="str">
        <f>IF(ISBLANK(B33),"",IF(CI34&gt;=CH34,3,IF(CI34=(CH34-1),2,1)))</f>
        <v/>
      </c>
      <c r="CK33" s="11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L33"/>
      <c r="DM33"/>
    </row>
    <row r="34" spans="2:117" ht="15" customHeight="1" x14ac:dyDescent="0.25">
      <c r="B34" s="63"/>
      <c r="C34" s="63"/>
      <c r="D34" s="38"/>
      <c r="E34" s="42"/>
      <c r="F34" s="20"/>
      <c r="G34" s="20"/>
      <c r="H34" s="19"/>
      <c r="I34" s="42"/>
      <c r="J34" s="20"/>
      <c r="K34" s="20"/>
      <c r="L34" s="19"/>
      <c r="M34" s="42"/>
      <c r="N34" s="20"/>
      <c r="O34" s="20"/>
      <c r="P34" s="19"/>
      <c r="Q34" s="42"/>
      <c r="R34" s="20"/>
      <c r="S34" s="20"/>
      <c r="T34" s="19"/>
      <c r="U34" s="42"/>
      <c r="V34" s="20"/>
      <c r="W34" s="20"/>
      <c r="X34" s="19"/>
      <c r="Y34" s="42"/>
      <c r="Z34" s="20"/>
      <c r="AA34" s="20"/>
      <c r="AB34" s="19"/>
      <c r="AC34" s="42"/>
      <c r="AD34" s="20"/>
      <c r="AE34" s="20"/>
      <c r="AF34" s="19"/>
      <c r="AG34" s="42"/>
      <c r="AH34" s="20"/>
      <c r="AI34" s="20"/>
      <c r="AJ34" s="19"/>
      <c r="AK34" s="42"/>
      <c r="AL34" s="20"/>
      <c r="AM34" s="20"/>
      <c r="AN34" s="19"/>
      <c r="AO34" s="42"/>
      <c r="AP34" s="20"/>
      <c r="AQ34" s="20"/>
      <c r="AR34" s="19"/>
      <c r="AS34" s="42"/>
      <c r="AT34" s="20"/>
      <c r="AU34" s="20"/>
      <c r="AV34" s="43"/>
      <c r="AW34" s="19"/>
      <c r="AX34" s="20"/>
      <c r="AY34" s="20"/>
      <c r="AZ34" s="43"/>
      <c r="BA34" s="19"/>
      <c r="BB34" s="20"/>
      <c r="BC34" s="20"/>
      <c r="BD34" s="43"/>
      <c r="BE34" s="19"/>
      <c r="BF34" s="20"/>
      <c r="BG34" s="20"/>
      <c r="BH34" s="43"/>
      <c r="BI34" s="19"/>
      <c r="BJ34" s="20"/>
      <c r="BK34" s="20"/>
      <c r="BL34" s="43"/>
      <c r="BM34" s="19"/>
      <c r="BN34" s="20"/>
      <c r="BO34" s="20"/>
      <c r="BP34" s="43"/>
      <c r="BQ34" s="19"/>
      <c r="BR34" s="20"/>
      <c r="BS34" s="20"/>
      <c r="BT34" s="43"/>
      <c r="BU34" s="19"/>
      <c r="BV34" s="20"/>
      <c r="BW34" s="20"/>
      <c r="BX34" s="43"/>
      <c r="BY34" s="19"/>
      <c r="BZ34" s="20"/>
      <c r="CA34" s="20"/>
      <c r="CB34" s="43"/>
      <c r="CC34" s="19"/>
      <c r="CD34" s="20"/>
      <c r="CE34" s="20"/>
      <c r="CF34" s="43"/>
      <c r="CH34" s="46">
        <v>0</v>
      </c>
      <c r="CI34" s="48" t="str">
        <f>IF(ISBLANK(B33),"",COUNTIF(E36:CF36,"&gt;=3"))</f>
        <v/>
      </c>
      <c r="CJ34" s="64"/>
      <c r="CK34" s="11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L34"/>
      <c r="DM34"/>
    </row>
    <row r="35" spans="2:117" ht="15" customHeight="1" x14ac:dyDescent="0.25">
      <c r="B35" s="63"/>
      <c r="C35" s="63"/>
      <c r="D35" s="38"/>
      <c r="E35" s="42"/>
      <c r="F35" s="20"/>
      <c r="G35" s="20"/>
      <c r="H35" s="19"/>
      <c r="I35" s="42"/>
      <c r="J35" s="20"/>
      <c r="K35" s="20"/>
      <c r="L35" s="19"/>
      <c r="M35" s="42"/>
      <c r="N35" s="20"/>
      <c r="O35" s="20"/>
      <c r="P35" s="19"/>
      <c r="Q35" s="42"/>
      <c r="R35" s="20"/>
      <c r="S35" s="20"/>
      <c r="T35" s="19"/>
      <c r="U35" s="42"/>
      <c r="V35" s="20"/>
      <c r="W35" s="20"/>
      <c r="X35" s="19"/>
      <c r="Y35" s="42"/>
      <c r="Z35" s="20"/>
      <c r="AA35" s="20"/>
      <c r="AB35" s="19"/>
      <c r="AC35" s="42"/>
      <c r="AD35" s="20"/>
      <c r="AE35" s="20"/>
      <c r="AF35" s="19"/>
      <c r="AG35" s="42"/>
      <c r="AH35" s="20"/>
      <c r="AI35" s="20"/>
      <c r="AJ35" s="19"/>
      <c r="AK35" s="42"/>
      <c r="AL35" s="20"/>
      <c r="AM35" s="20"/>
      <c r="AN35" s="19"/>
      <c r="AO35" s="42"/>
      <c r="AP35" s="20"/>
      <c r="AQ35" s="20"/>
      <c r="AR35" s="19"/>
      <c r="AS35" s="42"/>
      <c r="AT35" s="20"/>
      <c r="AU35" s="20"/>
      <c r="AV35" s="43"/>
      <c r="AW35" s="19"/>
      <c r="AX35" s="20"/>
      <c r="AY35" s="20"/>
      <c r="AZ35" s="43"/>
      <c r="BA35" s="19"/>
      <c r="BB35" s="20"/>
      <c r="BC35" s="20"/>
      <c r="BD35" s="43"/>
      <c r="BE35" s="19"/>
      <c r="BF35" s="20"/>
      <c r="BG35" s="20"/>
      <c r="BH35" s="43"/>
      <c r="BI35" s="19"/>
      <c r="BJ35" s="20"/>
      <c r="BK35" s="20"/>
      <c r="BL35" s="43"/>
      <c r="BM35" s="19"/>
      <c r="BN35" s="20"/>
      <c r="BO35" s="20"/>
      <c r="BP35" s="43"/>
      <c r="BQ35" s="19"/>
      <c r="BR35" s="20"/>
      <c r="BS35" s="20"/>
      <c r="BT35" s="43"/>
      <c r="BU35" s="19"/>
      <c r="BV35" s="20"/>
      <c r="BW35" s="20"/>
      <c r="BX35" s="43"/>
      <c r="BY35" s="19"/>
      <c r="BZ35" s="20"/>
      <c r="CA35" s="20"/>
      <c r="CB35" s="43"/>
      <c r="CC35" s="19"/>
      <c r="CD35" s="20"/>
      <c r="CE35" s="20"/>
      <c r="CF35" s="43"/>
      <c r="CH35" s="65" t="str">
        <f>IF(ISBLANK(B33),"","personas cualificadas")</f>
        <v/>
      </c>
      <c r="CI35" s="65" t="str">
        <f>IF(ISBLANK(B33),"","personas cualificadas")</f>
        <v/>
      </c>
      <c r="CJ35" s="64"/>
      <c r="CK35" s="11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L35"/>
      <c r="DM35"/>
    </row>
    <row r="36" spans="2:117" x14ac:dyDescent="0.25">
      <c r="B36" s="63"/>
      <c r="C36" s="63"/>
      <c r="D36" s="38"/>
      <c r="E36" s="69">
        <v>0</v>
      </c>
      <c r="F36" s="67"/>
      <c r="G36" s="67"/>
      <c r="H36" s="67"/>
      <c r="I36" s="69">
        <v>0</v>
      </c>
      <c r="J36" s="67"/>
      <c r="K36" s="67"/>
      <c r="L36" s="67"/>
      <c r="M36" s="69">
        <v>0</v>
      </c>
      <c r="N36" s="67"/>
      <c r="O36" s="67"/>
      <c r="P36" s="67"/>
      <c r="Q36" s="69">
        <v>0</v>
      </c>
      <c r="R36" s="67"/>
      <c r="S36" s="67"/>
      <c r="T36" s="67"/>
      <c r="U36" s="69">
        <v>0</v>
      </c>
      <c r="V36" s="67"/>
      <c r="W36" s="67"/>
      <c r="X36" s="67"/>
      <c r="Y36" s="69">
        <v>0</v>
      </c>
      <c r="Z36" s="67"/>
      <c r="AA36" s="67"/>
      <c r="AB36" s="67"/>
      <c r="AC36" s="69">
        <v>0</v>
      </c>
      <c r="AD36" s="67"/>
      <c r="AE36" s="67"/>
      <c r="AF36" s="67"/>
      <c r="AG36" s="69"/>
      <c r="AH36" s="67"/>
      <c r="AI36" s="67"/>
      <c r="AJ36" s="67"/>
      <c r="AK36" s="69">
        <v>0</v>
      </c>
      <c r="AL36" s="67"/>
      <c r="AM36" s="67"/>
      <c r="AN36" s="67"/>
      <c r="AO36" s="69">
        <v>0</v>
      </c>
      <c r="AP36" s="67"/>
      <c r="AQ36" s="67"/>
      <c r="AR36" s="67"/>
      <c r="AS36" s="69"/>
      <c r="AT36" s="67"/>
      <c r="AU36" s="67"/>
      <c r="AV36" s="68"/>
      <c r="AW36" s="67"/>
      <c r="AX36" s="67"/>
      <c r="AY36" s="67"/>
      <c r="AZ36" s="68"/>
      <c r="BA36" s="67"/>
      <c r="BB36" s="67"/>
      <c r="BC36" s="67"/>
      <c r="BD36" s="68"/>
      <c r="BE36" s="67"/>
      <c r="BF36" s="67"/>
      <c r="BG36" s="67"/>
      <c r="BH36" s="68"/>
      <c r="BI36" s="67">
        <v>0</v>
      </c>
      <c r="BJ36" s="67"/>
      <c r="BK36" s="67"/>
      <c r="BL36" s="68"/>
      <c r="BM36" s="67">
        <v>0</v>
      </c>
      <c r="BN36" s="67"/>
      <c r="BO36" s="67"/>
      <c r="BP36" s="68"/>
      <c r="BQ36" s="67"/>
      <c r="BR36" s="67"/>
      <c r="BS36" s="67"/>
      <c r="BT36" s="68"/>
      <c r="BU36" s="67"/>
      <c r="BV36" s="67"/>
      <c r="BW36" s="67"/>
      <c r="BX36" s="68"/>
      <c r="BY36" s="67"/>
      <c r="BZ36" s="67"/>
      <c r="CA36" s="67"/>
      <c r="CB36" s="68"/>
      <c r="CC36" s="67"/>
      <c r="CD36" s="67"/>
      <c r="CE36" s="67"/>
      <c r="CF36" s="68"/>
      <c r="CG36" s="21"/>
      <c r="CH36" s="66"/>
      <c r="CI36" s="66"/>
      <c r="CJ36" s="64"/>
      <c r="CK36" s="11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L36"/>
      <c r="DM36"/>
    </row>
    <row r="37" spans="2:117" ht="6" customHeight="1" x14ac:dyDescent="0.25">
      <c r="B37" s="63"/>
      <c r="C37" s="63"/>
      <c r="D37" s="38"/>
      <c r="E37" s="39"/>
      <c r="F37" s="40"/>
      <c r="G37" s="40"/>
      <c r="H37" s="40"/>
      <c r="I37" s="39"/>
      <c r="J37" s="40"/>
      <c r="K37" s="40"/>
      <c r="L37" s="40"/>
      <c r="M37" s="39"/>
      <c r="N37" s="40"/>
      <c r="O37" s="40"/>
      <c r="P37" s="40"/>
      <c r="Q37" s="39"/>
      <c r="R37" s="40"/>
      <c r="S37" s="40"/>
      <c r="T37" s="40"/>
      <c r="U37" s="39"/>
      <c r="V37" s="40"/>
      <c r="W37" s="40"/>
      <c r="X37" s="40"/>
      <c r="Y37" s="39"/>
      <c r="Z37" s="40"/>
      <c r="AA37" s="40"/>
      <c r="AB37" s="40"/>
      <c r="AC37" s="39"/>
      <c r="AD37" s="40"/>
      <c r="AE37" s="40"/>
      <c r="AF37" s="40"/>
      <c r="AG37" s="39"/>
      <c r="AH37" s="40"/>
      <c r="AI37" s="40"/>
      <c r="AJ37" s="40"/>
      <c r="AK37" s="39"/>
      <c r="AL37" s="40"/>
      <c r="AM37" s="40"/>
      <c r="AN37" s="40"/>
      <c r="AO37" s="39"/>
      <c r="AP37" s="40"/>
      <c r="AQ37" s="40"/>
      <c r="AR37" s="40"/>
      <c r="AS37" s="39"/>
      <c r="AT37" s="40"/>
      <c r="AU37" s="40"/>
      <c r="AV37" s="41"/>
      <c r="AW37" s="40"/>
      <c r="AX37" s="40"/>
      <c r="AY37" s="40"/>
      <c r="AZ37" s="41"/>
      <c r="BA37" s="40"/>
      <c r="BB37" s="40"/>
      <c r="BC37" s="40"/>
      <c r="BD37" s="41"/>
      <c r="BE37" s="40"/>
      <c r="BF37" s="40"/>
      <c r="BG37" s="40"/>
      <c r="BH37" s="41"/>
      <c r="BI37" s="40"/>
      <c r="BJ37" s="40"/>
      <c r="BK37" s="40"/>
      <c r="BL37" s="41"/>
      <c r="BM37" s="40"/>
      <c r="BN37" s="40"/>
      <c r="BO37" s="40"/>
      <c r="BP37" s="41"/>
      <c r="BQ37" s="40"/>
      <c r="BR37" s="40"/>
      <c r="BS37" s="40"/>
      <c r="BT37" s="41"/>
      <c r="BU37" s="40"/>
      <c r="BV37" s="40"/>
      <c r="BW37" s="40"/>
      <c r="BX37" s="41"/>
      <c r="BY37" s="40"/>
      <c r="BZ37" s="40"/>
      <c r="CA37" s="40"/>
      <c r="CB37" s="41"/>
      <c r="CC37" s="40"/>
      <c r="CD37" s="40"/>
      <c r="CE37" s="40"/>
      <c r="CF37" s="41"/>
      <c r="CH37" s="44"/>
      <c r="CI37" s="44"/>
      <c r="CJ37" s="64" t="str">
        <f>IF(ISBLANK(B37),"",IF(CI38&gt;=CH38,3,IF(CI38=(CH38-1),2,1)))</f>
        <v/>
      </c>
      <c r="CK37" s="11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L37"/>
      <c r="DM37"/>
    </row>
    <row r="38" spans="2:117" ht="15" customHeight="1" x14ac:dyDescent="0.25">
      <c r="B38" s="63"/>
      <c r="C38" s="63"/>
      <c r="D38" s="38"/>
      <c r="E38" s="42"/>
      <c r="F38" s="20"/>
      <c r="G38" s="20"/>
      <c r="H38" s="19"/>
      <c r="I38" s="42"/>
      <c r="J38" s="20"/>
      <c r="K38" s="20"/>
      <c r="L38" s="19"/>
      <c r="M38" s="42"/>
      <c r="N38" s="20"/>
      <c r="O38" s="20"/>
      <c r="P38" s="19"/>
      <c r="Q38" s="42"/>
      <c r="R38" s="20"/>
      <c r="S38" s="20"/>
      <c r="T38" s="19"/>
      <c r="U38" s="42"/>
      <c r="V38" s="20"/>
      <c r="W38" s="20"/>
      <c r="X38" s="19"/>
      <c r="Y38" s="42"/>
      <c r="Z38" s="20"/>
      <c r="AA38" s="20"/>
      <c r="AB38" s="19"/>
      <c r="AC38" s="42"/>
      <c r="AD38" s="20"/>
      <c r="AE38" s="20"/>
      <c r="AF38" s="19"/>
      <c r="AG38" s="42"/>
      <c r="AH38" s="20"/>
      <c r="AI38" s="20"/>
      <c r="AJ38" s="19"/>
      <c r="AK38" s="42"/>
      <c r="AL38" s="20"/>
      <c r="AM38" s="20"/>
      <c r="AN38" s="19"/>
      <c r="AO38" s="42"/>
      <c r="AP38" s="20"/>
      <c r="AQ38" s="20"/>
      <c r="AR38" s="19"/>
      <c r="AS38" s="42"/>
      <c r="AT38" s="20"/>
      <c r="AU38" s="20"/>
      <c r="AV38" s="43"/>
      <c r="AW38" s="19"/>
      <c r="AX38" s="20"/>
      <c r="AY38" s="20"/>
      <c r="AZ38" s="43"/>
      <c r="BA38" s="19"/>
      <c r="BB38" s="20"/>
      <c r="BC38" s="20"/>
      <c r="BD38" s="43"/>
      <c r="BE38" s="19"/>
      <c r="BF38" s="20"/>
      <c r="BG38" s="20"/>
      <c r="BH38" s="43"/>
      <c r="BI38" s="19"/>
      <c r="BJ38" s="20"/>
      <c r="BK38" s="20"/>
      <c r="BL38" s="43"/>
      <c r="BM38" s="19"/>
      <c r="BN38" s="20"/>
      <c r="BO38" s="20"/>
      <c r="BP38" s="43"/>
      <c r="BQ38" s="19"/>
      <c r="BR38" s="20"/>
      <c r="BS38" s="20"/>
      <c r="BT38" s="43"/>
      <c r="BU38" s="19"/>
      <c r="BV38" s="20"/>
      <c r="BW38" s="20"/>
      <c r="BX38" s="43"/>
      <c r="BY38" s="19"/>
      <c r="BZ38" s="20"/>
      <c r="CA38" s="20"/>
      <c r="CB38" s="43"/>
      <c r="CC38" s="19"/>
      <c r="CD38" s="20"/>
      <c r="CE38" s="20"/>
      <c r="CF38" s="43"/>
      <c r="CH38" s="46">
        <v>0</v>
      </c>
      <c r="CI38" s="45" t="str">
        <f>IF(ISBLANK(B37),"",COUNTIF(E40:CF40,"&gt;=3"))</f>
        <v/>
      </c>
      <c r="CJ38" s="64"/>
      <c r="CK38" s="11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L38"/>
      <c r="DM38"/>
    </row>
    <row r="39" spans="2:117" ht="15" customHeight="1" x14ac:dyDescent="0.25">
      <c r="B39" s="63"/>
      <c r="C39" s="63"/>
      <c r="D39" s="38"/>
      <c r="E39" s="42"/>
      <c r="F39" s="20"/>
      <c r="G39" s="20"/>
      <c r="H39" s="19"/>
      <c r="I39" s="42"/>
      <c r="J39" s="20"/>
      <c r="K39" s="20"/>
      <c r="L39" s="19"/>
      <c r="M39" s="42"/>
      <c r="N39" s="20"/>
      <c r="O39" s="20"/>
      <c r="P39" s="19"/>
      <c r="Q39" s="42"/>
      <c r="R39" s="20"/>
      <c r="S39" s="20"/>
      <c r="T39" s="19"/>
      <c r="U39" s="42"/>
      <c r="V39" s="20"/>
      <c r="W39" s="20"/>
      <c r="X39" s="19"/>
      <c r="Y39" s="42"/>
      <c r="Z39" s="20"/>
      <c r="AA39" s="20"/>
      <c r="AB39" s="19"/>
      <c r="AC39" s="42"/>
      <c r="AD39" s="20"/>
      <c r="AE39" s="20"/>
      <c r="AF39" s="19"/>
      <c r="AG39" s="42"/>
      <c r="AH39" s="20"/>
      <c r="AI39" s="20"/>
      <c r="AJ39" s="19"/>
      <c r="AK39" s="42"/>
      <c r="AL39" s="20"/>
      <c r="AM39" s="20"/>
      <c r="AN39" s="19"/>
      <c r="AO39" s="42"/>
      <c r="AP39" s="20"/>
      <c r="AQ39" s="20"/>
      <c r="AR39" s="19"/>
      <c r="AS39" s="42"/>
      <c r="AT39" s="20"/>
      <c r="AU39" s="20"/>
      <c r="AV39" s="43"/>
      <c r="AW39" s="19"/>
      <c r="AX39" s="20"/>
      <c r="AY39" s="20"/>
      <c r="AZ39" s="43"/>
      <c r="BA39" s="19"/>
      <c r="BB39" s="20"/>
      <c r="BC39" s="20"/>
      <c r="BD39" s="43"/>
      <c r="BE39" s="19"/>
      <c r="BF39" s="20"/>
      <c r="BG39" s="20"/>
      <c r="BH39" s="43"/>
      <c r="BI39" s="19"/>
      <c r="BJ39" s="20"/>
      <c r="BK39" s="20"/>
      <c r="BL39" s="43"/>
      <c r="BM39" s="19"/>
      <c r="BN39" s="20"/>
      <c r="BO39" s="20"/>
      <c r="BP39" s="43"/>
      <c r="BQ39" s="19"/>
      <c r="BR39" s="20"/>
      <c r="BS39" s="20"/>
      <c r="BT39" s="43"/>
      <c r="BU39" s="19"/>
      <c r="BV39" s="20"/>
      <c r="BW39" s="20"/>
      <c r="BX39" s="43"/>
      <c r="BY39" s="19"/>
      <c r="BZ39" s="20"/>
      <c r="CA39" s="20"/>
      <c r="CB39" s="43"/>
      <c r="CC39" s="19"/>
      <c r="CD39" s="20"/>
      <c r="CE39" s="20"/>
      <c r="CF39" s="43"/>
      <c r="CH39" s="65" t="str">
        <f>IF(ISBLANK(B37),"","personas cualificadas")</f>
        <v/>
      </c>
      <c r="CI39" s="65" t="str">
        <f>IF(ISBLANK(B37),"","personas cualificadas")</f>
        <v/>
      </c>
      <c r="CJ39" s="64"/>
      <c r="CK39" s="11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L39"/>
      <c r="DM39"/>
    </row>
    <row r="40" spans="2:117" x14ac:dyDescent="0.25">
      <c r="B40" s="63"/>
      <c r="C40" s="63"/>
      <c r="D40" s="38"/>
      <c r="E40" s="69">
        <v>0</v>
      </c>
      <c r="F40" s="67"/>
      <c r="G40" s="67"/>
      <c r="H40" s="67"/>
      <c r="I40" s="69"/>
      <c r="J40" s="67"/>
      <c r="K40" s="67"/>
      <c r="L40" s="67"/>
      <c r="M40" s="69"/>
      <c r="N40" s="67"/>
      <c r="O40" s="67"/>
      <c r="P40" s="67"/>
      <c r="Q40" s="69"/>
      <c r="R40" s="67"/>
      <c r="S40" s="67"/>
      <c r="T40" s="67"/>
      <c r="U40" s="69"/>
      <c r="V40" s="67"/>
      <c r="W40" s="67"/>
      <c r="X40" s="67"/>
      <c r="Y40" s="69">
        <v>0</v>
      </c>
      <c r="Z40" s="67"/>
      <c r="AA40" s="67"/>
      <c r="AB40" s="67"/>
      <c r="AC40" s="69">
        <v>0</v>
      </c>
      <c r="AD40" s="67"/>
      <c r="AE40" s="67"/>
      <c r="AF40" s="67"/>
      <c r="AG40" s="69"/>
      <c r="AH40" s="67"/>
      <c r="AI40" s="67"/>
      <c r="AJ40" s="67"/>
      <c r="AK40" s="69"/>
      <c r="AL40" s="67"/>
      <c r="AM40" s="67"/>
      <c r="AN40" s="67"/>
      <c r="AO40" s="69">
        <v>0</v>
      </c>
      <c r="AP40" s="67"/>
      <c r="AQ40" s="67"/>
      <c r="AR40" s="67"/>
      <c r="AS40" s="69"/>
      <c r="AT40" s="67"/>
      <c r="AU40" s="67"/>
      <c r="AV40" s="68"/>
      <c r="AW40" s="67"/>
      <c r="AX40" s="67"/>
      <c r="AY40" s="67"/>
      <c r="AZ40" s="68"/>
      <c r="BA40" s="67"/>
      <c r="BB40" s="67"/>
      <c r="BC40" s="67"/>
      <c r="BD40" s="68"/>
      <c r="BE40" s="67"/>
      <c r="BF40" s="67"/>
      <c r="BG40" s="67"/>
      <c r="BH40" s="68"/>
      <c r="BI40" s="67">
        <v>0</v>
      </c>
      <c r="BJ40" s="67"/>
      <c r="BK40" s="67"/>
      <c r="BL40" s="68"/>
      <c r="BM40" s="67">
        <v>0</v>
      </c>
      <c r="BN40" s="67"/>
      <c r="BO40" s="67"/>
      <c r="BP40" s="68"/>
      <c r="BQ40" s="67"/>
      <c r="BR40" s="67"/>
      <c r="BS40" s="67"/>
      <c r="BT40" s="68"/>
      <c r="BU40" s="67"/>
      <c r="BV40" s="67"/>
      <c r="BW40" s="67"/>
      <c r="BX40" s="68"/>
      <c r="BY40" s="67"/>
      <c r="BZ40" s="67"/>
      <c r="CA40" s="67"/>
      <c r="CB40" s="68"/>
      <c r="CC40" s="67"/>
      <c r="CD40" s="67"/>
      <c r="CE40" s="67"/>
      <c r="CF40" s="68"/>
      <c r="CG40" s="21"/>
      <c r="CH40" s="66"/>
      <c r="CI40" s="66"/>
      <c r="CJ40" s="64"/>
      <c r="CK40" s="11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L40"/>
      <c r="DM40"/>
    </row>
    <row r="41" spans="2:117" ht="6" customHeight="1" x14ac:dyDescent="0.25">
      <c r="B41" s="63"/>
      <c r="C41" s="63"/>
      <c r="D41" s="38"/>
      <c r="E41" s="39"/>
      <c r="F41" s="40"/>
      <c r="G41" s="40"/>
      <c r="H41" s="40"/>
      <c r="I41" s="39"/>
      <c r="J41" s="40"/>
      <c r="K41" s="40"/>
      <c r="L41" s="40"/>
      <c r="M41" s="39"/>
      <c r="N41" s="40"/>
      <c r="O41" s="40"/>
      <c r="P41" s="40"/>
      <c r="Q41" s="39"/>
      <c r="R41" s="40"/>
      <c r="S41" s="40"/>
      <c r="T41" s="40"/>
      <c r="U41" s="39"/>
      <c r="V41" s="40"/>
      <c r="W41" s="40"/>
      <c r="X41" s="40"/>
      <c r="Y41" s="39"/>
      <c r="Z41" s="40"/>
      <c r="AA41" s="40"/>
      <c r="AB41" s="40"/>
      <c r="AC41" s="39"/>
      <c r="AD41" s="40"/>
      <c r="AE41" s="40"/>
      <c r="AF41" s="40"/>
      <c r="AG41" s="39"/>
      <c r="AH41" s="40"/>
      <c r="AI41" s="40"/>
      <c r="AJ41" s="40"/>
      <c r="AK41" s="39"/>
      <c r="AL41" s="40"/>
      <c r="AM41" s="40"/>
      <c r="AN41" s="40"/>
      <c r="AO41" s="39"/>
      <c r="AP41" s="40"/>
      <c r="AQ41" s="40"/>
      <c r="AR41" s="40"/>
      <c r="AS41" s="39"/>
      <c r="AT41" s="40"/>
      <c r="AU41" s="40"/>
      <c r="AV41" s="41"/>
      <c r="AW41" s="40"/>
      <c r="AX41" s="40"/>
      <c r="AY41" s="40"/>
      <c r="AZ41" s="41"/>
      <c r="BA41" s="40"/>
      <c r="BB41" s="40"/>
      <c r="BC41" s="40"/>
      <c r="BD41" s="41"/>
      <c r="BE41" s="40"/>
      <c r="BF41" s="40"/>
      <c r="BG41" s="40"/>
      <c r="BH41" s="41"/>
      <c r="BI41" s="40"/>
      <c r="BJ41" s="40"/>
      <c r="BK41" s="40"/>
      <c r="BL41" s="41"/>
      <c r="BM41" s="40"/>
      <c r="BN41" s="40"/>
      <c r="BO41" s="40"/>
      <c r="BP41" s="41"/>
      <c r="BQ41" s="40"/>
      <c r="BR41" s="40"/>
      <c r="BS41" s="40"/>
      <c r="BT41" s="41"/>
      <c r="BU41" s="40"/>
      <c r="BV41" s="40"/>
      <c r="BW41" s="40"/>
      <c r="BX41" s="41"/>
      <c r="BY41" s="40"/>
      <c r="BZ41" s="40"/>
      <c r="CA41" s="40"/>
      <c r="CB41" s="41"/>
      <c r="CC41" s="40"/>
      <c r="CD41" s="40"/>
      <c r="CE41" s="40"/>
      <c r="CF41" s="41"/>
      <c r="CH41" s="44"/>
      <c r="CI41" s="44"/>
      <c r="CJ41" s="64" t="str">
        <f>IF(ISBLANK(B41),"",IF(CI42&gt;=CH42,3,IF(CI42=(CH42-1),2,1)))</f>
        <v/>
      </c>
      <c r="CK41" s="1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L41"/>
      <c r="DM41"/>
    </row>
    <row r="42" spans="2:117" ht="15" customHeight="1" x14ac:dyDescent="0.25">
      <c r="B42" s="63"/>
      <c r="C42" s="63"/>
      <c r="D42" s="38"/>
      <c r="E42" s="42"/>
      <c r="F42" s="20"/>
      <c r="G42" s="20"/>
      <c r="H42" s="19"/>
      <c r="I42" s="42"/>
      <c r="J42" s="20"/>
      <c r="K42" s="20"/>
      <c r="L42" s="19"/>
      <c r="M42" s="42"/>
      <c r="N42" s="20"/>
      <c r="O42" s="20"/>
      <c r="P42" s="19"/>
      <c r="Q42" s="42"/>
      <c r="R42" s="20"/>
      <c r="S42" s="20"/>
      <c r="T42" s="19"/>
      <c r="U42" s="42"/>
      <c r="V42" s="20"/>
      <c r="W42" s="20"/>
      <c r="X42" s="19"/>
      <c r="Y42" s="42"/>
      <c r="Z42" s="20"/>
      <c r="AA42" s="20"/>
      <c r="AB42" s="19"/>
      <c r="AC42" s="42"/>
      <c r="AD42" s="20"/>
      <c r="AE42" s="20"/>
      <c r="AF42" s="19"/>
      <c r="AG42" s="42"/>
      <c r="AH42" s="20"/>
      <c r="AI42" s="20"/>
      <c r="AJ42" s="19"/>
      <c r="AK42" s="42"/>
      <c r="AL42" s="20"/>
      <c r="AM42" s="20"/>
      <c r="AN42" s="19"/>
      <c r="AO42" s="42"/>
      <c r="AP42" s="20"/>
      <c r="AQ42" s="20"/>
      <c r="AR42" s="19"/>
      <c r="AS42" s="42"/>
      <c r="AT42" s="20"/>
      <c r="AU42" s="20"/>
      <c r="AV42" s="43"/>
      <c r="AW42" s="19"/>
      <c r="AX42" s="20"/>
      <c r="AY42" s="20"/>
      <c r="AZ42" s="43"/>
      <c r="BA42" s="19"/>
      <c r="BB42" s="20"/>
      <c r="BC42" s="20"/>
      <c r="BD42" s="43"/>
      <c r="BE42" s="19"/>
      <c r="BF42" s="20"/>
      <c r="BG42" s="20"/>
      <c r="BH42" s="43"/>
      <c r="BI42" s="19"/>
      <c r="BJ42" s="20"/>
      <c r="BK42" s="20"/>
      <c r="BL42" s="43"/>
      <c r="BM42" s="19"/>
      <c r="BN42" s="20"/>
      <c r="BO42" s="20"/>
      <c r="BP42" s="43"/>
      <c r="BQ42" s="19"/>
      <c r="BR42" s="20"/>
      <c r="BS42" s="20"/>
      <c r="BT42" s="43"/>
      <c r="BU42" s="19"/>
      <c r="BV42" s="20"/>
      <c r="BW42" s="20"/>
      <c r="BX42" s="43"/>
      <c r="BY42" s="19"/>
      <c r="BZ42" s="20"/>
      <c r="CA42" s="20"/>
      <c r="CB42" s="43"/>
      <c r="CC42" s="19"/>
      <c r="CD42" s="20"/>
      <c r="CE42" s="20"/>
      <c r="CF42" s="43"/>
      <c r="CH42" s="46">
        <v>0</v>
      </c>
      <c r="CI42" s="45" t="str">
        <f>IF(ISBLANK(B41),"",COUNTIF(E44:CF44,"&gt;=3"))</f>
        <v/>
      </c>
      <c r="CJ42" s="64"/>
      <c r="CK42" s="1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L42"/>
      <c r="DM42"/>
    </row>
    <row r="43" spans="2:117" ht="15" customHeight="1" x14ac:dyDescent="0.25">
      <c r="B43" s="63"/>
      <c r="C43" s="63"/>
      <c r="D43" s="38"/>
      <c r="E43" s="42"/>
      <c r="F43" s="20"/>
      <c r="G43" s="20"/>
      <c r="H43" s="19"/>
      <c r="I43" s="42"/>
      <c r="J43" s="20"/>
      <c r="K43" s="20"/>
      <c r="L43" s="19"/>
      <c r="M43" s="42"/>
      <c r="N43" s="20"/>
      <c r="O43" s="20"/>
      <c r="P43" s="19"/>
      <c r="Q43" s="42"/>
      <c r="R43" s="20"/>
      <c r="S43" s="20"/>
      <c r="T43" s="19"/>
      <c r="U43" s="42"/>
      <c r="V43" s="20"/>
      <c r="W43" s="20"/>
      <c r="X43" s="19"/>
      <c r="Y43" s="42"/>
      <c r="Z43" s="20"/>
      <c r="AA43" s="20"/>
      <c r="AB43" s="19"/>
      <c r="AC43" s="42"/>
      <c r="AD43" s="20"/>
      <c r="AE43" s="20"/>
      <c r="AF43" s="19"/>
      <c r="AG43" s="42"/>
      <c r="AH43" s="20"/>
      <c r="AI43" s="20"/>
      <c r="AJ43" s="19"/>
      <c r="AK43" s="42"/>
      <c r="AL43" s="20"/>
      <c r="AM43" s="20"/>
      <c r="AN43" s="19"/>
      <c r="AO43" s="42"/>
      <c r="AP43" s="20"/>
      <c r="AQ43" s="20"/>
      <c r="AR43" s="19"/>
      <c r="AS43" s="42"/>
      <c r="AT43" s="20"/>
      <c r="AU43" s="20"/>
      <c r="AV43" s="43"/>
      <c r="AW43" s="19"/>
      <c r="AX43" s="20"/>
      <c r="AY43" s="20"/>
      <c r="AZ43" s="43"/>
      <c r="BA43" s="19"/>
      <c r="BB43" s="20"/>
      <c r="BC43" s="20"/>
      <c r="BD43" s="43"/>
      <c r="BE43" s="19"/>
      <c r="BF43" s="20"/>
      <c r="BG43" s="20"/>
      <c r="BH43" s="43"/>
      <c r="BI43" s="19"/>
      <c r="BJ43" s="20"/>
      <c r="BK43" s="20"/>
      <c r="BL43" s="43"/>
      <c r="BM43" s="19"/>
      <c r="BN43" s="20"/>
      <c r="BO43" s="20"/>
      <c r="BP43" s="43"/>
      <c r="BQ43" s="19"/>
      <c r="BR43" s="20"/>
      <c r="BS43" s="20"/>
      <c r="BT43" s="43"/>
      <c r="BU43" s="19"/>
      <c r="BV43" s="20"/>
      <c r="BW43" s="20"/>
      <c r="BX43" s="43"/>
      <c r="BY43" s="19"/>
      <c r="BZ43" s="20"/>
      <c r="CA43" s="20"/>
      <c r="CB43" s="43"/>
      <c r="CC43" s="19"/>
      <c r="CD43" s="20"/>
      <c r="CE43" s="20"/>
      <c r="CF43" s="43"/>
      <c r="CH43" s="65" t="str">
        <f>IF(ISBLANK(B41),"","personas cualificadas")</f>
        <v/>
      </c>
      <c r="CI43" s="65" t="str">
        <f>IF(ISBLANK(B41),"","personas cualificadas")</f>
        <v/>
      </c>
      <c r="CJ43" s="64"/>
      <c r="CK43" s="1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L43"/>
      <c r="DM43"/>
    </row>
    <row r="44" spans="2:117" x14ac:dyDescent="0.25">
      <c r="B44" s="63"/>
      <c r="C44" s="63"/>
      <c r="D44" s="38"/>
      <c r="E44" s="69">
        <v>0</v>
      </c>
      <c r="F44" s="67"/>
      <c r="G44" s="67"/>
      <c r="H44" s="67"/>
      <c r="I44" s="69"/>
      <c r="J44" s="67"/>
      <c r="K44" s="67"/>
      <c r="L44" s="67"/>
      <c r="M44" s="69"/>
      <c r="N44" s="67"/>
      <c r="O44" s="67"/>
      <c r="P44" s="67"/>
      <c r="Q44" s="69"/>
      <c r="R44" s="67"/>
      <c r="S44" s="67"/>
      <c r="T44" s="67"/>
      <c r="U44" s="69"/>
      <c r="V44" s="67"/>
      <c r="W44" s="67"/>
      <c r="X44" s="67"/>
      <c r="Y44" s="69">
        <v>0</v>
      </c>
      <c r="Z44" s="67"/>
      <c r="AA44" s="67"/>
      <c r="AB44" s="67"/>
      <c r="AC44" s="69">
        <v>0</v>
      </c>
      <c r="AD44" s="67"/>
      <c r="AE44" s="67"/>
      <c r="AF44" s="67"/>
      <c r="AG44" s="69"/>
      <c r="AH44" s="67"/>
      <c r="AI44" s="67"/>
      <c r="AJ44" s="67"/>
      <c r="AK44" s="69"/>
      <c r="AL44" s="67"/>
      <c r="AM44" s="67"/>
      <c r="AN44" s="67"/>
      <c r="AO44" s="69">
        <v>0</v>
      </c>
      <c r="AP44" s="67"/>
      <c r="AQ44" s="67"/>
      <c r="AR44" s="67"/>
      <c r="AS44" s="69"/>
      <c r="AT44" s="67"/>
      <c r="AU44" s="67"/>
      <c r="AV44" s="68"/>
      <c r="AW44" s="67"/>
      <c r="AX44" s="67"/>
      <c r="AY44" s="67"/>
      <c r="AZ44" s="68"/>
      <c r="BA44" s="67"/>
      <c r="BB44" s="67"/>
      <c r="BC44" s="67"/>
      <c r="BD44" s="68"/>
      <c r="BE44" s="67"/>
      <c r="BF44" s="67"/>
      <c r="BG44" s="67"/>
      <c r="BH44" s="68"/>
      <c r="BI44" s="67">
        <v>0</v>
      </c>
      <c r="BJ44" s="67"/>
      <c r="BK44" s="67"/>
      <c r="BL44" s="68"/>
      <c r="BM44" s="67">
        <v>0</v>
      </c>
      <c r="BN44" s="67"/>
      <c r="BO44" s="67"/>
      <c r="BP44" s="68"/>
      <c r="BQ44" s="67"/>
      <c r="BR44" s="67"/>
      <c r="BS44" s="67"/>
      <c r="BT44" s="68"/>
      <c r="BU44" s="67"/>
      <c r="BV44" s="67"/>
      <c r="BW44" s="67"/>
      <c r="BX44" s="68"/>
      <c r="BY44" s="67"/>
      <c r="BZ44" s="67"/>
      <c r="CA44" s="67"/>
      <c r="CB44" s="68"/>
      <c r="CC44" s="67"/>
      <c r="CD44" s="67"/>
      <c r="CE44" s="67"/>
      <c r="CF44" s="68"/>
      <c r="CG44" s="21"/>
      <c r="CH44" s="66"/>
      <c r="CI44" s="66"/>
      <c r="CJ44" s="64"/>
      <c r="CK44" s="1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L44"/>
      <c r="DM44"/>
    </row>
    <row r="45" spans="2:117" ht="6" customHeight="1" x14ac:dyDescent="0.25">
      <c r="B45" s="63"/>
      <c r="C45" s="63"/>
      <c r="D45" s="38"/>
      <c r="E45" s="39"/>
      <c r="F45" s="40"/>
      <c r="G45" s="40"/>
      <c r="H45" s="40"/>
      <c r="I45" s="39"/>
      <c r="J45" s="40"/>
      <c r="K45" s="40"/>
      <c r="L45" s="40"/>
      <c r="M45" s="39"/>
      <c r="N45" s="40"/>
      <c r="O45" s="40"/>
      <c r="P45" s="40"/>
      <c r="Q45" s="39"/>
      <c r="R45" s="40"/>
      <c r="S45" s="40"/>
      <c r="T45" s="40"/>
      <c r="U45" s="39"/>
      <c r="V45" s="40"/>
      <c r="W45" s="40"/>
      <c r="X45" s="40"/>
      <c r="Y45" s="39"/>
      <c r="Z45" s="40"/>
      <c r="AA45" s="40"/>
      <c r="AB45" s="40"/>
      <c r="AC45" s="39"/>
      <c r="AD45" s="40"/>
      <c r="AE45" s="40"/>
      <c r="AF45" s="40"/>
      <c r="AG45" s="39"/>
      <c r="AH45" s="40"/>
      <c r="AI45" s="40"/>
      <c r="AJ45" s="40"/>
      <c r="AK45" s="39"/>
      <c r="AL45" s="40"/>
      <c r="AM45" s="40"/>
      <c r="AN45" s="40"/>
      <c r="AO45" s="39"/>
      <c r="AP45" s="40"/>
      <c r="AQ45" s="40"/>
      <c r="AR45" s="40"/>
      <c r="AS45" s="39"/>
      <c r="AT45" s="40"/>
      <c r="AU45" s="40"/>
      <c r="AV45" s="41"/>
      <c r="AW45" s="40"/>
      <c r="AX45" s="40"/>
      <c r="AY45" s="40"/>
      <c r="AZ45" s="41"/>
      <c r="BA45" s="40"/>
      <c r="BB45" s="40"/>
      <c r="BC45" s="40"/>
      <c r="BD45" s="41"/>
      <c r="BE45" s="40"/>
      <c r="BF45" s="40"/>
      <c r="BG45" s="40"/>
      <c r="BH45" s="41"/>
      <c r="BI45" s="40"/>
      <c r="BJ45" s="40"/>
      <c r="BK45" s="40"/>
      <c r="BL45" s="41"/>
      <c r="BM45" s="40"/>
      <c r="BN45" s="40"/>
      <c r="BO45" s="40"/>
      <c r="BP45" s="41"/>
      <c r="BQ45" s="40"/>
      <c r="BR45" s="40"/>
      <c r="BS45" s="40"/>
      <c r="BT45" s="41"/>
      <c r="BU45" s="40"/>
      <c r="BV45" s="40"/>
      <c r="BW45" s="40"/>
      <c r="BX45" s="41"/>
      <c r="BY45" s="40"/>
      <c r="BZ45" s="40"/>
      <c r="CA45" s="40"/>
      <c r="CB45" s="41"/>
      <c r="CC45" s="40"/>
      <c r="CD45" s="40"/>
      <c r="CE45" s="40"/>
      <c r="CF45" s="41"/>
      <c r="CH45" s="44"/>
      <c r="CI45" s="44"/>
      <c r="CJ45" s="64" t="str">
        <f>IF(ISBLANK(B45),"",IF(CI46&gt;=CH46,3,IF(CI46=(CH46-1),2,1)))</f>
        <v/>
      </c>
      <c r="CK45" s="11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L45"/>
      <c r="DM45"/>
    </row>
    <row r="46" spans="2:117" ht="15" customHeight="1" x14ac:dyDescent="0.25">
      <c r="B46" s="63"/>
      <c r="C46" s="63"/>
      <c r="D46" s="38"/>
      <c r="E46" s="42"/>
      <c r="F46" s="20"/>
      <c r="G46" s="20"/>
      <c r="H46" s="19"/>
      <c r="I46" s="42"/>
      <c r="J46" s="20"/>
      <c r="K46" s="20"/>
      <c r="L46" s="19"/>
      <c r="M46" s="42"/>
      <c r="N46" s="20"/>
      <c r="O46" s="20"/>
      <c r="P46" s="19"/>
      <c r="Q46" s="42"/>
      <c r="R46" s="20"/>
      <c r="S46" s="20"/>
      <c r="T46" s="19"/>
      <c r="U46" s="42"/>
      <c r="V46" s="20"/>
      <c r="W46" s="20"/>
      <c r="X46" s="19"/>
      <c r="Y46" s="42"/>
      <c r="Z46" s="20"/>
      <c r="AA46" s="20"/>
      <c r="AB46" s="19"/>
      <c r="AC46" s="42"/>
      <c r="AD46" s="20"/>
      <c r="AE46" s="20"/>
      <c r="AF46" s="19"/>
      <c r="AG46" s="42"/>
      <c r="AH46" s="20"/>
      <c r="AI46" s="20"/>
      <c r="AJ46" s="19"/>
      <c r="AK46" s="42"/>
      <c r="AL46" s="20"/>
      <c r="AM46" s="20"/>
      <c r="AN46" s="19"/>
      <c r="AO46" s="42"/>
      <c r="AP46" s="20"/>
      <c r="AQ46" s="20"/>
      <c r="AR46" s="19"/>
      <c r="AS46" s="42"/>
      <c r="AT46" s="20"/>
      <c r="AU46" s="20"/>
      <c r="AV46" s="43"/>
      <c r="AW46" s="19"/>
      <c r="AX46" s="20"/>
      <c r="AY46" s="20"/>
      <c r="AZ46" s="43"/>
      <c r="BA46" s="19"/>
      <c r="BB46" s="20"/>
      <c r="BC46" s="20"/>
      <c r="BD46" s="43"/>
      <c r="BE46" s="19"/>
      <c r="BF46" s="20"/>
      <c r="BG46" s="20"/>
      <c r="BH46" s="43"/>
      <c r="BI46" s="19"/>
      <c r="BJ46" s="20"/>
      <c r="BK46" s="20"/>
      <c r="BL46" s="43"/>
      <c r="BM46" s="19"/>
      <c r="BN46" s="20"/>
      <c r="BO46" s="20"/>
      <c r="BP46" s="43"/>
      <c r="BQ46" s="19"/>
      <c r="BR46" s="20"/>
      <c r="BS46" s="20"/>
      <c r="BT46" s="43"/>
      <c r="BU46" s="19"/>
      <c r="BV46" s="20"/>
      <c r="BW46" s="20"/>
      <c r="BX46" s="43"/>
      <c r="BY46" s="19"/>
      <c r="BZ46" s="20"/>
      <c r="CA46" s="20"/>
      <c r="CB46" s="43"/>
      <c r="CC46" s="19"/>
      <c r="CD46" s="20"/>
      <c r="CE46" s="20"/>
      <c r="CF46" s="43"/>
      <c r="CH46" s="46">
        <v>0</v>
      </c>
      <c r="CI46" s="45" t="str">
        <f>IF(ISBLANK(B45),"",COUNTIF(E48:CF48,"&gt;=3"))</f>
        <v/>
      </c>
      <c r="CJ46" s="64"/>
      <c r="CK46" s="1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L46"/>
      <c r="DM46"/>
    </row>
    <row r="47" spans="2:117" ht="15" customHeight="1" x14ac:dyDescent="0.25">
      <c r="B47" s="63"/>
      <c r="C47" s="63"/>
      <c r="D47" s="38"/>
      <c r="E47" s="42"/>
      <c r="F47" s="20"/>
      <c r="G47" s="20"/>
      <c r="H47" s="19"/>
      <c r="I47" s="42"/>
      <c r="J47" s="20"/>
      <c r="K47" s="20"/>
      <c r="L47" s="19"/>
      <c r="M47" s="42"/>
      <c r="N47" s="20"/>
      <c r="O47" s="20"/>
      <c r="P47" s="19"/>
      <c r="Q47" s="42"/>
      <c r="R47" s="20"/>
      <c r="S47" s="20"/>
      <c r="T47" s="19"/>
      <c r="U47" s="42"/>
      <c r="V47" s="20"/>
      <c r="W47" s="20"/>
      <c r="X47" s="19"/>
      <c r="Y47" s="42"/>
      <c r="Z47" s="20"/>
      <c r="AA47" s="20"/>
      <c r="AB47" s="19"/>
      <c r="AC47" s="42"/>
      <c r="AD47" s="20"/>
      <c r="AE47" s="20"/>
      <c r="AF47" s="19"/>
      <c r="AG47" s="42"/>
      <c r="AH47" s="20"/>
      <c r="AI47" s="20"/>
      <c r="AJ47" s="19"/>
      <c r="AK47" s="42"/>
      <c r="AL47" s="20"/>
      <c r="AM47" s="20"/>
      <c r="AN47" s="19"/>
      <c r="AO47" s="42"/>
      <c r="AP47" s="20"/>
      <c r="AQ47" s="20"/>
      <c r="AR47" s="19"/>
      <c r="AS47" s="42"/>
      <c r="AT47" s="20"/>
      <c r="AU47" s="20"/>
      <c r="AV47" s="43"/>
      <c r="AW47" s="19"/>
      <c r="AX47" s="20"/>
      <c r="AY47" s="20"/>
      <c r="AZ47" s="43"/>
      <c r="BA47" s="19"/>
      <c r="BB47" s="20"/>
      <c r="BC47" s="20"/>
      <c r="BD47" s="43"/>
      <c r="BE47" s="19"/>
      <c r="BF47" s="20"/>
      <c r="BG47" s="20"/>
      <c r="BH47" s="43"/>
      <c r="BI47" s="19"/>
      <c r="BJ47" s="20"/>
      <c r="BK47" s="20"/>
      <c r="BL47" s="43"/>
      <c r="BM47" s="19"/>
      <c r="BN47" s="20"/>
      <c r="BO47" s="20"/>
      <c r="BP47" s="43"/>
      <c r="BQ47" s="19"/>
      <c r="BR47" s="20"/>
      <c r="BS47" s="20"/>
      <c r="BT47" s="43"/>
      <c r="BU47" s="19"/>
      <c r="BV47" s="20"/>
      <c r="BW47" s="20"/>
      <c r="BX47" s="43"/>
      <c r="BY47" s="19"/>
      <c r="BZ47" s="20"/>
      <c r="CA47" s="20"/>
      <c r="CB47" s="43"/>
      <c r="CC47" s="19"/>
      <c r="CD47" s="20"/>
      <c r="CE47" s="20"/>
      <c r="CF47" s="43"/>
      <c r="CH47" s="65" t="str">
        <f>IF(ISBLANK(B45),"","personas cualificadas")</f>
        <v/>
      </c>
      <c r="CI47" s="65" t="str">
        <f>IF(ISBLANK(B45),"","personas cualificadas")</f>
        <v/>
      </c>
      <c r="CJ47" s="64"/>
      <c r="CK47" s="1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L47"/>
      <c r="DM47"/>
    </row>
    <row r="48" spans="2:117" x14ac:dyDescent="0.25">
      <c r="B48" s="63"/>
      <c r="C48" s="63"/>
      <c r="D48" s="38"/>
      <c r="E48" s="62">
        <v>0</v>
      </c>
      <c r="F48" s="60"/>
      <c r="G48" s="60"/>
      <c r="H48" s="60"/>
      <c r="I48" s="62"/>
      <c r="J48" s="60"/>
      <c r="K48" s="60"/>
      <c r="L48" s="60"/>
      <c r="M48" s="62"/>
      <c r="N48" s="60"/>
      <c r="O48" s="60"/>
      <c r="P48" s="60"/>
      <c r="Q48" s="62"/>
      <c r="R48" s="60"/>
      <c r="S48" s="60"/>
      <c r="T48" s="60"/>
      <c r="U48" s="62"/>
      <c r="V48" s="60"/>
      <c r="W48" s="60"/>
      <c r="X48" s="60"/>
      <c r="Y48" s="62">
        <v>0</v>
      </c>
      <c r="Z48" s="60"/>
      <c r="AA48" s="60"/>
      <c r="AB48" s="60"/>
      <c r="AC48" s="62">
        <v>0</v>
      </c>
      <c r="AD48" s="60"/>
      <c r="AE48" s="60"/>
      <c r="AF48" s="60"/>
      <c r="AG48" s="62"/>
      <c r="AH48" s="60"/>
      <c r="AI48" s="60"/>
      <c r="AJ48" s="60"/>
      <c r="AK48" s="62"/>
      <c r="AL48" s="60"/>
      <c r="AM48" s="60"/>
      <c r="AN48" s="60"/>
      <c r="AO48" s="62">
        <v>0</v>
      </c>
      <c r="AP48" s="60"/>
      <c r="AQ48" s="60"/>
      <c r="AR48" s="60"/>
      <c r="AS48" s="62"/>
      <c r="AT48" s="60"/>
      <c r="AU48" s="60"/>
      <c r="AV48" s="61"/>
      <c r="AW48" s="60"/>
      <c r="AX48" s="60"/>
      <c r="AY48" s="60"/>
      <c r="AZ48" s="61"/>
      <c r="BA48" s="60"/>
      <c r="BB48" s="60"/>
      <c r="BC48" s="60"/>
      <c r="BD48" s="61"/>
      <c r="BE48" s="60"/>
      <c r="BF48" s="60"/>
      <c r="BG48" s="60"/>
      <c r="BH48" s="61"/>
      <c r="BI48" s="60">
        <v>0</v>
      </c>
      <c r="BJ48" s="60"/>
      <c r="BK48" s="60"/>
      <c r="BL48" s="61"/>
      <c r="BM48" s="60">
        <v>0</v>
      </c>
      <c r="BN48" s="60"/>
      <c r="BO48" s="60"/>
      <c r="BP48" s="61"/>
      <c r="BQ48" s="60"/>
      <c r="BR48" s="60"/>
      <c r="BS48" s="60"/>
      <c r="BT48" s="61"/>
      <c r="BU48" s="60"/>
      <c r="BV48" s="60"/>
      <c r="BW48" s="60"/>
      <c r="BX48" s="61"/>
      <c r="BY48" s="60"/>
      <c r="BZ48" s="60"/>
      <c r="CA48" s="60"/>
      <c r="CB48" s="61"/>
      <c r="CC48" s="60"/>
      <c r="CD48" s="60"/>
      <c r="CE48" s="60"/>
      <c r="CF48" s="61"/>
      <c r="CG48" s="21"/>
      <c r="CH48" s="66"/>
      <c r="CI48" s="66"/>
      <c r="CJ48" s="64"/>
      <c r="CK48" s="1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L48"/>
      <c r="DM48"/>
    </row>
    <row r="49" spans="2:117" ht="6" customHeight="1" x14ac:dyDescent="0.25">
      <c r="B49" s="63"/>
      <c r="C49" s="63"/>
      <c r="D49" s="38"/>
      <c r="E49" s="42"/>
      <c r="F49" s="19"/>
      <c r="G49" s="19"/>
      <c r="H49" s="19"/>
      <c r="I49" s="42"/>
      <c r="J49" s="19"/>
      <c r="K49" s="19"/>
      <c r="L49" s="19"/>
      <c r="M49" s="42"/>
      <c r="N49" s="19"/>
      <c r="O49" s="19"/>
      <c r="P49" s="19"/>
      <c r="Q49" s="42"/>
      <c r="R49" s="19"/>
      <c r="S49" s="19"/>
      <c r="T49" s="19"/>
      <c r="U49" s="42"/>
      <c r="V49" s="19"/>
      <c r="W49" s="19"/>
      <c r="X49" s="19"/>
      <c r="Y49" s="42"/>
      <c r="Z49" s="19"/>
      <c r="AA49" s="19"/>
      <c r="AB49" s="19"/>
      <c r="AC49" s="42"/>
      <c r="AD49" s="19"/>
      <c r="AE49" s="19"/>
      <c r="AF49" s="19"/>
      <c r="AG49" s="42"/>
      <c r="AH49" s="19"/>
      <c r="AI49" s="19"/>
      <c r="AJ49" s="19"/>
      <c r="AK49" s="42"/>
      <c r="AL49" s="19"/>
      <c r="AM49" s="19"/>
      <c r="AN49" s="19"/>
      <c r="AO49" s="42"/>
      <c r="AP49" s="19"/>
      <c r="AQ49" s="19"/>
      <c r="AR49" s="19"/>
      <c r="AS49" s="42"/>
      <c r="AT49" s="19"/>
      <c r="AU49" s="19"/>
      <c r="AV49" s="43"/>
      <c r="AW49" s="19"/>
      <c r="AX49" s="19"/>
      <c r="AY49" s="19"/>
      <c r="AZ49" s="43"/>
      <c r="BA49" s="19"/>
      <c r="BB49" s="19"/>
      <c r="BC49" s="19"/>
      <c r="BD49" s="43"/>
      <c r="BE49" s="19"/>
      <c r="BF49" s="19"/>
      <c r="BG49" s="19"/>
      <c r="BH49" s="43"/>
      <c r="BI49" s="19"/>
      <c r="BJ49" s="19"/>
      <c r="BK49" s="19"/>
      <c r="BL49" s="43"/>
      <c r="BM49" s="19"/>
      <c r="BN49" s="19"/>
      <c r="BO49" s="19"/>
      <c r="BP49" s="43"/>
      <c r="BQ49" s="19"/>
      <c r="BR49" s="19"/>
      <c r="BS49" s="19"/>
      <c r="BT49" s="43"/>
      <c r="BU49" s="19"/>
      <c r="BV49" s="19"/>
      <c r="BW49" s="19"/>
      <c r="BX49" s="43"/>
      <c r="BY49" s="19"/>
      <c r="BZ49" s="19"/>
      <c r="CA49" s="19"/>
      <c r="CB49" s="43"/>
      <c r="CC49" s="19"/>
      <c r="CD49" s="19"/>
      <c r="CE49" s="19"/>
      <c r="CF49" s="43"/>
      <c r="CH49" s="44"/>
      <c r="CI49" s="44"/>
      <c r="CJ49" s="64" t="str">
        <f>IF(ISBLANK(B49),"",IF(CI50&gt;=CH50,3,IF(CI50=(CH50-1),2,1)))</f>
        <v/>
      </c>
      <c r="CK49" s="1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L49"/>
      <c r="DM49"/>
    </row>
    <row r="50" spans="2:117" ht="15" customHeight="1" x14ac:dyDescent="0.25">
      <c r="B50" s="63"/>
      <c r="C50" s="63"/>
      <c r="D50" s="38"/>
      <c r="E50" s="42"/>
      <c r="F50" s="20"/>
      <c r="G50" s="20"/>
      <c r="H50" s="19"/>
      <c r="I50" s="42"/>
      <c r="J50" s="20"/>
      <c r="K50" s="20"/>
      <c r="L50" s="19"/>
      <c r="M50" s="42"/>
      <c r="N50" s="20"/>
      <c r="O50" s="20"/>
      <c r="P50" s="19"/>
      <c r="Q50" s="42"/>
      <c r="R50" s="20"/>
      <c r="S50" s="20"/>
      <c r="T50" s="19"/>
      <c r="U50" s="42"/>
      <c r="V50" s="20"/>
      <c r="W50" s="20"/>
      <c r="X50" s="19"/>
      <c r="Y50" s="42"/>
      <c r="Z50" s="20"/>
      <c r="AA50" s="20"/>
      <c r="AB50" s="19"/>
      <c r="AC50" s="42"/>
      <c r="AD50" s="20"/>
      <c r="AE50" s="20"/>
      <c r="AF50" s="19"/>
      <c r="AG50" s="42"/>
      <c r="AH50" s="20"/>
      <c r="AI50" s="20"/>
      <c r="AJ50" s="19"/>
      <c r="AK50" s="42"/>
      <c r="AL50" s="20"/>
      <c r="AM50" s="20"/>
      <c r="AN50" s="19"/>
      <c r="AO50" s="42"/>
      <c r="AP50" s="20"/>
      <c r="AQ50" s="20"/>
      <c r="AR50" s="19"/>
      <c r="AS50" s="42"/>
      <c r="AT50" s="20"/>
      <c r="AU50" s="20"/>
      <c r="AV50" s="43"/>
      <c r="AW50" s="19"/>
      <c r="AX50" s="20"/>
      <c r="AY50" s="20"/>
      <c r="AZ50" s="43"/>
      <c r="BA50" s="19"/>
      <c r="BB50" s="20"/>
      <c r="BC50" s="20"/>
      <c r="BD50" s="43"/>
      <c r="BE50" s="19"/>
      <c r="BF50" s="20"/>
      <c r="BG50" s="20"/>
      <c r="BH50" s="43"/>
      <c r="BI50" s="19"/>
      <c r="BJ50" s="20"/>
      <c r="BK50" s="20"/>
      <c r="BL50" s="43"/>
      <c r="BM50" s="19"/>
      <c r="BN50" s="20"/>
      <c r="BO50" s="20"/>
      <c r="BP50" s="43"/>
      <c r="BQ50" s="19"/>
      <c r="BR50" s="20"/>
      <c r="BS50" s="20"/>
      <c r="BT50" s="43"/>
      <c r="BU50" s="19"/>
      <c r="BV50" s="20"/>
      <c r="BW50" s="20"/>
      <c r="BX50" s="43"/>
      <c r="BY50" s="19"/>
      <c r="BZ50" s="20"/>
      <c r="CA50" s="20"/>
      <c r="CB50" s="43"/>
      <c r="CC50" s="19"/>
      <c r="CD50" s="20"/>
      <c r="CE50" s="20"/>
      <c r="CF50" s="43"/>
      <c r="CH50" s="46">
        <v>0</v>
      </c>
      <c r="CI50" s="45" t="str">
        <f>IF(ISBLANK(B49),"",COUNTIF(E52:CF52,"&gt;=3"))</f>
        <v/>
      </c>
      <c r="CJ50" s="64"/>
      <c r="CK50" s="1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L50"/>
      <c r="DM50"/>
    </row>
    <row r="51" spans="2:117" ht="15" customHeight="1" x14ac:dyDescent="0.25">
      <c r="B51" s="63"/>
      <c r="C51" s="63"/>
      <c r="D51" s="38"/>
      <c r="E51" s="42"/>
      <c r="F51" s="20"/>
      <c r="G51" s="20"/>
      <c r="H51" s="19"/>
      <c r="I51" s="42"/>
      <c r="J51" s="20"/>
      <c r="K51" s="20"/>
      <c r="L51" s="19"/>
      <c r="M51" s="42"/>
      <c r="N51" s="20"/>
      <c r="O51" s="20"/>
      <c r="P51" s="19"/>
      <c r="Q51" s="42"/>
      <c r="R51" s="20"/>
      <c r="S51" s="20"/>
      <c r="T51" s="19"/>
      <c r="U51" s="42"/>
      <c r="V51" s="20"/>
      <c r="W51" s="20"/>
      <c r="X51" s="19"/>
      <c r="Y51" s="42"/>
      <c r="Z51" s="20"/>
      <c r="AA51" s="20"/>
      <c r="AB51" s="19"/>
      <c r="AC51" s="42"/>
      <c r="AD51" s="20"/>
      <c r="AE51" s="20"/>
      <c r="AF51" s="19"/>
      <c r="AG51" s="42"/>
      <c r="AH51" s="20"/>
      <c r="AI51" s="20"/>
      <c r="AJ51" s="19"/>
      <c r="AK51" s="42"/>
      <c r="AL51" s="20"/>
      <c r="AM51" s="20"/>
      <c r="AN51" s="19"/>
      <c r="AO51" s="42"/>
      <c r="AP51" s="20"/>
      <c r="AQ51" s="20"/>
      <c r="AR51" s="19"/>
      <c r="AS51" s="42"/>
      <c r="AT51" s="20"/>
      <c r="AU51" s="20"/>
      <c r="AV51" s="43"/>
      <c r="AW51" s="19"/>
      <c r="AX51" s="20"/>
      <c r="AY51" s="20"/>
      <c r="AZ51" s="43"/>
      <c r="BA51" s="19"/>
      <c r="BB51" s="20"/>
      <c r="BC51" s="20"/>
      <c r="BD51" s="43"/>
      <c r="BE51" s="19"/>
      <c r="BF51" s="20"/>
      <c r="BG51" s="20"/>
      <c r="BH51" s="43"/>
      <c r="BI51" s="19"/>
      <c r="BJ51" s="20"/>
      <c r="BK51" s="20"/>
      <c r="BL51" s="43"/>
      <c r="BM51" s="19"/>
      <c r="BN51" s="20"/>
      <c r="BO51" s="20"/>
      <c r="BP51" s="43"/>
      <c r="BQ51" s="19"/>
      <c r="BR51" s="20"/>
      <c r="BS51" s="20"/>
      <c r="BT51" s="43"/>
      <c r="BU51" s="19"/>
      <c r="BV51" s="20"/>
      <c r="BW51" s="20"/>
      <c r="BX51" s="43"/>
      <c r="BY51" s="19"/>
      <c r="BZ51" s="20"/>
      <c r="CA51" s="20"/>
      <c r="CB51" s="43"/>
      <c r="CC51" s="19"/>
      <c r="CD51" s="20"/>
      <c r="CE51" s="20"/>
      <c r="CF51" s="43"/>
      <c r="CH51" s="65" t="str">
        <f>IF(ISBLANK(B49),"","personas cualificadas")</f>
        <v/>
      </c>
      <c r="CI51" s="65" t="str">
        <f>IF(ISBLANK(B49),"","personas cualificadas")</f>
        <v/>
      </c>
      <c r="CJ51" s="64"/>
      <c r="CK51" s="1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L51"/>
      <c r="DM51"/>
    </row>
    <row r="52" spans="2:117" x14ac:dyDescent="0.25">
      <c r="B52" s="63"/>
      <c r="C52" s="63"/>
      <c r="D52" s="38"/>
      <c r="E52" s="62">
        <v>0</v>
      </c>
      <c r="F52" s="60"/>
      <c r="G52" s="60"/>
      <c r="H52" s="60"/>
      <c r="I52" s="62"/>
      <c r="J52" s="60"/>
      <c r="K52" s="60"/>
      <c r="L52" s="60"/>
      <c r="M52" s="62"/>
      <c r="N52" s="60"/>
      <c r="O52" s="60"/>
      <c r="P52" s="60"/>
      <c r="Q52" s="62"/>
      <c r="R52" s="60"/>
      <c r="S52" s="60"/>
      <c r="T52" s="60"/>
      <c r="U52" s="62"/>
      <c r="V52" s="60"/>
      <c r="W52" s="60"/>
      <c r="X52" s="60"/>
      <c r="Y52" s="62">
        <v>0</v>
      </c>
      <c r="Z52" s="60"/>
      <c r="AA52" s="60"/>
      <c r="AB52" s="60"/>
      <c r="AC52" s="62">
        <v>0</v>
      </c>
      <c r="AD52" s="60"/>
      <c r="AE52" s="60"/>
      <c r="AF52" s="60"/>
      <c r="AG52" s="62"/>
      <c r="AH52" s="60"/>
      <c r="AI52" s="60"/>
      <c r="AJ52" s="60"/>
      <c r="AK52" s="62"/>
      <c r="AL52" s="60"/>
      <c r="AM52" s="60"/>
      <c r="AN52" s="60"/>
      <c r="AO52" s="62">
        <v>0</v>
      </c>
      <c r="AP52" s="60"/>
      <c r="AQ52" s="60"/>
      <c r="AR52" s="60"/>
      <c r="AS52" s="62"/>
      <c r="AT52" s="60"/>
      <c r="AU52" s="60"/>
      <c r="AV52" s="61"/>
      <c r="AW52" s="60"/>
      <c r="AX52" s="60"/>
      <c r="AY52" s="60"/>
      <c r="AZ52" s="61"/>
      <c r="BA52" s="60"/>
      <c r="BB52" s="60"/>
      <c r="BC52" s="60"/>
      <c r="BD52" s="61"/>
      <c r="BE52" s="60"/>
      <c r="BF52" s="60"/>
      <c r="BG52" s="60"/>
      <c r="BH52" s="61"/>
      <c r="BI52" s="60">
        <v>0</v>
      </c>
      <c r="BJ52" s="60"/>
      <c r="BK52" s="60"/>
      <c r="BL52" s="61"/>
      <c r="BM52" s="60">
        <v>0</v>
      </c>
      <c r="BN52" s="60"/>
      <c r="BO52" s="60"/>
      <c r="BP52" s="61"/>
      <c r="BQ52" s="60"/>
      <c r="BR52" s="60"/>
      <c r="BS52" s="60"/>
      <c r="BT52" s="61"/>
      <c r="BU52" s="60"/>
      <c r="BV52" s="60"/>
      <c r="BW52" s="60"/>
      <c r="BX52" s="61"/>
      <c r="BY52" s="60"/>
      <c r="BZ52" s="60"/>
      <c r="CA52" s="60"/>
      <c r="CB52" s="61"/>
      <c r="CC52" s="60"/>
      <c r="CD52" s="60"/>
      <c r="CE52" s="60"/>
      <c r="CF52" s="61"/>
      <c r="CG52" s="21"/>
      <c r="CH52" s="66"/>
      <c r="CI52" s="66"/>
      <c r="CJ52" s="64"/>
      <c r="CK52" s="11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L52"/>
      <c r="DM52"/>
    </row>
    <row r="53" spans="2:117" ht="6" customHeight="1" x14ac:dyDescent="0.25">
      <c r="B53" s="63"/>
      <c r="C53" s="63"/>
      <c r="D53" s="38"/>
      <c r="E53" s="42"/>
      <c r="F53" s="19"/>
      <c r="G53" s="19"/>
      <c r="H53" s="19"/>
      <c r="I53" s="42"/>
      <c r="J53" s="19"/>
      <c r="K53" s="19"/>
      <c r="L53" s="19"/>
      <c r="M53" s="42"/>
      <c r="N53" s="19"/>
      <c r="O53" s="19"/>
      <c r="P53" s="19"/>
      <c r="Q53" s="42"/>
      <c r="R53" s="19"/>
      <c r="S53" s="19"/>
      <c r="T53" s="19"/>
      <c r="U53" s="42"/>
      <c r="V53" s="19"/>
      <c r="W53" s="19"/>
      <c r="X53" s="19"/>
      <c r="Y53" s="42"/>
      <c r="Z53" s="19"/>
      <c r="AA53" s="19"/>
      <c r="AB53" s="19"/>
      <c r="AC53" s="42"/>
      <c r="AD53" s="19"/>
      <c r="AE53" s="19"/>
      <c r="AF53" s="19"/>
      <c r="AG53" s="42"/>
      <c r="AH53" s="19"/>
      <c r="AI53" s="19"/>
      <c r="AJ53" s="19"/>
      <c r="AK53" s="42"/>
      <c r="AL53" s="19"/>
      <c r="AM53" s="19"/>
      <c r="AN53" s="19"/>
      <c r="AO53" s="42"/>
      <c r="AP53" s="19"/>
      <c r="AQ53" s="19"/>
      <c r="AR53" s="19"/>
      <c r="AS53" s="42"/>
      <c r="AT53" s="19"/>
      <c r="AU53" s="19"/>
      <c r="AV53" s="43"/>
      <c r="AW53" s="19"/>
      <c r="AX53" s="19"/>
      <c r="AY53" s="19"/>
      <c r="AZ53" s="43"/>
      <c r="BA53" s="19"/>
      <c r="BB53" s="19"/>
      <c r="BC53" s="19"/>
      <c r="BD53" s="43"/>
      <c r="BE53" s="19"/>
      <c r="BF53" s="19"/>
      <c r="BG53" s="19"/>
      <c r="BH53" s="43"/>
      <c r="BI53" s="19"/>
      <c r="BJ53" s="19"/>
      <c r="BK53" s="19"/>
      <c r="BL53" s="43"/>
      <c r="BM53" s="19"/>
      <c r="BN53" s="19"/>
      <c r="BO53" s="19"/>
      <c r="BP53" s="43"/>
      <c r="BQ53" s="19"/>
      <c r="BR53" s="19"/>
      <c r="BS53" s="19"/>
      <c r="BT53" s="43"/>
      <c r="BU53" s="19"/>
      <c r="BV53" s="19"/>
      <c r="BW53" s="19"/>
      <c r="BX53" s="43"/>
      <c r="BY53" s="19"/>
      <c r="BZ53" s="19"/>
      <c r="CA53" s="19"/>
      <c r="CB53" s="43"/>
      <c r="CC53" s="19"/>
      <c r="CD53" s="19"/>
      <c r="CE53" s="19"/>
      <c r="CF53" s="43"/>
      <c r="CH53" s="44"/>
      <c r="CI53" s="44"/>
      <c r="CJ53" s="64" t="str">
        <f>IF(ISBLANK(B53),"",IF(CI54&gt;=CH54,3,IF(CI54=(CH54-1),2,1)))</f>
        <v/>
      </c>
      <c r="CK53" s="1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L53"/>
      <c r="DM53"/>
    </row>
    <row r="54" spans="2:117" ht="15" customHeight="1" x14ac:dyDescent="0.25">
      <c r="B54" s="63"/>
      <c r="C54" s="63"/>
      <c r="D54" s="38"/>
      <c r="E54" s="42"/>
      <c r="F54" s="20"/>
      <c r="G54" s="20"/>
      <c r="H54" s="19"/>
      <c r="I54" s="42"/>
      <c r="J54" s="20"/>
      <c r="K54" s="20"/>
      <c r="L54" s="19"/>
      <c r="M54" s="42"/>
      <c r="N54" s="20"/>
      <c r="O54" s="20"/>
      <c r="P54" s="19"/>
      <c r="Q54" s="42"/>
      <c r="R54" s="20"/>
      <c r="S54" s="20"/>
      <c r="T54" s="19"/>
      <c r="U54" s="42"/>
      <c r="V54" s="20"/>
      <c r="W54" s="20"/>
      <c r="X54" s="19"/>
      <c r="Y54" s="42"/>
      <c r="Z54" s="20"/>
      <c r="AA54" s="20"/>
      <c r="AB54" s="19"/>
      <c r="AC54" s="42"/>
      <c r="AD54" s="20"/>
      <c r="AE54" s="20"/>
      <c r="AF54" s="19"/>
      <c r="AG54" s="42"/>
      <c r="AH54" s="20"/>
      <c r="AI54" s="20"/>
      <c r="AJ54" s="19"/>
      <c r="AK54" s="42"/>
      <c r="AL54" s="20"/>
      <c r="AM54" s="20"/>
      <c r="AN54" s="19"/>
      <c r="AO54" s="42"/>
      <c r="AP54" s="20"/>
      <c r="AQ54" s="20"/>
      <c r="AR54" s="19"/>
      <c r="AS54" s="42"/>
      <c r="AT54" s="20"/>
      <c r="AU54" s="20"/>
      <c r="AV54" s="43"/>
      <c r="AW54" s="19"/>
      <c r="AX54" s="20"/>
      <c r="AY54" s="20"/>
      <c r="AZ54" s="43"/>
      <c r="BA54" s="19"/>
      <c r="BB54" s="20"/>
      <c r="BC54" s="20"/>
      <c r="BD54" s="43"/>
      <c r="BE54" s="19"/>
      <c r="BF54" s="20"/>
      <c r="BG54" s="20"/>
      <c r="BH54" s="43"/>
      <c r="BI54" s="19"/>
      <c r="BJ54" s="20"/>
      <c r="BK54" s="20"/>
      <c r="BL54" s="43"/>
      <c r="BM54" s="19"/>
      <c r="BN54" s="20"/>
      <c r="BO54" s="20"/>
      <c r="BP54" s="43"/>
      <c r="BQ54" s="19"/>
      <c r="BR54" s="20"/>
      <c r="BS54" s="20"/>
      <c r="BT54" s="43"/>
      <c r="BU54" s="19"/>
      <c r="BV54" s="20"/>
      <c r="BW54" s="20"/>
      <c r="BX54" s="43"/>
      <c r="BY54" s="19"/>
      <c r="BZ54" s="20"/>
      <c r="CA54" s="20"/>
      <c r="CB54" s="43"/>
      <c r="CC54" s="19"/>
      <c r="CD54" s="20"/>
      <c r="CE54" s="20"/>
      <c r="CF54" s="43"/>
      <c r="CH54" s="46">
        <v>0</v>
      </c>
      <c r="CI54" s="45" t="str">
        <f>IF(ISBLANK(B53),"",COUNTIF(E56:CF56,"&gt;=3"))</f>
        <v/>
      </c>
      <c r="CJ54" s="64"/>
      <c r="CK54" s="1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L54"/>
      <c r="DM54"/>
    </row>
    <row r="55" spans="2:117" ht="15" customHeight="1" x14ac:dyDescent="0.25">
      <c r="B55" s="63"/>
      <c r="C55" s="63"/>
      <c r="D55" s="38"/>
      <c r="E55" s="42"/>
      <c r="F55" s="20"/>
      <c r="G55" s="20"/>
      <c r="H55" s="19"/>
      <c r="I55" s="42"/>
      <c r="J55" s="20"/>
      <c r="K55" s="20"/>
      <c r="L55" s="19"/>
      <c r="M55" s="42"/>
      <c r="N55" s="20"/>
      <c r="O55" s="20"/>
      <c r="P55" s="19"/>
      <c r="Q55" s="42"/>
      <c r="R55" s="20"/>
      <c r="S55" s="20"/>
      <c r="T55" s="19"/>
      <c r="U55" s="42"/>
      <c r="V55" s="20"/>
      <c r="W55" s="20"/>
      <c r="X55" s="19"/>
      <c r="Y55" s="42"/>
      <c r="Z55" s="20"/>
      <c r="AA55" s="20"/>
      <c r="AB55" s="19"/>
      <c r="AC55" s="42"/>
      <c r="AD55" s="20"/>
      <c r="AE55" s="20"/>
      <c r="AF55" s="19"/>
      <c r="AG55" s="42"/>
      <c r="AH55" s="20"/>
      <c r="AI55" s="20"/>
      <c r="AJ55" s="19"/>
      <c r="AK55" s="42"/>
      <c r="AL55" s="20"/>
      <c r="AM55" s="20"/>
      <c r="AN55" s="19"/>
      <c r="AO55" s="42"/>
      <c r="AP55" s="20"/>
      <c r="AQ55" s="20"/>
      <c r="AR55" s="19"/>
      <c r="AS55" s="42"/>
      <c r="AT55" s="20"/>
      <c r="AU55" s="20"/>
      <c r="AV55" s="43"/>
      <c r="AW55" s="19"/>
      <c r="AX55" s="20"/>
      <c r="AY55" s="20"/>
      <c r="AZ55" s="43"/>
      <c r="BA55" s="19"/>
      <c r="BB55" s="20"/>
      <c r="BC55" s="20"/>
      <c r="BD55" s="43"/>
      <c r="BE55" s="19"/>
      <c r="BF55" s="20"/>
      <c r="BG55" s="20"/>
      <c r="BH55" s="43"/>
      <c r="BI55" s="19"/>
      <c r="BJ55" s="20"/>
      <c r="BK55" s="20"/>
      <c r="BL55" s="43"/>
      <c r="BM55" s="19"/>
      <c r="BN55" s="20"/>
      <c r="BO55" s="20"/>
      <c r="BP55" s="43"/>
      <c r="BQ55" s="19"/>
      <c r="BR55" s="20"/>
      <c r="BS55" s="20"/>
      <c r="BT55" s="43"/>
      <c r="BU55" s="19"/>
      <c r="BV55" s="20"/>
      <c r="BW55" s="20"/>
      <c r="BX55" s="43"/>
      <c r="BY55" s="19"/>
      <c r="BZ55" s="20"/>
      <c r="CA55" s="20"/>
      <c r="CB55" s="43"/>
      <c r="CC55" s="19"/>
      <c r="CD55" s="20"/>
      <c r="CE55" s="20"/>
      <c r="CF55" s="43"/>
      <c r="CH55" s="65" t="str">
        <f>IF(ISBLANK(B53),"","personas cualificadas")</f>
        <v/>
      </c>
      <c r="CI55" s="65" t="str">
        <f>IF(ISBLANK(B53),"","personas cualificadas")</f>
        <v/>
      </c>
      <c r="CJ55" s="64"/>
      <c r="CK55" s="1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L55"/>
      <c r="DM55"/>
    </row>
    <row r="56" spans="2:117" s="22" customFormat="1" x14ac:dyDescent="0.2">
      <c r="B56" s="63"/>
      <c r="C56" s="63"/>
      <c r="D56" s="49"/>
      <c r="E56" s="62">
        <v>0</v>
      </c>
      <c r="F56" s="60"/>
      <c r="G56" s="60"/>
      <c r="H56" s="60"/>
      <c r="I56" s="62"/>
      <c r="J56" s="60"/>
      <c r="K56" s="60"/>
      <c r="L56" s="60"/>
      <c r="M56" s="62"/>
      <c r="N56" s="60"/>
      <c r="O56" s="60"/>
      <c r="P56" s="60"/>
      <c r="Q56" s="62"/>
      <c r="R56" s="60"/>
      <c r="S56" s="60"/>
      <c r="T56" s="60"/>
      <c r="U56" s="62"/>
      <c r="V56" s="60"/>
      <c r="W56" s="60"/>
      <c r="X56" s="60"/>
      <c r="Y56" s="62">
        <v>0</v>
      </c>
      <c r="Z56" s="60"/>
      <c r="AA56" s="60"/>
      <c r="AB56" s="60"/>
      <c r="AC56" s="62">
        <v>0</v>
      </c>
      <c r="AD56" s="60"/>
      <c r="AE56" s="60"/>
      <c r="AF56" s="60"/>
      <c r="AG56" s="62"/>
      <c r="AH56" s="60"/>
      <c r="AI56" s="60"/>
      <c r="AJ56" s="60"/>
      <c r="AK56" s="62"/>
      <c r="AL56" s="60"/>
      <c r="AM56" s="60"/>
      <c r="AN56" s="60"/>
      <c r="AO56" s="62">
        <v>0</v>
      </c>
      <c r="AP56" s="60"/>
      <c r="AQ56" s="60"/>
      <c r="AR56" s="60"/>
      <c r="AS56" s="62"/>
      <c r="AT56" s="60"/>
      <c r="AU56" s="60"/>
      <c r="AV56" s="61"/>
      <c r="AW56" s="60"/>
      <c r="AX56" s="60"/>
      <c r="AY56" s="60"/>
      <c r="AZ56" s="61"/>
      <c r="BA56" s="60"/>
      <c r="BB56" s="60"/>
      <c r="BC56" s="60"/>
      <c r="BD56" s="61"/>
      <c r="BE56" s="60"/>
      <c r="BF56" s="60"/>
      <c r="BG56" s="60"/>
      <c r="BH56" s="61"/>
      <c r="BI56" s="60">
        <v>0</v>
      </c>
      <c r="BJ56" s="60"/>
      <c r="BK56" s="60"/>
      <c r="BL56" s="61"/>
      <c r="BM56" s="60">
        <v>0</v>
      </c>
      <c r="BN56" s="60"/>
      <c r="BO56" s="60"/>
      <c r="BP56" s="61"/>
      <c r="BQ56" s="60"/>
      <c r="BR56" s="60"/>
      <c r="BS56" s="60"/>
      <c r="BT56" s="61"/>
      <c r="BU56" s="60"/>
      <c r="BV56" s="60"/>
      <c r="BW56" s="60"/>
      <c r="BX56" s="61"/>
      <c r="BY56" s="60"/>
      <c r="BZ56" s="60"/>
      <c r="CA56" s="60"/>
      <c r="CB56" s="61"/>
      <c r="CC56" s="60"/>
      <c r="CD56" s="60"/>
      <c r="CE56" s="60"/>
      <c r="CF56" s="61"/>
      <c r="CG56" s="23"/>
      <c r="CH56" s="66"/>
      <c r="CI56" s="66"/>
      <c r="CJ56" s="64"/>
      <c r="CK56" s="24"/>
    </row>
    <row r="57" spans="2:117" ht="6" customHeight="1" x14ac:dyDescent="0.25">
      <c r="B57" s="63"/>
      <c r="C57" s="63"/>
      <c r="D57" s="38"/>
      <c r="E57" s="42"/>
      <c r="F57" s="19"/>
      <c r="G57" s="19"/>
      <c r="H57" s="19"/>
      <c r="I57" s="42"/>
      <c r="J57" s="19"/>
      <c r="K57" s="19"/>
      <c r="L57" s="19"/>
      <c r="M57" s="42"/>
      <c r="N57" s="19"/>
      <c r="O57" s="19"/>
      <c r="P57" s="19"/>
      <c r="Q57" s="42"/>
      <c r="R57" s="19"/>
      <c r="S57" s="19"/>
      <c r="T57" s="19"/>
      <c r="U57" s="42"/>
      <c r="V57" s="19"/>
      <c r="W57" s="19"/>
      <c r="X57" s="19"/>
      <c r="Y57" s="42"/>
      <c r="Z57" s="19"/>
      <c r="AA57" s="19"/>
      <c r="AB57" s="19"/>
      <c r="AC57" s="42"/>
      <c r="AD57" s="19"/>
      <c r="AE57" s="19"/>
      <c r="AF57" s="19"/>
      <c r="AG57" s="42"/>
      <c r="AH57" s="19"/>
      <c r="AI57" s="19"/>
      <c r="AJ57" s="19"/>
      <c r="AK57" s="42"/>
      <c r="AL57" s="19"/>
      <c r="AM57" s="19"/>
      <c r="AN57" s="19"/>
      <c r="AO57" s="42"/>
      <c r="AP57" s="19"/>
      <c r="AQ57" s="19"/>
      <c r="AR57" s="19"/>
      <c r="AS57" s="42"/>
      <c r="AT57" s="19"/>
      <c r="AU57" s="19"/>
      <c r="AV57" s="43"/>
      <c r="AW57" s="19"/>
      <c r="AX57" s="19"/>
      <c r="AY57" s="19"/>
      <c r="AZ57" s="43"/>
      <c r="BA57" s="19"/>
      <c r="BB57" s="19"/>
      <c r="BC57" s="19"/>
      <c r="BD57" s="43"/>
      <c r="BE57" s="19"/>
      <c r="BF57" s="19"/>
      <c r="BG57" s="19"/>
      <c r="BH57" s="43"/>
      <c r="BI57" s="19"/>
      <c r="BJ57" s="19"/>
      <c r="BK57" s="19"/>
      <c r="BL57" s="43"/>
      <c r="BM57" s="19"/>
      <c r="BN57" s="19"/>
      <c r="BO57" s="19"/>
      <c r="BP57" s="43"/>
      <c r="BQ57" s="19"/>
      <c r="BR57" s="19"/>
      <c r="BS57" s="19"/>
      <c r="BT57" s="43"/>
      <c r="BU57" s="19"/>
      <c r="BV57" s="19"/>
      <c r="BW57" s="19"/>
      <c r="BX57" s="43"/>
      <c r="BY57" s="19"/>
      <c r="BZ57" s="19"/>
      <c r="CA57" s="19"/>
      <c r="CB57" s="43"/>
      <c r="CC57" s="19"/>
      <c r="CD57" s="19"/>
      <c r="CE57" s="19"/>
      <c r="CF57" s="43"/>
      <c r="CH57" s="44"/>
      <c r="CI57" s="44"/>
      <c r="CJ57" s="64" t="str">
        <f>IF(ISBLANK(B57),"",IF(CI58&gt;=CH58,3,IF(CI58=(CH58-1),2,1)))</f>
        <v/>
      </c>
      <c r="CK57" s="1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L57"/>
      <c r="DM57"/>
    </row>
    <row r="58" spans="2:117" ht="15" customHeight="1" x14ac:dyDescent="0.25">
      <c r="B58" s="63"/>
      <c r="C58" s="63"/>
      <c r="D58" s="38"/>
      <c r="E58" s="42"/>
      <c r="F58" s="20"/>
      <c r="G58" s="20"/>
      <c r="H58" s="19"/>
      <c r="I58" s="42"/>
      <c r="J58" s="20"/>
      <c r="K58" s="20"/>
      <c r="L58" s="19"/>
      <c r="M58" s="42"/>
      <c r="N58" s="20"/>
      <c r="O58" s="20"/>
      <c r="P58" s="19"/>
      <c r="Q58" s="42"/>
      <c r="R58" s="20"/>
      <c r="S58" s="20"/>
      <c r="T58" s="19"/>
      <c r="U58" s="42"/>
      <c r="V58" s="20"/>
      <c r="W58" s="20"/>
      <c r="X58" s="19"/>
      <c r="Y58" s="42"/>
      <c r="Z58" s="20"/>
      <c r="AA58" s="20"/>
      <c r="AB58" s="19"/>
      <c r="AC58" s="42"/>
      <c r="AD58" s="20"/>
      <c r="AE58" s="20"/>
      <c r="AF58" s="19"/>
      <c r="AG58" s="42"/>
      <c r="AH58" s="20"/>
      <c r="AI58" s="20"/>
      <c r="AJ58" s="19"/>
      <c r="AK58" s="42"/>
      <c r="AL58" s="20"/>
      <c r="AM58" s="20"/>
      <c r="AN58" s="19"/>
      <c r="AO58" s="42"/>
      <c r="AP58" s="20"/>
      <c r="AQ58" s="20"/>
      <c r="AR58" s="19"/>
      <c r="AS58" s="42"/>
      <c r="AT58" s="20"/>
      <c r="AU58" s="20"/>
      <c r="AV58" s="43"/>
      <c r="AW58" s="19"/>
      <c r="AX58" s="20"/>
      <c r="AY58" s="20"/>
      <c r="AZ58" s="43"/>
      <c r="BA58" s="19"/>
      <c r="BB58" s="20"/>
      <c r="BC58" s="20"/>
      <c r="BD58" s="43"/>
      <c r="BE58" s="19"/>
      <c r="BF58" s="20"/>
      <c r="BG58" s="20"/>
      <c r="BH58" s="43"/>
      <c r="BI58" s="19"/>
      <c r="BJ58" s="20"/>
      <c r="BK58" s="20"/>
      <c r="BL58" s="43"/>
      <c r="BM58" s="19"/>
      <c r="BN58" s="20"/>
      <c r="BO58" s="20"/>
      <c r="BP58" s="43"/>
      <c r="BQ58" s="19"/>
      <c r="BR58" s="20"/>
      <c r="BS58" s="20"/>
      <c r="BT58" s="43"/>
      <c r="BU58" s="19"/>
      <c r="BV58" s="20"/>
      <c r="BW58" s="20"/>
      <c r="BX58" s="43"/>
      <c r="BY58" s="19"/>
      <c r="BZ58" s="20"/>
      <c r="CA58" s="20"/>
      <c r="CB58" s="43"/>
      <c r="CC58" s="19"/>
      <c r="CD58" s="20"/>
      <c r="CE58" s="20"/>
      <c r="CF58" s="43"/>
      <c r="CH58" s="46">
        <v>0</v>
      </c>
      <c r="CI58" s="45" t="str">
        <f>IF(ISBLANK(B57),"",COUNTIF(E60:CF60,"&gt;=3"))</f>
        <v/>
      </c>
      <c r="CJ58" s="64"/>
      <c r="CK58" s="1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L58"/>
      <c r="DM58"/>
    </row>
    <row r="59" spans="2:117" ht="15" customHeight="1" x14ac:dyDescent="0.25">
      <c r="B59" s="63"/>
      <c r="C59" s="63"/>
      <c r="D59" s="38"/>
      <c r="E59" s="42"/>
      <c r="F59" s="20"/>
      <c r="G59" s="20"/>
      <c r="H59" s="19"/>
      <c r="I59" s="42"/>
      <c r="J59" s="20"/>
      <c r="K59" s="20"/>
      <c r="L59" s="19"/>
      <c r="M59" s="42"/>
      <c r="N59" s="20"/>
      <c r="O59" s="20"/>
      <c r="P59" s="19"/>
      <c r="Q59" s="42"/>
      <c r="R59" s="20"/>
      <c r="S59" s="20"/>
      <c r="T59" s="19"/>
      <c r="U59" s="42"/>
      <c r="V59" s="20"/>
      <c r="W59" s="20"/>
      <c r="X59" s="19"/>
      <c r="Y59" s="42"/>
      <c r="Z59" s="20"/>
      <c r="AA59" s="20"/>
      <c r="AB59" s="19"/>
      <c r="AC59" s="42"/>
      <c r="AD59" s="20"/>
      <c r="AE59" s="20"/>
      <c r="AF59" s="19"/>
      <c r="AG59" s="42"/>
      <c r="AH59" s="20"/>
      <c r="AI59" s="20"/>
      <c r="AJ59" s="19"/>
      <c r="AK59" s="42"/>
      <c r="AL59" s="20"/>
      <c r="AM59" s="20"/>
      <c r="AN59" s="19"/>
      <c r="AO59" s="42"/>
      <c r="AP59" s="20"/>
      <c r="AQ59" s="20"/>
      <c r="AR59" s="19"/>
      <c r="AS59" s="42"/>
      <c r="AT59" s="20"/>
      <c r="AU59" s="20"/>
      <c r="AV59" s="43"/>
      <c r="AW59" s="19"/>
      <c r="AX59" s="20"/>
      <c r="AY59" s="20"/>
      <c r="AZ59" s="43"/>
      <c r="BA59" s="19"/>
      <c r="BB59" s="20"/>
      <c r="BC59" s="20"/>
      <c r="BD59" s="43"/>
      <c r="BE59" s="19"/>
      <c r="BF59" s="20"/>
      <c r="BG59" s="20"/>
      <c r="BH59" s="43"/>
      <c r="BI59" s="19"/>
      <c r="BJ59" s="20"/>
      <c r="BK59" s="20"/>
      <c r="BL59" s="43"/>
      <c r="BM59" s="19"/>
      <c r="BN59" s="20"/>
      <c r="BO59" s="20"/>
      <c r="BP59" s="43"/>
      <c r="BQ59" s="19"/>
      <c r="BR59" s="20"/>
      <c r="BS59" s="20"/>
      <c r="BT59" s="43"/>
      <c r="BU59" s="19"/>
      <c r="BV59" s="20"/>
      <c r="BW59" s="20"/>
      <c r="BX59" s="43"/>
      <c r="BY59" s="19"/>
      <c r="BZ59" s="20"/>
      <c r="CA59" s="20"/>
      <c r="CB59" s="43"/>
      <c r="CC59" s="19"/>
      <c r="CD59" s="20"/>
      <c r="CE59" s="20"/>
      <c r="CF59" s="43"/>
      <c r="CH59" s="65" t="str">
        <f>IF(ISBLANK(B57),"","personas cualificadas")</f>
        <v/>
      </c>
      <c r="CI59" s="65" t="str">
        <f>IF(ISBLANK(B57),"","personas cualificadas")</f>
        <v/>
      </c>
      <c r="CJ59" s="64"/>
      <c r="CK59" s="1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L59"/>
      <c r="DM59"/>
    </row>
    <row r="60" spans="2:117" s="22" customFormat="1" x14ac:dyDescent="0.2">
      <c r="B60" s="63"/>
      <c r="C60" s="63"/>
      <c r="D60" s="49"/>
      <c r="E60" s="62">
        <v>0</v>
      </c>
      <c r="F60" s="60"/>
      <c r="G60" s="60"/>
      <c r="H60" s="60"/>
      <c r="I60" s="62"/>
      <c r="J60" s="60"/>
      <c r="K60" s="60"/>
      <c r="L60" s="60"/>
      <c r="M60" s="62"/>
      <c r="N60" s="60"/>
      <c r="O60" s="60"/>
      <c r="P60" s="60"/>
      <c r="Q60" s="62"/>
      <c r="R60" s="60"/>
      <c r="S60" s="60"/>
      <c r="T60" s="60"/>
      <c r="U60" s="62"/>
      <c r="V60" s="60"/>
      <c r="W60" s="60"/>
      <c r="X60" s="60"/>
      <c r="Y60" s="62">
        <v>0</v>
      </c>
      <c r="Z60" s="60"/>
      <c r="AA60" s="60"/>
      <c r="AB60" s="60"/>
      <c r="AC60" s="62">
        <v>0</v>
      </c>
      <c r="AD60" s="60"/>
      <c r="AE60" s="60"/>
      <c r="AF60" s="60"/>
      <c r="AG60" s="62">
        <v>0</v>
      </c>
      <c r="AH60" s="60"/>
      <c r="AI60" s="60"/>
      <c r="AJ60" s="60"/>
      <c r="AK60" s="62"/>
      <c r="AL60" s="60"/>
      <c r="AM60" s="60"/>
      <c r="AN60" s="60"/>
      <c r="AO60" s="62">
        <v>0</v>
      </c>
      <c r="AP60" s="60"/>
      <c r="AQ60" s="60"/>
      <c r="AR60" s="60"/>
      <c r="AS60" s="62"/>
      <c r="AT60" s="60"/>
      <c r="AU60" s="60"/>
      <c r="AV60" s="61"/>
      <c r="AW60" s="60"/>
      <c r="AX60" s="60"/>
      <c r="AY60" s="60"/>
      <c r="AZ60" s="61"/>
      <c r="BA60" s="60"/>
      <c r="BB60" s="60"/>
      <c r="BC60" s="60"/>
      <c r="BD60" s="61"/>
      <c r="BE60" s="60"/>
      <c r="BF60" s="60"/>
      <c r="BG60" s="60"/>
      <c r="BH60" s="61"/>
      <c r="BI60" s="60">
        <v>0</v>
      </c>
      <c r="BJ60" s="60"/>
      <c r="BK60" s="60"/>
      <c r="BL60" s="61"/>
      <c r="BM60" s="60">
        <v>0</v>
      </c>
      <c r="BN60" s="60"/>
      <c r="BO60" s="60"/>
      <c r="BP60" s="61"/>
      <c r="BQ60" s="60"/>
      <c r="BR60" s="60"/>
      <c r="BS60" s="60"/>
      <c r="BT60" s="61"/>
      <c r="BU60" s="60"/>
      <c r="BV60" s="60"/>
      <c r="BW60" s="60"/>
      <c r="BX60" s="61"/>
      <c r="BY60" s="60"/>
      <c r="BZ60" s="60"/>
      <c r="CA60" s="60"/>
      <c r="CB60" s="61"/>
      <c r="CC60" s="60"/>
      <c r="CD60" s="60"/>
      <c r="CE60" s="60"/>
      <c r="CF60" s="61"/>
      <c r="CG60" s="23"/>
      <c r="CH60" s="66"/>
      <c r="CI60" s="66"/>
      <c r="CJ60" s="64"/>
      <c r="CK60" s="24"/>
    </row>
    <row r="61" spans="2:117" ht="6" customHeight="1" x14ac:dyDescent="0.25">
      <c r="B61" s="63"/>
      <c r="C61" s="63"/>
      <c r="D61" s="38"/>
      <c r="E61" s="42"/>
      <c r="F61" s="19"/>
      <c r="G61" s="19"/>
      <c r="H61" s="19"/>
      <c r="I61" s="42"/>
      <c r="J61" s="19"/>
      <c r="K61" s="19"/>
      <c r="L61" s="19"/>
      <c r="M61" s="42"/>
      <c r="N61" s="19"/>
      <c r="O61" s="19"/>
      <c r="P61" s="19"/>
      <c r="Q61" s="42"/>
      <c r="R61" s="19"/>
      <c r="S61" s="19"/>
      <c r="T61" s="19"/>
      <c r="U61" s="42"/>
      <c r="V61" s="19"/>
      <c r="W61" s="19"/>
      <c r="X61" s="19"/>
      <c r="Y61" s="42"/>
      <c r="Z61" s="19"/>
      <c r="AA61" s="19"/>
      <c r="AB61" s="19"/>
      <c r="AC61" s="42"/>
      <c r="AD61" s="19"/>
      <c r="AE61" s="19"/>
      <c r="AF61" s="19"/>
      <c r="AG61" s="42"/>
      <c r="AH61" s="19"/>
      <c r="AI61" s="19"/>
      <c r="AJ61" s="19"/>
      <c r="AK61" s="42"/>
      <c r="AL61" s="19"/>
      <c r="AM61" s="19"/>
      <c r="AN61" s="19"/>
      <c r="AO61" s="42"/>
      <c r="AP61" s="19"/>
      <c r="AQ61" s="19"/>
      <c r="AR61" s="19"/>
      <c r="AS61" s="42"/>
      <c r="AT61" s="19"/>
      <c r="AU61" s="19"/>
      <c r="AV61" s="43"/>
      <c r="AW61" s="19"/>
      <c r="AX61" s="19"/>
      <c r="AY61" s="19"/>
      <c r="AZ61" s="43"/>
      <c r="BA61" s="19"/>
      <c r="BB61" s="19"/>
      <c r="BC61" s="19"/>
      <c r="BD61" s="43"/>
      <c r="BE61" s="19"/>
      <c r="BF61" s="19"/>
      <c r="BG61" s="19"/>
      <c r="BH61" s="43"/>
      <c r="BI61" s="19"/>
      <c r="BJ61" s="19"/>
      <c r="BK61" s="19"/>
      <c r="BL61" s="43"/>
      <c r="BM61" s="19"/>
      <c r="BN61" s="19"/>
      <c r="BO61" s="19"/>
      <c r="BP61" s="43"/>
      <c r="BQ61" s="19"/>
      <c r="BR61" s="19"/>
      <c r="BS61" s="19"/>
      <c r="BT61" s="43"/>
      <c r="BU61" s="19"/>
      <c r="BV61" s="19"/>
      <c r="BW61" s="19"/>
      <c r="BX61" s="43"/>
      <c r="BY61" s="19"/>
      <c r="BZ61" s="19"/>
      <c r="CA61" s="19"/>
      <c r="CB61" s="43"/>
      <c r="CC61" s="19"/>
      <c r="CD61" s="19"/>
      <c r="CE61" s="19"/>
      <c r="CF61" s="43"/>
      <c r="CH61" s="44"/>
      <c r="CI61" s="44"/>
      <c r="CJ61" s="64" t="str">
        <f>IF(ISBLANK(B61),"",IF(CI62&gt;=CH62,3,IF(CI62=(CH62-1),2,1)))</f>
        <v/>
      </c>
      <c r="CK61" s="1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L61"/>
      <c r="DM61"/>
    </row>
    <row r="62" spans="2:117" ht="15" customHeight="1" x14ac:dyDescent="0.25">
      <c r="B62" s="63"/>
      <c r="C62" s="63"/>
      <c r="D62" s="38"/>
      <c r="E62" s="42"/>
      <c r="F62" s="20"/>
      <c r="G62" s="20"/>
      <c r="H62" s="19"/>
      <c r="I62" s="42"/>
      <c r="J62" s="20"/>
      <c r="K62" s="20"/>
      <c r="L62" s="19"/>
      <c r="M62" s="42"/>
      <c r="N62" s="20"/>
      <c r="O62" s="20"/>
      <c r="P62" s="19"/>
      <c r="Q62" s="42"/>
      <c r="R62" s="20"/>
      <c r="S62" s="20"/>
      <c r="T62" s="19"/>
      <c r="U62" s="42"/>
      <c r="V62" s="20"/>
      <c r="W62" s="20"/>
      <c r="X62" s="19"/>
      <c r="Y62" s="42"/>
      <c r="Z62" s="20"/>
      <c r="AA62" s="20"/>
      <c r="AB62" s="19"/>
      <c r="AC62" s="42"/>
      <c r="AD62" s="20"/>
      <c r="AE62" s="20"/>
      <c r="AF62" s="19"/>
      <c r="AG62" s="42"/>
      <c r="AH62" s="20"/>
      <c r="AI62" s="20"/>
      <c r="AJ62" s="19"/>
      <c r="AK62" s="42"/>
      <c r="AL62" s="20"/>
      <c r="AM62" s="20"/>
      <c r="AN62" s="19"/>
      <c r="AO62" s="42"/>
      <c r="AP62" s="20"/>
      <c r="AQ62" s="20"/>
      <c r="AR62" s="19"/>
      <c r="AS62" s="42"/>
      <c r="AT62" s="20"/>
      <c r="AU62" s="20"/>
      <c r="AV62" s="43"/>
      <c r="AW62" s="19"/>
      <c r="AX62" s="20"/>
      <c r="AY62" s="20"/>
      <c r="AZ62" s="43"/>
      <c r="BA62" s="19"/>
      <c r="BB62" s="20"/>
      <c r="BC62" s="20"/>
      <c r="BD62" s="43"/>
      <c r="BE62" s="19"/>
      <c r="BF62" s="20"/>
      <c r="BG62" s="20"/>
      <c r="BH62" s="43"/>
      <c r="BI62" s="19"/>
      <c r="BJ62" s="20"/>
      <c r="BK62" s="20"/>
      <c r="BL62" s="43"/>
      <c r="BM62" s="19"/>
      <c r="BN62" s="20"/>
      <c r="BO62" s="20"/>
      <c r="BP62" s="43"/>
      <c r="BQ62" s="19"/>
      <c r="BR62" s="20"/>
      <c r="BS62" s="20"/>
      <c r="BT62" s="43"/>
      <c r="BU62" s="19"/>
      <c r="BV62" s="20"/>
      <c r="BW62" s="20"/>
      <c r="BX62" s="43"/>
      <c r="BY62" s="19"/>
      <c r="BZ62" s="20"/>
      <c r="CA62" s="20"/>
      <c r="CB62" s="43"/>
      <c r="CC62" s="19"/>
      <c r="CD62" s="20"/>
      <c r="CE62" s="20"/>
      <c r="CF62" s="43"/>
      <c r="CH62" s="46">
        <v>0</v>
      </c>
      <c r="CI62" s="45" t="str">
        <f>IF(ISBLANK(B61),"",COUNTIF(E64:CF64,"&gt;=3"))</f>
        <v/>
      </c>
      <c r="CJ62" s="64"/>
      <c r="CK62" s="11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L62"/>
      <c r="DM62"/>
    </row>
    <row r="63" spans="2:117" ht="15" customHeight="1" x14ac:dyDescent="0.25">
      <c r="B63" s="63"/>
      <c r="C63" s="63"/>
      <c r="D63" s="38"/>
      <c r="E63" s="42"/>
      <c r="F63" s="20"/>
      <c r="G63" s="20"/>
      <c r="H63" s="19"/>
      <c r="I63" s="42"/>
      <c r="J63" s="20"/>
      <c r="K63" s="20"/>
      <c r="L63" s="19"/>
      <c r="M63" s="42"/>
      <c r="N63" s="20"/>
      <c r="O63" s="20"/>
      <c r="P63" s="19"/>
      <c r="Q63" s="42"/>
      <c r="R63" s="20"/>
      <c r="S63" s="20"/>
      <c r="T63" s="19"/>
      <c r="U63" s="42"/>
      <c r="V63" s="20"/>
      <c r="W63" s="20"/>
      <c r="X63" s="19"/>
      <c r="Y63" s="42"/>
      <c r="Z63" s="20"/>
      <c r="AA63" s="20"/>
      <c r="AB63" s="19"/>
      <c r="AC63" s="42"/>
      <c r="AD63" s="20"/>
      <c r="AE63" s="20"/>
      <c r="AF63" s="19"/>
      <c r="AG63" s="42"/>
      <c r="AH63" s="20"/>
      <c r="AI63" s="20"/>
      <c r="AJ63" s="19"/>
      <c r="AK63" s="42"/>
      <c r="AL63" s="20"/>
      <c r="AM63" s="20"/>
      <c r="AN63" s="19"/>
      <c r="AO63" s="42"/>
      <c r="AP63" s="20"/>
      <c r="AQ63" s="20"/>
      <c r="AR63" s="19"/>
      <c r="AS63" s="42"/>
      <c r="AT63" s="20"/>
      <c r="AU63" s="20"/>
      <c r="AV63" s="43"/>
      <c r="AW63" s="19"/>
      <c r="AX63" s="20"/>
      <c r="AY63" s="20"/>
      <c r="AZ63" s="43"/>
      <c r="BA63" s="19"/>
      <c r="BB63" s="20"/>
      <c r="BC63" s="20"/>
      <c r="BD63" s="43"/>
      <c r="BE63" s="19"/>
      <c r="BF63" s="20"/>
      <c r="BG63" s="20"/>
      <c r="BH63" s="43"/>
      <c r="BI63" s="19"/>
      <c r="BJ63" s="20"/>
      <c r="BK63" s="20"/>
      <c r="BL63" s="43"/>
      <c r="BM63" s="19"/>
      <c r="BN63" s="20"/>
      <c r="BO63" s="20"/>
      <c r="BP63" s="43"/>
      <c r="BQ63" s="19"/>
      <c r="BR63" s="20"/>
      <c r="BS63" s="20"/>
      <c r="BT63" s="43"/>
      <c r="BU63" s="19"/>
      <c r="BV63" s="20"/>
      <c r="BW63" s="20"/>
      <c r="BX63" s="43"/>
      <c r="BY63" s="19"/>
      <c r="BZ63" s="20"/>
      <c r="CA63" s="20"/>
      <c r="CB63" s="43"/>
      <c r="CC63" s="19"/>
      <c r="CD63" s="20"/>
      <c r="CE63" s="20"/>
      <c r="CF63" s="43"/>
      <c r="CH63" s="65" t="str">
        <f>IF(ISBLANK(B61),"","personas cualificadas")</f>
        <v/>
      </c>
      <c r="CI63" s="65" t="str">
        <f>IF(ISBLANK(B61),"","personas cualificadas")</f>
        <v/>
      </c>
      <c r="CJ63" s="64"/>
      <c r="CK63" s="11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L63"/>
      <c r="DM63"/>
    </row>
    <row r="64" spans="2:117" s="22" customFormat="1" x14ac:dyDescent="0.2">
      <c r="B64" s="63"/>
      <c r="C64" s="63"/>
      <c r="D64" s="49"/>
      <c r="E64" s="62">
        <v>0</v>
      </c>
      <c r="F64" s="60"/>
      <c r="G64" s="60"/>
      <c r="H64" s="60"/>
      <c r="I64" s="62"/>
      <c r="J64" s="60"/>
      <c r="K64" s="60"/>
      <c r="L64" s="60"/>
      <c r="M64" s="62"/>
      <c r="N64" s="60"/>
      <c r="O64" s="60"/>
      <c r="P64" s="60"/>
      <c r="Q64" s="62"/>
      <c r="R64" s="60"/>
      <c r="S64" s="60"/>
      <c r="T64" s="60"/>
      <c r="U64" s="62"/>
      <c r="V64" s="60"/>
      <c r="W64" s="60"/>
      <c r="X64" s="60"/>
      <c r="Y64" s="62">
        <v>0</v>
      </c>
      <c r="Z64" s="60"/>
      <c r="AA64" s="60"/>
      <c r="AB64" s="60"/>
      <c r="AC64" s="62">
        <v>0</v>
      </c>
      <c r="AD64" s="60"/>
      <c r="AE64" s="60"/>
      <c r="AF64" s="60"/>
      <c r="AG64" s="62"/>
      <c r="AH64" s="60"/>
      <c r="AI64" s="60"/>
      <c r="AJ64" s="60"/>
      <c r="AK64" s="62"/>
      <c r="AL64" s="60"/>
      <c r="AM64" s="60"/>
      <c r="AN64" s="60"/>
      <c r="AO64" s="62">
        <v>0</v>
      </c>
      <c r="AP64" s="60"/>
      <c r="AQ64" s="60"/>
      <c r="AR64" s="60"/>
      <c r="AS64" s="62"/>
      <c r="AT64" s="60"/>
      <c r="AU64" s="60"/>
      <c r="AV64" s="61"/>
      <c r="AW64" s="60"/>
      <c r="AX64" s="60"/>
      <c r="AY64" s="60"/>
      <c r="AZ64" s="61"/>
      <c r="BA64" s="60"/>
      <c r="BB64" s="60"/>
      <c r="BC64" s="60"/>
      <c r="BD64" s="61"/>
      <c r="BE64" s="60"/>
      <c r="BF64" s="60"/>
      <c r="BG64" s="60"/>
      <c r="BH64" s="61"/>
      <c r="BI64" s="60">
        <v>0</v>
      </c>
      <c r="BJ64" s="60"/>
      <c r="BK64" s="60"/>
      <c r="BL64" s="61"/>
      <c r="BM64" s="60">
        <v>0</v>
      </c>
      <c r="BN64" s="60"/>
      <c r="BO64" s="60"/>
      <c r="BP64" s="61"/>
      <c r="BQ64" s="60"/>
      <c r="BR64" s="60"/>
      <c r="BS64" s="60"/>
      <c r="BT64" s="61"/>
      <c r="BU64" s="60"/>
      <c r="BV64" s="60"/>
      <c r="BW64" s="60"/>
      <c r="BX64" s="61"/>
      <c r="BY64" s="60"/>
      <c r="BZ64" s="60"/>
      <c r="CA64" s="60"/>
      <c r="CB64" s="61"/>
      <c r="CC64" s="60"/>
      <c r="CD64" s="60"/>
      <c r="CE64" s="60"/>
      <c r="CF64" s="61"/>
      <c r="CG64" s="23"/>
      <c r="CH64" s="66"/>
      <c r="CI64" s="66"/>
      <c r="CJ64" s="64"/>
      <c r="CK64" s="24"/>
    </row>
    <row r="65" spans="2:117" ht="6" customHeight="1" x14ac:dyDescent="0.25">
      <c r="B65" s="63"/>
      <c r="C65" s="63"/>
      <c r="D65" s="38"/>
      <c r="E65" s="42"/>
      <c r="F65" s="19"/>
      <c r="G65" s="19"/>
      <c r="H65" s="19"/>
      <c r="I65" s="42"/>
      <c r="J65" s="19"/>
      <c r="K65" s="19"/>
      <c r="L65" s="19"/>
      <c r="M65" s="42"/>
      <c r="N65" s="19"/>
      <c r="O65" s="19"/>
      <c r="P65" s="19"/>
      <c r="Q65" s="42"/>
      <c r="R65" s="19"/>
      <c r="S65" s="19"/>
      <c r="T65" s="19"/>
      <c r="U65" s="42"/>
      <c r="V65" s="19"/>
      <c r="W65" s="19"/>
      <c r="X65" s="19"/>
      <c r="Y65" s="42"/>
      <c r="Z65" s="19"/>
      <c r="AA65" s="19"/>
      <c r="AB65" s="19"/>
      <c r="AC65" s="42"/>
      <c r="AD65" s="19"/>
      <c r="AE65" s="19"/>
      <c r="AF65" s="19"/>
      <c r="AG65" s="42"/>
      <c r="AH65" s="19"/>
      <c r="AI65" s="19"/>
      <c r="AJ65" s="19"/>
      <c r="AK65" s="42"/>
      <c r="AL65" s="19"/>
      <c r="AM65" s="19"/>
      <c r="AN65" s="19"/>
      <c r="AO65" s="42"/>
      <c r="AP65" s="19"/>
      <c r="AQ65" s="19"/>
      <c r="AR65" s="19"/>
      <c r="AS65" s="42"/>
      <c r="AT65" s="19"/>
      <c r="AU65" s="19"/>
      <c r="AV65" s="43"/>
      <c r="AW65" s="19"/>
      <c r="AX65" s="19"/>
      <c r="AY65" s="19"/>
      <c r="AZ65" s="43"/>
      <c r="BA65" s="19"/>
      <c r="BB65" s="19"/>
      <c r="BC65" s="19"/>
      <c r="BD65" s="43"/>
      <c r="BE65" s="19"/>
      <c r="BF65" s="19"/>
      <c r="BG65" s="19"/>
      <c r="BH65" s="43"/>
      <c r="BI65" s="19"/>
      <c r="BJ65" s="19"/>
      <c r="BK65" s="19"/>
      <c r="BL65" s="43"/>
      <c r="BM65" s="19"/>
      <c r="BN65" s="19"/>
      <c r="BO65" s="19"/>
      <c r="BP65" s="43"/>
      <c r="BQ65" s="19"/>
      <c r="BR65" s="19"/>
      <c r="BS65" s="19"/>
      <c r="BT65" s="43"/>
      <c r="BU65" s="19"/>
      <c r="BV65" s="19"/>
      <c r="BW65" s="19"/>
      <c r="BX65" s="43"/>
      <c r="BY65" s="19"/>
      <c r="BZ65" s="19"/>
      <c r="CA65" s="19"/>
      <c r="CB65" s="43"/>
      <c r="CC65" s="19"/>
      <c r="CD65" s="19"/>
      <c r="CE65" s="19"/>
      <c r="CF65" s="43"/>
      <c r="CH65" s="44"/>
      <c r="CI65" s="44"/>
      <c r="CJ65" s="64" t="str">
        <f>IF(ISBLANK(B65),"",IF(CI66&gt;=CH66,3,IF(CI66=(CH66-1),2,1)))</f>
        <v/>
      </c>
      <c r="CK65" s="11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L65"/>
      <c r="DM65"/>
    </row>
    <row r="66" spans="2:117" ht="15" customHeight="1" x14ac:dyDescent="0.25">
      <c r="B66" s="63"/>
      <c r="C66" s="63"/>
      <c r="D66" s="38"/>
      <c r="E66" s="42"/>
      <c r="F66" s="20"/>
      <c r="G66" s="20"/>
      <c r="H66" s="19"/>
      <c r="I66" s="42"/>
      <c r="J66" s="20"/>
      <c r="K66" s="20"/>
      <c r="L66" s="19"/>
      <c r="M66" s="42"/>
      <c r="N66" s="20"/>
      <c r="O66" s="20"/>
      <c r="P66" s="19"/>
      <c r="Q66" s="42"/>
      <c r="R66" s="20"/>
      <c r="S66" s="20"/>
      <c r="T66" s="19"/>
      <c r="U66" s="42"/>
      <c r="V66" s="20"/>
      <c r="W66" s="20"/>
      <c r="X66" s="19"/>
      <c r="Y66" s="42"/>
      <c r="Z66" s="20"/>
      <c r="AA66" s="20"/>
      <c r="AB66" s="19"/>
      <c r="AC66" s="42"/>
      <c r="AD66" s="20"/>
      <c r="AE66" s="20"/>
      <c r="AF66" s="19"/>
      <c r="AG66" s="42"/>
      <c r="AH66" s="20"/>
      <c r="AI66" s="20"/>
      <c r="AJ66" s="19"/>
      <c r="AK66" s="42"/>
      <c r="AL66" s="20"/>
      <c r="AM66" s="20"/>
      <c r="AN66" s="19"/>
      <c r="AO66" s="42"/>
      <c r="AP66" s="20"/>
      <c r="AQ66" s="20"/>
      <c r="AR66" s="19"/>
      <c r="AS66" s="42"/>
      <c r="AT66" s="20"/>
      <c r="AU66" s="20"/>
      <c r="AV66" s="43"/>
      <c r="AW66" s="19"/>
      <c r="AX66" s="20"/>
      <c r="AY66" s="20"/>
      <c r="AZ66" s="43"/>
      <c r="BA66" s="19"/>
      <c r="BB66" s="20"/>
      <c r="BC66" s="20"/>
      <c r="BD66" s="43"/>
      <c r="BE66" s="19"/>
      <c r="BF66" s="20"/>
      <c r="BG66" s="20"/>
      <c r="BH66" s="43"/>
      <c r="BI66" s="19"/>
      <c r="BJ66" s="20"/>
      <c r="BK66" s="20"/>
      <c r="BL66" s="43"/>
      <c r="BM66" s="19"/>
      <c r="BN66" s="20"/>
      <c r="BO66" s="20"/>
      <c r="BP66" s="43"/>
      <c r="BQ66" s="19"/>
      <c r="BR66" s="20"/>
      <c r="BS66" s="20"/>
      <c r="BT66" s="43"/>
      <c r="BU66" s="19"/>
      <c r="BV66" s="20"/>
      <c r="BW66" s="20"/>
      <c r="BX66" s="43"/>
      <c r="BY66" s="19"/>
      <c r="BZ66" s="20"/>
      <c r="CA66" s="20"/>
      <c r="CB66" s="43"/>
      <c r="CC66" s="19"/>
      <c r="CD66" s="20"/>
      <c r="CE66" s="20"/>
      <c r="CF66" s="43"/>
      <c r="CH66" s="46">
        <v>0</v>
      </c>
      <c r="CI66" s="45" t="str">
        <f>IF(ISBLANK(B65),"",COUNTIF(E68:CF68,"&gt;=3"))</f>
        <v/>
      </c>
      <c r="CJ66" s="64"/>
      <c r="CK66" s="11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L66"/>
      <c r="DM66"/>
    </row>
    <row r="67" spans="2:117" ht="15" customHeight="1" x14ac:dyDescent="0.25">
      <c r="B67" s="63"/>
      <c r="C67" s="63"/>
      <c r="D67" s="38"/>
      <c r="E67" s="42"/>
      <c r="F67" s="20"/>
      <c r="G67" s="20"/>
      <c r="H67" s="19"/>
      <c r="I67" s="42"/>
      <c r="J67" s="20"/>
      <c r="K67" s="20"/>
      <c r="L67" s="19"/>
      <c r="M67" s="42"/>
      <c r="N67" s="20"/>
      <c r="O67" s="20"/>
      <c r="P67" s="19"/>
      <c r="Q67" s="42"/>
      <c r="R67" s="20"/>
      <c r="S67" s="20"/>
      <c r="T67" s="19"/>
      <c r="U67" s="42"/>
      <c r="V67" s="20"/>
      <c r="W67" s="20"/>
      <c r="X67" s="19"/>
      <c r="Y67" s="42"/>
      <c r="Z67" s="20"/>
      <c r="AA67" s="20"/>
      <c r="AB67" s="19"/>
      <c r="AC67" s="42"/>
      <c r="AD67" s="20"/>
      <c r="AE67" s="20"/>
      <c r="AF67" s="19"/>
      <c r="AG67" s="42"/>
      <c r="AH67" s="20"/>
      <c r="AI67" s="20"/>
      <c r="AJ67" s="19"/>
      <c r="AK67" s="42"/>
      <c r="AL67" s="20"/>
      <c r="AM67" s="20"/>
      <c r="AN67" s="19"/>
      <c r="AO67" s="42"/>
      <c r="AP67" s="20"/>
      <c r="AQ67" s="20"/>
      <c r="AR67" s="19"/>
      <c r="AS67" s="42"/>
      <c r="AT67" s="20"/>
      <c r="AU67" s="20"/>
      <c r="AV67" s="43"/>
      <c r="AW67" s="19"/>
      <c r="AX67" s="20"/>
      <c r="AY67" s="20"/>
      <c r="AZ67" s="43"/>
      <c r="BA67" s="19"/>
      <c r="BB67" s="20"/>
      <c r="BC67" s="20"/>
      <c r="BD67" s="43"/>
      <c r="BE67" s="19"/>
      <c r="BF67" s="20"/>
      <c r="BG67" s="20"/>
      <c r="BH67" s="43"/>
      <c r="BI67" s="19"/>
      <c r="BJ67" s="20"/>
      <c r="BK67" s="20"/>
      <c r="BL67" s="43"/>
      <c r="BM67" s="19"/>
      <c r="BN67" s="20"/>
      <c r="BO67" s="20"/>
      <c r="BP67" s="43"/>
      <c r="BQ67" s="19"/>
      <c r="BR67" s="20"/>
      <c r="BS67" s="20"/>
      <c r="BT67" s="43"/>
      <c r="BU67" s="19"/>
      <c r="BV67" s="20"/>
      <c r="BW67" s="20"/>
      <c r="BX67" s="43"/>
      <c r="BY67" s="19"/>
      <c r="BZ67" s="20"/>
      <c r="CA67" s="20"/>
      <c r="CB67" s="43"/>
      <c r="CC67" s="19"/>
      <c r="CD67" s="20"/>
      <c r="CE67" s="20"/>
      <c r="CF67" s="43"/>
      <c r="CH67" s="65" t="str">
        <f>IF(ISBLANK(B65),"","personas cualificadas")</f>
        <v/>
      </c>
      <c r="CI67" s="65" t="str">
        <f>IF(ISBLANK(B65),"","personas cualificadas")</f>
        <v/>
      </c>
      <c r="CJ67" s="64"/>
      <c r="CK67" s="11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L67"/>
      <c r="DM67"/>
    </row>
    <row r="68" spans="2:117" s="22" customFormat="1" x14ac:dyDescent="0.2">
      <c r="B68" s="63"/>
      <c r="C68" s="63"/>
      <c r="D68" s="49"/>
      <c r="E68" s="62">
        <v>0</v>
      </c>
      <c r="F68" s="60"/>
      <c r="G68" s="60"/>
      <c r="H68" s="60"/>
      <c r="I68" s="62"/>
      <c r="J68" s="60"/>
      <c r="K68" s="60"/>
      <c r="L68" s="60"/>
      <c r="M68" s="62"/>
      <c r="N68" s="60"/>
      <c r="O68" s="60"/>
      <c r="P68" s="60"/>
      <c r="Q68" s="62"/>
      <c r="R68" s="60"/>
      <c r="S68" s="60"/>
      <c r="T68" s="60"/>
      <c r="U68" s="62"/>
      <c r="V68" s="60"/>
      <c r="W68" s="60"/>
      <c r="X68" s="60"/>
      <c r="Y68" s="62">
        <v>0</v>
      </c>
      <c r="Z68" s="60"/>
      <c r="AA68" s="60"/>
      <c r="AB68" s="60"/>
      <c r="AC68" s="62">
        <v>0</v>
      </c>
      <c r="AD68" s="60"/>
      <c r="AE68" s="60"/>
      <c r="AF68" s="60"/>
      <c r="AG68" s="62"/>
      <c r="AH68" s="60"/>
      <c r="AI68" s="60"/>
      <c r="AJ68" s="60"/>
      <c r="AK68" s="62"/>
      <c r="AL68" s="60"/>
      <c r="AM68" s="60"/>
      <c r="AN68" s="60"/>
      <c r="AO68" s="62">
        <v>0</v>
      </c>
      <c r="AP68" s="60"/>
      <c r="AQ68" s="60"/>
      <c r="AR68" s="60"/>
      <c r="AS68" s="62"/>
      <c r="AT68" s="60"/>
      <c r="AU68" s="60"/>
      <c r="AV68" s="61"/>
      <c r="AW68" s="60"/>
      <c r="AX68" s="60"/>
      <c r="AY68" s="60"/>
      <c r="AZ68" s="61"/>
      <c r="BA68" s="60"/>
      <c r="BB68" s="60"/>
      <c r="BC68" s="60"/>
      <c r="BD68" s="61"/>
      <c r="BE68" s="60"/>
      <c r="BF68" s="60"/>
      <c r="BG68" s="60"/>
      <c r="BH68" s="61"/>
      <c r="BI68" s="60">
        <v>0</v>
      </c>
      <c r="BJ68" s="60"/>
      <c r="BK68" s="60"/>
      <c r="BL68" s="61"/>
      <c r="BM68" s="60">
        <v>0</v>
      </c>
      <c r="BN68" s="60"/>
      <c r="BO68" s="60"/>
      <c r="BP68" s="61"/>
      <c r="BQ68" s="60"/>
      <c r="BR68" s="60"/>
      <c r="BS68" s="60"/>
      <c r="BT68" s="61"/>
      <c r="BU68" s="60"/>
      <c r="BV68" s="60"/>
      <c r="BW68" s="60"/>
      <c r="BX68" s="61"/>
      <c r="BY68" s="60"/>
      <c r="BZ68" s="60"/>
      <c r="CA68" s="60"/>
      <c r="CB68" s="61"/>
      <c r="CC68" s="60"/>
      <c r="CD68" s="60"/>
      <c r="CE68" s="60"/>
      <c r="CF68" s="61"/>
      <c r="CG68" s="23"/>
      <c r="CH68" s="66"/>
      <c r="CI68" s="66"/>
      <c r="CJ68" s="64"/>
      <c r="CK68" s="24"/>
    </row>
    <row r="69" spans="2:117" ht="6" customHeight="1" x14ac:dyDescent="0.25">
      <c r="B69" s="63"/>
      <c r="C69" s="63"/>
      <c r="D69" s="38"/>
      <c r="E69" s="42"/>
      <c r="F69" s="19"/>
      <c r="G69" s="19"/>
      <c r="H69" s="19"/>
      <c r="I69" s="42"/>
      <c r="J69" s="19"/>
      <c r="K69" s="19"/>
      <c r="L69" s="19"/>
      <c r="M69" s="42"/>
      <c r="N69" s="19"/>
      <c r="O69" s="19"/>
      <c r="P69" s="19"/>
      <c r="Q69" s="42"/>
      <c r="R69" s="19"/>
      <c r="S69" s="19"/>
      <c r="T69" s="19"/>
      <c r="U69" s="42"/>
      <c r="V69" s="19"/>
      <c r="W69" s="19"/>
      <c r="X69" s="19"/>
      <c r="Y69" s="42"/>
      <c r="Z69" s="19"/>
      <c r="AA69" s="19"/>
      <c r="AB69" s="19"/>
      <c r="AC69" s="42"/>
      <c r="AD69" s="19"/>
      <c r="AE69" s="19"/>
      <c r="AF69" s="19"/>
      <c r="AG69" s="42"/>
      <c r="AH69" s="19"/>
      <c r="AI69" s="19"/>
      <c r="AJ69" s="19"/>
      <c r="AK69" s="42"/>
      <c r="AL69" s="19"/>
      <c r="AM69" s="19"/>
      <c r="AN69" s="19"/>
      <c r="AO69" s="42"/>
      <c r="AP69" s="19"/>
      <c r="AQ69" s="19"/>
      <c r="AR69" s="19"/>
      <c r="AS69" s="42"/>
      <c r="AT69" s="19"/>
      <c r="AU69" s="19"/>
      <c r="AV69" s="43"/>
      <c r="AW69" s="19"/>
      <c r="AX69" s="19"/>
      <c r="AY69" s="19"/>
      <c r="AZ69" s="43"/>
      <c r="BA69" s="19"/>
      <c r="BB69" s="19"/>
      <c r="BC69" s="19"/>
      <c r="BD69" s="43"/>
      <c r="BE69" s="19"/>
      <c r="BF69" s="19"/>
      <c r="BG69" s="19"/>
      <c r="BH69" s="43"/>
      <c r="BI69" s="19"/>
      <c r="BJ69" s="19"/>
      <c r="BK69" s="19"/>
      <c r="BL69" s="43"/>
      <c r="BM69" s="19"/>
      <c r="BN69" s="19"/>
      <c r="BO69" s="19"/>
      <c r="BP69" s="43"/>
      <c r="BQ69" s="19"/>
      <c r="BR69" s="19"/>
      <c r="BS69" s="19"/>
      <c r="BT69" s="43"/>
      <c r="BU69" s="19"/>
      <c r="BV69" s="19"/>
      <c r="BW69" s="19"/>
      <c r="BX69" s="43"/>
      <c r="BY69" s="19"/>
      <c r="BZ69" s="19"/>
      <c r="CA69" s="19"/>
      <c r="CB69" s="43"/>
      <c r="CC69" s="19"/>
      <c r="CD69" s="19"/>
      <c r="CE69" s="19"/>
      <c r="CF69" s="43"/>
      <c r="CH69" s="44"/>
      <c r="CI69" s="44"/>
      <c r="CJ69" s="64" t="str">
        <f>IF(ISBLANK(B69),"",IF(CI70&gt;=CH70,3,IF(CI70=(CH70-1),2,1)))</f>
        <v/>
      </c>
      <c r="CK69" s="11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L69"/>
      <c r="DM69"/>
    </row>
    <row r="70" spans="2:117" ht="15" customHeight="1" x14ac:dyDescent="0.25">
      <c r="B70" s="63"/>
      <c r="C70" s="63"/>
      <c r="D70" s="38"/>
      <c r="E70" s="42"/>
      <c r="F70" s="20"/>
      <c r="G70" s="20"/>
      <c r="H70" s="19"/>
      <c r="I70" s="42"/>
      <c r="J70" s="20"/>
      <c r="K70" s="20"/>
      <c r="L70" s="19"/>
      <c r="M70" s="42"/>
      <c r="N70" s="20"/>
      <c r="O70" s="20"/>
      <c r="P70" s="19"/>
      <c r="Q70" s="42"/>
      <c r="R70" s="20"/>
      <c r="S70" s="20"/>
      <c r="T70" s="19"/>
      <c r="U70" s="42"/>
      <c r="V70" s="20"/>
      <c r="W70" s="20"/>
      <c r="X70" s="19"/>
      <c r="Y70" s="42"/>
      <c r="Z70" s="20"/>
      <c r="AA70" s="20"/>
      <c r="AB70" s="19"/>
      <c r="AC70" s="42"/>
      <c r="AD70" s="20"/>
      <c r="AE70" s="20"/>
      <c r="AF70" s="19"/>
      <c r="AG70" s="42"/>
      <c r="AH70" s="20"/>
      <c r="AI70" s="20"/>
      <c r="AJ70" s="19"/>
      <c r="AK70" s="42"/>
      <c r="AL70" s="20"/>
      <c r="AM70" s="20"/>
      <c r="AN70" s="19"/>
      <c r="AO70" s="42"/>
      <c r="AP70" s="20"/>
      <c r="AQ70" s="20"/>
      <c r="AR70" s="19"/>
      <c r="AS70" s="42"/>
      <c r="AT70" s="20"/>
      <c r="AU70" s="20"/>
      <c r="AV70" s="43"/>
      <c r="AW70" s="19"/>
      <c r="AX70" s="20"/>
      <c r="AY70" s="20"/>
      <c r="AZ70" s="43"/>
      <c r="BA70" s="19"/>
      <c r="BB70" s="20"/>
      <c r="BC70" s="20"/>
      <c r="BD70" s="43"/>
      <c r="BE70" s="19"/>
      <c r="BF70" s="20"/>
      <c r="BG70" s="20"/>
      <c r="BH70" s="43"/>
      <c r="BI70" s="19"/>
      <c r="BJ70" s="20"/>
      <c r="BK70" s="20"/>
      <c r="BL70" s="43"/>
      <c r="BM70" s="19"/>
      <c r="BN70" s="20"/>
      <c r="BO70" s="20"/>
      <c r="BP70" s="43"/>
      <c r="BQ70" s="19"/>
      <c r="BR70" s="20"/>
      <c r="BS70" s="20"/>
      <c r="BT70" s="43"/>
      <c r="BU70" s="19"/>
      <c r="BV70" s="20"/>
      <c r="BW70" s="20"/>
      <c r="BX70" s="43"/>
      <c r="BY70" s="19"/>
      <c r="BZ70" s="20"/>
      <c r="CA70" s="20"/>
      <c r="CB70" s="43"/>
      <c r="CC70" s="19"/>
      <c r="CD70" s="20"/>
      <c r="CE70" s="20"/>
      <c r="CF70" s="43"/>
      <c r="CH70" s="46">
        <v>0</v>
      </c>
      <c r="CI70" s="45" t="str">
        <f>IF(ISBLANK(B69),"",COUNTIF(E72:CF72,"&gt;=3"))</f>
        <v/>
      </c>
      <c r="CJ70" s="64"/>
      <c r="CK70" s="11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L70"/>
      <c r="DM70"/>
    </row>
    <row r="71" spans="2:117" ht="15" customHeight="1" x14ac:dyDescent="0.25">
      <c r="B71" s="63"/>
      <c r="C71" s="63"/>
      <c r="D71" s="38"/>
      <c r="E71" s="42"/>
      <c r="F71" s="20"/>
      <c r="G71" s="20"/>
      <c r="H71" s="19"/>
      <c r="I71" s="42"/>
      <c r="J71" s="20"/>
      <c r="K71" s="20"/>
      <c r="L71" s="19"/>
      <c r="M71" s="42"/>
      <c r="N71" s="20"/>
      <c r="O71" s="20"/>
      <c r="P71" s="19"/>
      <c r="Q71" s="42"/>
      <c r="R71" s="20"/>
      <c r="S71" s="20"/>
      <c r="T71" s="19"/>
      <c r="U71" s="42"/>
      <c r="V71" s="20"/>
      <c r="W71" s="20"/>
      <c r="X71" s="19"/>
      <c r="Y71" s="42"/>
      <c r="Z71" s="20"/>
      <c r="AA71" s="20"/>
      <c r="AB71" s="19"/>
      <c r="AC71" s="42"/>
      <c r="AD71" s="20"/>
      <c r="AE71" s="20"/>
      <c r="AF71" s="19"/>
      <c r="AG71" s="42"/>
      <c r="AH71" s="20"/>
      <c r="AI71" s="20"/>
      <c r="AJ71" s="19"/>
      <c r="AK71" s="42"/>
      <c r="AL71" s="20"/>
      <c r="AM71" s="20"/>
      <c r="AN71" s="19"/>
      <c r="AO71" s="42"/>
      <c r="AP71" s="20"/>
      <c r="AQ71" s="20"/>
      <c r="AR71" s="19"/>
      <c r="AS71" s="42"/>
      <c r="AT71" s="20"/>
      <c r="AU71" s="20"/>
      <c r="AV71" s="43"/>
      <c r="AW71" s="19"/>
      <c r="AX71" s="20"/>
      <c r="AY71" s="20"/>
      <c r="AZ71" s="43"/>
      <c r="BA71" s="19"/>
      <c r="BB71" s="20"/>
      <c r="BC71" s="20"/>
      <c r="BD71" s="43"/>
      <c r="BE71" s="19"/>
      <c r="BF71" s="20"/>
      <c r="BG71" s="20"/>
      <c r="BH71" s="43"/>
      <c r="BI71" s="19"/>
      <c r="BJ71" s="20"/>
      <c r="BK71" s="20"/>
      <c r="BL71" s="43"/>
      <c r="BM71" s="19"/>
      <c r="BN71" s="20"/>
      <c r="BO71" s="20"/>
      <c r="BP71" s="43"/>
      <c r="BQ71" s="19"/>
      <c r="BR71" s="20"/>
      <c r="BS71" s="20"/>
      <c r="BT71" s="43"/>
      <c r="BU71" s="19"/>
      <c r="BV71" s="20"/>
      <c r="BW71" s="20"/>
      <c r="BX71" s="43"/>
      <c r="BY71" s="19"/>
      <c r="BZ71" s="20"/>
      <c r="CA71" s="20"/>
      <c r="CB71" s="43"/>
      <c r="CC71" s="19"/>
      <c r="CD71" s="20"/>
      <c r="CE71" s="20"/>
      <c r="CF71" s="43"/>
      <c r="CH71" s="65" t="str">
        <f>IF(ISBLANK(B69),"","personas cualificadas")</f>
        <v/>
      </c>
      <c r="CI71" s="65" t="str">
        <f>IF(ISBLANK(B69),"","personas cualificadas")</f>
        <v/>
      </c>
      <c r="CJ71" s="64"/>
      <c r="CK71" s="1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L71"/>
      <c r="DM71"/>
    </row>
    <row r="72" spans="2:117" s="22" customFormat="1" x14ac:dyDescent="0.2">
      <c r="B72" s="63"/>
      <c r="C72" s="63"/>
      <c r="D72" s="49"/>
      <c r="E72" s="62">
        <v>0</v>
      </c>
      <c r="F72" s="60"/>
      <c r="G72" s="60"/>
      <c r="H72" s="60"/>
      <c r="I72" s="62"/>
      <c r="J72" s="60"/>
      <c r="K72" s="60"/>
      <c r="L72" s="60"/>
      <c r="M72" s="62"/>
      <c r="N72" s="60"/>
      <c r="O72" s="60"/>
      <c r="P72" s="60"/>
      <c r="Q72" s="62"/>
      <c r="R72" s="60"/>
      <c r="S72" s="60"/>
      <c r="T72" s="60"/>
      <c r="U72" s="62"/>
      <c r="V72" s="60"/>
      <c r="W72" s="60"/>
      <c r="X72" s="60"/>
      <c r="Y72" s="62">
        <v>0</v>
      </c>
      <c r="Z72" s="60"/>
      <c r="AA72" s="60"/>
      <c r="AB72" s="60"/>
      <c r="AC72" s="62">
        <v>0</v>
      </c>
      <c r="AD72" s="60"/>
      <c r="AE72" s="60"/>
      <c r="AF72" s="60"/>
      <c r="AG72" s="62"/>
      <c r="AH72" s="60"/>
      <c r="AI72" s="60"/>
      <c r="AJ72" s="60"/>
      <c r="AK72" s="62"/>
      <c r="AL72" s="60"/>
      <c r="AM72" s="60"/>
      <c r="AN72" s="60"/>
      <c r="AO72" s="62">
        <v>0</v>
      </c>
      <c r="AP72" s="60"/>
      <c r="AQ72" s="60"/>
      <c r="AR72" s="60"/>
      <c r="AS72" s="62"/>
      <c r="AT72" s="60"/>
      <c r="AU72" s="60"/>
      <c r="AV72" s="61"/>
      <c r="AW72" s="60"/>
      <c r="AX72" s="60"/>
      <c r="AY72" s="60"/>
      <c r="AZ72" s="61"/>
      <c r="BA72" s="60"/>
      <c r="BB72" s="60"/>
      <c r="BC72" s="60"/>
      <c r="BD72" s="61"/>
      <c r="BE72" s="60"/>
      <c r="BF72" s="60"/>
      <c r="BG72" s="60"/>
      <c r="BH72" s="61"/>
      <c r="BI72" s="60">
        <v>0</v>
      </c>
      <c r="BJ72" s="60"/>
      <c r="BK72" s="60"/>
      <c r="BL72" s="61"/>
      <c r="BM72" s="60">
        <v>0</v>
      </c>
      <c r="BN72" s="60"/>
      <c r="BO72" s="60"/>
      <c r="BP72" s="61"/>
      <c r="BQ72" s="60"/>
      <c r="BR72" s="60"/>
      <c r="BS72" s="60"/>
      <c r="BT72" s="61"/>
      <c r="BU72" s="60"/>
      <c r="BV72" s="60"/>
      <c r="BW72" s="60"/>
      <c r="BX72" s="61"/>
      <c r="BY72" s="60"/>
      <c r="BZ72" s="60"/>
      <c r="CA72" s="60"/>
      <c r="CB72" s="61"/>
      <c r="CC72" s="60"/>
      <c r="CD72" s="60"/>
      <c r="CE72" s="60"/>
      <c r="CF72" s="61"/>
      <c r="CG72" s="23"/>
      <c r="CH72" s="66"/>
      <c r="CI72" s="66"/>
      <c r="CJ72" s="64"/>
      <c r="CK72" s="24"/>
    </row>
    <row r="73" spans="2:117" ht="6" customHeight="1" x14ac:dyDescent="0.25">
      <c r="B73" s="63"/>
      <c r="C73" s="63"/>
      <c r="D73" s="38"/>
      <c r="E73" s="42"/>
      <c r="F73" s="19"/>
      <c r="G73" s="19"/>
      <c r="H73" s="19"/>
      <c r="I73" s="42"/>
      <c r="J73" s="19"/>
      <c r="K73" s="19"/>
      <c r="L73" s="19"/>
      <c r="M73" s="42"/>
      <c r="N73" s="19"/>
      <c r="O73" s="19"/>
      <c r="P73" s="19"/>
      <c r="Q73" s="42"/>
      <c r="R73" s="19"/>
      <c r="S73" s="19"/>
      <c r="T73" s="19"/>
      <c r="U73" s="42"/>
      <c r="V73" s="19"/>
      <c r="W73" s="19"/>
      <c r="X73" s="19"/>
      <c r="Y73" s="42"/>
      <c r="Z73" s="19"/>
      <c r="AA73" s="19"/>
      <c r="AB73" s="19"/>
      <c r="AC73" s="42"/>
      <c r="AD73" s="19"/>
      <c r="AE73" s="19"/>
      <c r="AF73" s="19"/>
      <c r="AG73" s="42"/>
      <c r="AH73" s="19"/>
      <c r="AI73" s="19"/>
      <c r="AJ73" s="19"/>
      <c r="AK73" s="42"/>
      <c r="AL73" s="19"/>
      <c r="AM73" s="19"/>
      <c r="AN73" s="19"/>
      <c r="AO73" s="42"/>
      <c r="AP73" s="19"/>
      <c r="AQ73" s="19"/>
      <c r="AR73" s="19"/>
      <c r="AS73" s="42"/>
      <c r="AT73" s="19"/>
      <c r="AU73" s="19"/>
      <c r="AV73" s="43"/>
      <c r="AW73" s="19"/>
      <c r="AX73" s="19"/>
      <c r="AY73" s="19"/>
      <c r="AZ73" s="43"/>
      <c r="BA73" s="19"/>
      <c r="BB73" s="19"/>
      <c r="BC73" s="19"/>
      <c r="BD73" s="43"/>
      <c r="BE73" s="19"/>
      <c r="BF73" s="19"/>
      <c r="BG73" s="19"/>
      <c r="BH73" s="43"/>
      <c r="BI73" s="19"/>
      <c r="BJ73" s="19"/>
      <c r="BK73" s="19"/>
      <c r="BL73" s="43"/>
      <c r="BM73" s="19"/>
      <c r="BN73" s="19"/>
      <c r="BO73" s="19"/>
      <c r="BP73" s="43"/>
      <c r="BQ73" s="19"/>
      <c r="BR73" s="19"/>
      <c r="BS73" s="19"/>
      <c r="BT73" s="43"/>
      <c r="BU73" s="19"/>
      <c r="BV73" s="19"/>
      <c r="BW73" s="19"/>
      <c r="BX73" s="43"/>
      <c r="BY73" s="19"/>
      <c r="BZ73" s="19"/>
      <c r="CA73" s="19"/>
      <c r="CB73" s="43"/>
      <c r="CC73" s="19"/>
      <c r="CD73" s="19"/>
      <c r="CE73" s="19"/>
      <c r="CF73" s="43"/>
      <c r="CH73" s="44"/>
      <c r="CI73" s="44"/>
      <c r="CJ73" s="64" t="str">
        <f>IF(ISBLANK(B73),"",IF(CI74&gt;=CH74,3,IF(CI74=(CH74-1),2,1)))</f>
        <v/>
      </c>
      <c r="CK73" s="11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L73"/>
      <c r="DM73"/>
    </row>
    <row r="74" spans="2:117" ht="15" customHeight="1" x14ac:dyDescent="0.25">
      <c r="B74" s="63"/>
      <c r="C74" s="63"/>
      <c r="D74" s="38"/>
      <c r="E74" s="42"/>
      <c r="F74" s="20"/>
      <c r="G74" s="20"/>
      <c r="H74" s="19"/>
      <c r="I74" s="42"/>
      <c r="J74" s="20"/>
      <c r="K74" s="20"/>
      <c r="L74" s="19"/>
      <c r="M74" s="42"/>
      <c r="N74" s="20"/>
      <c r="O74" s="20"/>
      <c r="P74" s="19"/>
      <c r="Q74" s="42"/>
      <c r="R74" s="20"/>
      <c r="S74" s="20"/>
      <c r="T74" s="19"/>
      <c r="U74" s="42"/>
      <c r="V74" s="20"/>
      <c r="W74" s="20"/>
      <c r="X74" s="19"/>
      <c r="Y74" s="42"/>
      <c r="Z74" s="20"/>
      <c r="AA74" s="20"/>
      <c r="AB74" s="19"/>
      <c r="AC74" s="42"/>
      <c r="AD74" s="20"/>
      <c r="AE74" s="20"/>
      <c r="AF74" s="19"/>
      <c r="AG74" s="42"/>
      <c r="AH74" s="20"/>
      <c r="AI74" s="20"/>
      <c r="AJ74" s="19"/>
      <c r="AK74" s="42"/>
      <c r="AL74" s="20"/>
      <c r="AM74" s="20"/>
      <c r="AN74" s="19"/>
      <c r="AO74" s="42"/>
      <c r="AP74" s="20"/>
      <c r="AQ74" s="20"/>
      <c r="AR74" s="19"/>
      <c r="AS74" s="42"/>
      <c r="AT74" s="20"/>
      <c r="AU74" s="20"/>
      <c r="AV74" s="43"/>
      <c r="AW74" s="19"/>
      <c r="AX74" s="20"/>
      <c r="AY74" s="20"/>
      <c r="AZ74" s="43"/>
      <c r="BA74" s="19"/>
      <c r="BB74" s="20"/>
      <c r="BC74" s="20"/>
      <c r="BD74" s="43"/>
      <c r="BE74" s="19"/>
      <c r="BF74" s="20"/>
      <c r="BG74" s="20"/>
      <c r="BH74" s="43"/>
      <c r="BI74" s="19"/>
      <c r="BJ74" s="20"/>
      <c r="BK74" s="20"/>
      <c r="BL74" s="43"/>
      <c r="BM74" s="19"/>
      <c r="BN74" s="20"/>
      <c r="BO74" s="20"/>
      <c r="BP74" s="43"/>
      <c r="BQ74" s="19"/>
      <c r="BR74" s="20"/>
      <c r="BS74" s="20"/>
      <c r="BT74" s="43"/>
      <c r="BU74" s="19"/>
      <c r="BV74" s="20"/>
      <c r="BW74" s="20"/>
      <c r="BX74" s="43"/>
      <c r="BY74" s="19"/>
      <c r="BZ74" s="20"/>
      <c r="CA74" s="20"/>
      <c r="CB74" s="43"/>
      <c r="CC74" s="19"/>
      <c r="CD74" s="20"/>
      <c r="CE74" s="20"/>
      <c r="CF74" s="43"/>
      <c r="CH74" s="46">
        <v>0</v>
      </c>
      <c r="CI74" s="45" t="str">
        <f>IF(ISBLANK(B73),"",COUNTIF(E76:CF76,"&gt;=3"))</f>
        <v/>
      </c>
      <c r="CJ74" s="64"/>
      <c r="CK74" s="11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L74"/>
      <c r="DM74"/>
    </row>
    <row r="75" spans="2:117" ht="15" customHeight="1" x14ac:dyDescent="0.25">
      <c r="B75" s="63"/>
      <c r="C75" s="63"/>
      <c r="D75" s="38"/>
      <c r="E75" s="42"/>
      <c r="F75" s="20"/>
      <c r="G75" s="20"/>
      <c r="H75" s="19"/>
      <c r="I75" s="42"/>
      <c r="J75" s="20"/>
      <c r="K75" s="20"/>
      <c r="L75" s="19"/>
      <c r="M75" s="42"/>
      <c r="N75" s="20"/>
      <c r="O75" s="20"/>
      <c r="P75" s="19"/>
      <c r="Q75" s="42"/>
      <c r="R75" s="20"/>
      <c r="S75" s="20"/>
      <c r="T75" s="19"/>
      <c r="U75" s="42"/>
      <c r="V75" s="20"/>
      <c r="W75" s="20"/>
      <c r="X75" s="19"/>
      <c r="Y75" s="42"/>
      <c r="Z75" s="20"/>
      <c r="AA75" s="20"/>
      <c r="AB75" s="19"/>
      <c r="AC75" s="42"/>
      <c r="AD75" s="20"/>
      <c r="AE75" s="20"/>
      <c r="AF75" s="19"/>
      <c r="AG75" s="42"/>
      <c r="AH75" s="20"/>
      <c r="AI75" s="20"/>
      <c r="AJ75" s="19"/>
      <c r="AK75" s="42"/>
      <c r="AL75" s="20"/>
      <c r="AM75" s="20"/>
      <c r="AN75" s="19"/>
      <c r="AO75" s="42"/>
      <c r="AP75" s="20"/>
      <c r="AQ75" s="20"/>
      <c r="AR75" s="19"/>
      <c r="AS75" s="42"/>
      <c r="AT75" s="20"/>
      <c r="AU75" s="20"/>
      <c r="AV75" s="43"/>
      <c r="AW75" s="19"/>
      <c r="AX75" s="20"/>
      <c r="AY75" s="20"/>
      <c r="AZ75" s="43"/>
      <c r="BA75" s="19"/>
      <c r="BB75" s="20"/>
      <c r="BC75" s="20"/>
      <c r="BD75" s="43"/>
      <c r="BE75" s="19"/>
      <c r="BF75" s="20"/>
      <c r="BG75" s="20"/>
      <c r="BH75" s="43"/>
      <c r="BI75" s="19"/>
      <c r="BJ75" s="20"/>
      <c r="BK75" s="20"/>
      <c r="BL75" s="43"/>
      <c r="BM75" s="19"/>
      <c r="BN75" s="20"/>
      <c r="BO75" s="20"/>
      <c r="BP75" s="43"/>
      <c r="BQ75" s="19"/>
      <c r="BR75" s="20"/>
      <c r="BS75" s="20"/>
      <c r="BT75" s="43"/>
      <c r="BU75" s="19"/>
      <c r="BV75" s="20"/>
      <c r="BW75" s="20"/>
      <c r="BX75" s="43"/>
      <c r="BY75" s="19"/>
      <c r="BZ75" s="20"/>
      <c r="CA75" s="20"/>
      <c r="CB75" s="43"/>
      <c r="CC75" s="19"/>
      <c r="CD75" s="20"/>
      <c r="CE75" s="20"/>
      <c r="CF75" s="43"/>
      <c r="CH75" s="65" t="str">
        <f>IF(ISBLANK(B73),"","personas cualificadas")</f>
        <v/>
      </c>
      <c r="CI75" s="65" t="str">
        <f>IF(ISBLANK(B73),"","personas cualificadas")</f>
        <v/>
      </c>
      <c r="CJ75" s="64"/>
      <c r="CK75" s="11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L75"/>
      <c r="DM75"/>
    </row>
    <row r="76" spans="2:117" s="22" customFormat="1" x14ac:dyDescent="0.2">
      <c r="B76" s="63"/>
      <c r="C76" s="63"/>
      <c r="D76" s="49"/>
      <c r="E76" s="62">
        <v>0</v>
      </c>
      <c r="F76" s="60"/>
      <c r="G76" s="60"/>
      <c r="H76" s="60"/>
      <c r="I76" s="62"/>
      <c r="J76" s="60"/>
      <c r="K76" s="60"/>
      <c r="L76" s="60"/>
      <c r="M76" s="62"/>
      <c r="N76" s="60"/>
      <c r="O76" s="60"/>
      <c r="P76" s="60"/>
      <c r="Q76" s="62"/>
      <c r="R76" s="60"/>
      <c r="S76" s="60"/>
      <c r="T76" s="60"/>
      <c r="U76" s="62"/>
      <c r="V76" s="60"/>
      <c r="W76" s="60"/>
      <c r="X76" s="60"/>
      <c r="Y76" s="62">
        <v>0</v>
      </c>
      <c r="Z76" s="60"/>
      <c r="AA76" s="60"/>
      <c r="AB76" s="60"/>
      <c r="AC76" s="62">
        <v>0</v>
      </c>
      <c r="AD76" s="60"/>
      <c r="AE76" s="60"/>
      <c r="AF76" s="60"/>
      <c r="AG76" s="62"/>
      <c r="AH76" s="60"/>
      <c r="AI76" s="60"/>
      <c r="AJ76" s="60"/>
      <c r="AK76" s="62"/>
      <c r="AL76" s="60"/>
      <c r="AM76" s="60"/>
      <c r="AN76" s="60"/>
      <c r="AO76" s="62">
        <v>0</v>
      </c>
      <c r="AP76" s="60"/>
      <c r="AQ76" s="60"/>
      <c r="AR76" s="60"/>
      <c r="AS76" s="62"/>
      <c r="AT76" s="60"/>
      <c r="AU76" s="60"/>
      <c r="AV76" s="61"/>
      <c r="AW76" s="60"/>
      <c r="AX76" s="60"/>
      <c r="AY76" s="60"/>
      <c r="AZ76" s="61"/>
      <c r="BA76" s="60"/>
      <c r="BB76" s="60"/>
      <c r="BC76" s="60"/>
      <c r="BD76" s="61"/>
      <c r="BE76" s="60"/>
      <c r="BF76" s="60"/>
      <c r="BG76" s="60"/>
      <c r="BH76" s="61"/>
      <c r="BI76" s="60">
        <v>0</v>
      </c>
      <c r="BJ76" s="60"/>
      <c r="BK76" s="60"/>
      <c r="BL76" s="61"/>
      <c r="BM76" s="60">
        <v>0</v>
      </c>
      <c r="BN76" s="60"/>
      <c r="BO76" s="60"/>
      <c r="BP76" s="61"/>
      <c r="BQ76" s="60"/>
      <c r="BR76" s="60"/>
      <c r="BS76" s="60"/>
      <c r="BT76" s="61"/>
      <c r="BU76" s="60"/>
      <c r="BV76" s="60"/>
      <c r="BW76" s="60"/>
      <c r="BX76" s="61"/>
      <c r="BY76" s="60"/>
      <c r="BZ76" s="60"/>
      <c r="CA76" s="60"/>
      <c r="CB76" s="61"/>
      <c r="CC76" s="60"/>
      <c r="CD76" s="60"/>
      <c r="CE76" s="60"/>
      <c r="CF76" s="61"/>
      <c r="CG76" s="23"/>
      <c r="CH76" s="66"/>
      <c r="CI76" s="66"/>
      <c r="CJ76" s="64"/>
      <c r="CK76" s="24"/>
    </row>
    <row r="77" spans="2:117" ht="6" customHeight="1" x14ac:dyDescent="0.25">
      <c r="B77" s="63"/>
      <c r="C77" s="63"/>
      <c r="D77" s="38"/>
      <c r="E77" s="42"/>
      <c r="F77" s="19"/>
      <c r="G77" s="19"/>
      <c r="H77" s="19"/>
      <c r="I77" s="42"/>
      <c r="J77" s="19"/>
      <c r="K77" s="19"/>
      <c r="L77" s="19"/>
      <c r="M77" s="42"/>
      <c r="N77" s="19"/>
      <c r="O77" s="19"/>
      <c r="P77" s="19"/>
      <c r="Q77" s="42"/>
      <c r="R77" s="19"/>
      <c r="S77" s="19"/>
      <c r="T77" s="19"/>
      <c r="U77" s="42"/>
      <c r="V77" s="19"/>
      <c r="W77" s="19"/>
      <c r="X77" s="19"/>
      <c r="Y77" s="42"/>
      <c r="Z77" s="19"/>
      <c r="AA77" s="19"/>
      <c r="AB77" s="19"/>
      <c r="AC77" s="42"/>
      <c r="AD77" s="19"/>
      <c r="AE77" s="19"/>
      <c r="AF77" s="19"/>
      <c r="AG77" s="42"/>
      <c r="AH77" s="19"/>
      <c r="AI77" s="19"/>
      <c r="AJ77" s="19"/>
      <c r="AK77" s="42"/>
      <c r="AL77" s="19"/>
      <c r="AM77" s="19"/>
      <c r="AN77" s="19"/>
      <c r="AO77" s="42"/>
      <c r="AP77" s="19"/>
      <c r="AQ77" s="19"/>
      <c r="AR77" s="19"/>
      <c r="AS77" s="42"/>
      <c r="AT77" s="19"/>
      <c r="AU77" s="19"/>
      <c r="AV77" s="43"/>
      <c r="AW77" s="19"/>
      <c r="AX77" s="19"/>
      <c r="AY77" s="19"/>
      <c r="AZ77" s="43"/>
      <c r="BA77" s="19"/>
      <c r="BB77" s="19"/>
      <c r="BC77" s="19"/>
      <c r="BD77" s="43"/>
      <c r="BE77" s="19"/>
      <c r="BF77" s="19"/>
      <c r="BG77" s="19"/>
      <c r="BH77" s="43"/>
      <c r="BI77" s="19"/>
      <c r="BJ77" s="19"/>
      <c r="BK77" s="19"/>
      <c r="BL77" s="43"/>
      <c r="BM77" s="19"/>
      <c r="BN77" s="19"/>
      <c r="BO77" s="19"/>
      <c r="BP77" s="43"/>
      <c r="BQ77" s="19"/>
      <c r="BR77" s="19"/>
      <c r="BS77" s="19"/>
      <c r="BT77" s="43"/>
      <c r="BU77" s="19"/>
      <c r="BV77" s="19"/>
      <c r="BW77" s="19"/>
      <c r="BX77" s="43"/>
      <c r="BY77" s="19"/>
      <c r="BZ77" s="19"/>
      <c r="CA77" s="19"/>
      <c r="CB77" s="43"/>
      <c r="CC77" s="19"/>
      <c r="CD77" s="19"/>
      <c r="CE77" s="19"/>
      <c r="CF77" s="43"/>
      <c r="CH77" s="44"/>
      <c r="CI77" s="44"/>
      <c r="CJ77" s="64" t="str">
        <f>IF(ISBLANK(B77),"",IF(CI78&gt;=CH78,3,IF(CI78=(CH78-1),2,1)))</f>
        <v/>
      </c>
      <c r="CK77" s="11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L77"/>
      <c r="DM77"/>
    </row>
    <row r="78" spans="2:117" ht="15" customHeight="1" x14ac:dyDescent="0.25">
      <c r="B78" s="63"/>
      <c r="C78" s="63"/>
      <c r="D78" s="38"/>
      <c r="E78" s="42"/>
      <c r="F78" s="20"/>
      <c r="G78" s="20"/>
      <c r="H78" s="19"/>
      <c r="I78" s="42"/>
      <c r="J78" s="20"/>
      <c r="K78" s="20"/>
      <c r="L78" s="19"/>
      <c r="M78" s="42"/>
      <c r="N78" s="20"/>
      <c r="O78" s="20"/>
      <c r="P78" s="19"/>
      <c r="Q78" s="42"/>
      <c r="R78" s="20"/>
      <c r="S78" s="20"/>
      <c r="T78" s="19"/>
      <c r="U78" s="42"/>
      <c r="V78" s="20"/>
      <c r="W78" s="20"/>
      <c r="X78" s="19"/>
      <c r="Y78" s="42"/>
      <c r="Z78" s="20"/>
      <c r="AA78" s="20"/>
      <c r="AB78" s="19"/>
      <c r="AC78" s="42"/>
      <c r="AD78" s="20"/>
      <c r="AE78" s="20"/>
      <c r="AF78" s="19"/>
      <c r="AG78" s="42"/>
      <c r="AH78" s="20"/>
      <c r="AI78" s="20"/>
      <c r="AJ78" s="19"/>
      <c r="AK78" s="42"/>
      <c r="AL78" s="20"/>
      <c r="AM78" s="20"/>
      <c r="AN78" s="19"/>
      <c r="AO78" s="42"/>
      <c r="AP78" s="20"/>
      <c r="AQ78" s="20"/>
      <c r="AR78" s="19"/>
      <c r="AS78" s="42"/>
      <c r="AT78" s="20"/>
      <c r="AU78" s="20"/>
      <c r="AV78" s="43"/>
      <c r="AW78" s="19"/>
      <c r="AX78" s="20"/>
      <c r="AY78" s="20"/>
      <c r="AZ78" s="43"/>
      <c r="BA78" s="19"/>
      <c r="BB78" s="20"/>
      <c r="BC78" s="20"/>
      <c r="BD78" s="43"/>
      <c r="BE78" s="19"/>
      <c r="BF78" s="20"/>
      <c r="BG78" s="20"/>
      <c r="BH78" s="43"/>
      <c r="BI78" s="19"/>
      <c r="BJ78" s="20"/>
      <c r="BK78" s="20"/>
      <c r="BL78" s="43"/>
      <c r="BM78" s="19"/>
      <c r="BN78" s="20"/>
      <c r="BO78" s="20"/>
      <c r="BP78" s="43"/>
      <c r="BQ78" s="19"/>
      <c r="BR78" s="20"/>
      <c r="BS78" s="20"/>
      <c r="BT78" s="43"/>
      <c r="BU78" s="19"/>
      <c r="BV78" s="20"/>
      <c r="BW78" s="20"/>
      <c r="BX78" s="43"/>
      <c r="BY78" s="19"/>
      <c r="BZ78" s="20"/>
      <c r="CA78" s="20"/>
      <c r="CB78" s="43"/>
      <c r="CC78" s="19"/>
      <c r="CD78" s="20"/>
      <c r="CE78" s="20"/>
      <c r="CF78" s="43"/>
      <c r="CH78" s="46">
        <v>0</v>
      </c>
      <c r="CI78" s="45" t="str">
        <f>IF(ISBLANK(B77),"",COUNTIF(E80:CF80,"&gt;=3"))</f>
        <v/>
      </c>
      <c r="CJ78" s="64"/>
      <c r="CK78" s="11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L78"/>
      <c r="DM78"/>
    </row>
    <row r="79" spans="2:117" ht="15" customHeight="1" x14ac:dyDescent="0.25">
      <c r="B79" s="63"/>
      <c r="C79" s="63"/>
      <c r="D79" s="38"/>
      <c r="E79" s="42"/>
      <c r="F79" s="20"/>
      <c r="G79" s="20"/>
      <c r="H79" s="19"/>
      <c r="I79" s="42"/>
      <c r="J79" s="20"/>
      <c r="K79" s="20"/>
      <c r="L79" s="19"/>
      <c r="M79" s="42"/>
      <c r="N79" s="20"/>
      <c r="O79" s="20"/>
      <c r="P79" s="19"/>
      <c r="Q79" s="42"/>
      <c r="R79" s="20"/>
      <c r="S79" s="20"/>
      <c r="T79" s="19"/>
      <c r="U79" s="42"/>
      <c r="V79" s="20"/>
      <c r="W79" s="20"/>
      <c r="X79" s="19"/>
      <c r="Y79" s="42"/>
      <c r="Z79" s="20"/>
      <c r="AA79" s="20"/>
      <c r="AB79" s="19"/>
      <c r="AC79" s="42"/>
      <c r="AD79" s="20"/>
      <c r="AE79" s="20"/>
      <c r="AF79" s="19"/>
      <c r="AG79" s="42"/>
      <c r="AH79" s="20"/>
      <c r="AI79" s="20"/>
      <c r="AJ79" s="19"/>
      <c r="AK79" s="42"/>
      <c r="AL79" s="20"/>
      <c r="AM79" s="20"/>
      <c r="AN79" s="19"/>
      <c r="AO79" s="42"/>
      <c r="AP79" s="20"/>
      <c r="AQ79" s="20"/>
      <c r="AR79" s="19"/>
      <c r="AS79" s="42"/>
      <c r="AT79" s="20"/>
      <c r="AU79" s="20"/>
      <c r="AV79" s="43"/>
      <c r="AW79" s="19"/>
      <c r="AX79" s="20"/>
      <c r="AY79" s="20"/>
      <c r="AZ79" s="43"/>
      <c r="BA79" s="19"/>
      <c r="BB79" s="20"/>
      <c r="BC79" s="20"/>
      <c r="BD79" s="43"/>
      <c r="BE79" s="19"/>
      <c r="BF79" s="20"/>
      <c r="BG79" s="20"/>
      <c r="BH79" s="43"/>
      <c r="BI79" s="19"/>
      <c r="BJ79" s="20"/>
      <c r="BK79" s="20"/>
      <c r="BL79" s="43"/>
      <c r="BM79" s="19"/>
      <c r="BN79" s="20"/>
      <c r="BO79" s="20"/>
      <c r="BP79" s="43"/>
      <c r="BQ79" s="19"/>
      <c r="BR79" s="20"/>
      <c r="BS79" s="20"/>
      <c r="BT79" s="43"/>
      <c r="BU79" s="19"/>
      <c r="BV79" s="20"/>
      <c r="BW79" s="20"/>
      <c r="BX79" s="43"/>
      <c r="BY79" s="19"/>
      <c r="BZ79" s="20"/>
      <c r="CA79" s="20"/>
      <c r="CB79" s="43"/>
      <c r="CC79" s="19"/>
      <c r="CD79" s="20"/>
      <c r="CE79" s="20"/>
      <c r="CF79" s="43"/>
      <c r="CH79" s="65" t="str">
        <f>IF(ISBLANK(B77),"","personas cualificadas")</f>
        <v/>
      </c>
      <c r="CI79" s="65" t="str">
        <f>IF(ISBLANK(B77),"","personas cualificadas")</f>
        <v/>
      </c>
      <c r="CJ79" s="64"/>
      <c r="CK79" s="11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L79"/>
      <c r="DM79"/>
    </row>
    <row r="80" spans="2:117" s="22" customFormat="1" x14ac:dyDescent="0.2">
      <c r="B80" s="63"/>
      <c r="C80" s="63"/>
      <c r="D80" s="49"/>
      <c r="E80" s="62">
        <v>0</v>
      </c>
      <c r="F80" s="60"/>
      <c r="G80" s="60"/>
      <c r="H80" s="60"/>
      <c r="I80" s="62"/>
      <c r="J80" s="60"/>
      <c r="K80" s="60"/>
      <c r="L80" s="60"/>
      <c r="M80" s="62"/>
      <c r="N80" s="60"/>
      <c r="O80" s="60"/>
      <c r="P80" s="60"/>
      <c r="Q80" s="62"/>
      <c r="R80" s="60"/>
      <c r="S80" s="60"/>
      <c r="T80" s="60"/>
      <c r="U80" s="62"/>
      <c r="V80" s="60"/>
      <c r="W80" s="60"/>
      <c r="X80" s="60"/>
      <c r="Y80" s="62">
        <v>0</v>
      </c>
      <c r="Z80" s="60"/>
      <c r="AA80" s="60"/>
      <c r="AB80" s="60"/>
      <c r="AC80" s="62">
        <v>0</v>
      </c>
      <c r="AD80" s="60"/>
      <c r="AE80" s="60"/>
      <c r="AF80" s="60"/>
      <c r="AG80" s="62"/>
      <c r="AH80" s="60"/>
      <c r="AI80" s="60"/>
      <c r="AJ80" s="60"/>
      <c r="AK80" s="62"/>
      <c r="AL80" s="60"/>
      <c r="AM80" s="60"/>
      <c r="AN80" s="60"/>
      <c r="AO80" s="62">
        <v>0</v>
      </c>
      <c r="AP80" s="60"/>
      <c r="AQ80" s="60"/>
      <c r="AR80" s="60"/>
      <c r="AS80" s="62"/>
      <c r="AT80" s="60"/>
      <c r="AU80" s="60"/>
      <c r="AV80" s="61"/>
      <c r="AW80" s="60"/>
      <c r="AX80" s="60"/>
      <c r="AY80" s="60"/>
      <c r="AZ80" s="61"/>
      <c r="BA80" s="60"/>
      <c r="BB80" s="60"/>
      <c r="BC80" s="60"/>
      <c r="BD80" s="61"/>
      <c r="BE80" s="60"/>
      <c r="BF80" s="60"/>
      <c r="BG80" s="60"/>
      <c r="BH80" s="61"/>
      <c r="BI80" s="60">
        <v>0</v>
      </c>
      <c r="BJ80" s="60"/>
      <c r="BK80" s="60"/>
      <c r="BL80" s="61"/>
      <c r="BM80" s="60">
        <v>0</v>
      </c>
      <c r="BN80" s="60"/>
      <c r="BO80" s="60"/>
      <c r="BP80" s="61"/>
      <c r="BQ80" s="60"/>
      <c r="BR80" s="60"/>
      <c r="BS80" s="60"/>
      <c r="BT80" s="61"/>
      <c r="BU80" s="60"/>
      <c r="BV80" s="60"/>
      <c r="BW80" s="60"/>
      <c r="BX80" s="61"/>
      <c r="BY80" s="60"/>
      <c r="BZ80" s="60"/>
      <c r="CA80" s="60"/>
      <c r="CB80" s="61"/>
      <c r="CC80" s="60"/>
      <c r="CD80" s="60"/>
      <c r="CE80" s="60"/>
      <c r="CF80" s="61"/>
      <c r="CG80" s="23"/>
      <c r="CH80" s="66"/>
      <c r="CI80" s="66"/>
      <c r="CJ80" s="64"/>
      <c r="CK80" s="24"/>
    </row>
    <row r="81" spans="2:117" s="25" customFormat="1" ht="5.0999999999999996" customHeight="1" x14ac:dyDescent="0.2">
      <c r="D81" s="26"/>
      <c r="E81" s="58">
        <f>SUM(E13:H80)</f>
        <v>0</v>
      </c>
      <c r="F81" s="58"/>
      <c r="G81" s="58">
        <f>COUNT(E13:H80)*4</f>
        <v>68</v>
      </c>
      <c r="H81" s="58"/>
      <c r="I81" s="58">
        <f>SUM(I13:L80)</f>
        <v>0</v>
      </c>
      <c r="J81" s="58"/>
      <c r="K81" s="58">
        <f>COUNT(I13:L80)*4</f>
        <v>24</v>
      </c>
      <c r="L81" s="58"/>
      <c r="M81" s="58">
        <f>SUM(M13:P80)</f>
        <v>0</v>
      </c>
      <c r="N81" s="58"/>
      <c r="O81" s="58">
        <f>COUNT(M13:P80)*4</f>
        <v>24</v>
      </c>
      <c r="P81" s="58"/>
      <c r="Q81" s="58">
        <f>SUM(Q13:T80)</f>
        <v>0</v>
      </c>
      <c r="R81" s="58"/>
      <c r="S81" s="58">
        <f>COUNT(Q13:T80)*4</f>
        <v>24</v>
      </c>
      <c r="T81" s="58"/>
      <c r="U81" s="58">
        <f>SUM(U13:X80)</f>
        <v>0</v>
      </c>
      <c r="V81" s="58"/>
      <c r="W81" s="58">
        <f>COUNT(U13:X80)*4</f>
        <v>24</v>
      </c>
      <c r="X81" s="58"/>
      <c r="Y81" s="58">
        <f>SUM(Y13:AB80)</f>
        <v>0</v>
      </c>
      <c r="Z81" s="58"/>
      <c r="AA81" s="58">
        <f>COUNT(Y13:AB80)*4</f>
        <v>68</v>
      </c>
      <c r="AB81" s="58"/>
      <c r="AC81" s="58">
        <f>SUM(AC13:AF80)</f>
        <v>0</v>
      </c>
      <c r="AD81" s="58"/>
      <c r="AE81" s="58">
        <f>COUNT(AC13:AF80)*4</f>
        <v>68</v>
      </c>
      <c r="AF81" s="58"/>
      <c r="AG81" s="58">
        <f>SUM(AG13:AJ80)</f>
        <v>0</v>
      </c>
      <c r="AH81" s="58"/>
      <c r="AI81" s="58">
        <f>COUNT(AG13:AJ80)*4</f>
        <v>20</v>
      </c>
      <c r="AJ81" s="58"/>
      <c r="AK81" s="58">
        <f>SUM(AK13:AN80)</f>
        <v>0</v>
      </c>
      <c r="AL81" s="58"/>
      <c r="AM81" s="58">
        <f>COUNT(AK13:AN80)*4</f>
        <v>8</v>
      </c>
      <c r="AN81" s="58"/>
      <c r="AO81" s="58">
        <f>SUM(AO13:AR80)</f>
        <v>0</v>
      </c>
      <c r="AP81" s="58"/>
      <c r="AQ81" s="58">
        <f>COUNT(AO13:AR80)*4</f>
        <v>68</v>
      </c>
      <c r="AR81" s="58"/>
      <c r="AS81" s="58">
        <f>SUM(AS13:AV80)</f>
        <v>0</v>
      </c>
      <c r="AT81" s="58"/>
      <c r="AU81" s="58">
        <f>COUNT(AS13:AV80)*4</f>
        <v>4</v>
      </c>
      <c r="AV81" s="58"/>
      <c r="AW81" s="58">
        <f>SUM(AW13:AZ80)</f>
        <v>0</v>
      </c>
      <c r="AX81" s="58"/>
      <c r="AY81" s="58">
        <f>COUNT(AW13:AZ80)*4</f>
        <v>4</v>
      </c>
      <c r="AZ81" s="58"/>
      <c r="BA81" s="58">
        <f>SUM(BA13:BD80)</f>
        <v>0</v>
      </c>
      <c r="BB81" s="58"/>
      <c r="BC81" s="58">
        <f>COUNT(BA13:BD80)*4</f>
        <v>4</v>
      </c>
      <c r="BD81" s="58"/>
      <c r="BE81" s="58">
        <f>SUM(BE13:BH80)</f>
        <v>0</v>
      </c>
      <c r="BF81" s="58"/>
      <c r="BG81" s="58">
        <f>COUNT(BE13:BH80)*4</f>
        <v>4</v>
      </c>
      <c r="BH81" s="58"/>
      <c r="BI81" s="58">
        <f>SUM(BI13:BL80)</f>
        <v>0</v>
      </c>
      <c r="BJ81" s="58"/>
      <c r="BK81" s="58">
        <f>COUNT(BI13:BL80)*4</f>
        <v>68</v>
      </c>
      <c r="BL81" s="58"/>
      <c r="BM81" s="58">
        <f>SUM(BM13:BP80)</f>
        <v>0</v>
      </c>
      <c r="BN81" s="58"/>
      <c r="BO81" s="58">
        <f>COUNT(BM13:BP80)*4</f>
        <v>68</v>
      </c>
      <c r="BP81" s="58"/>
      <c r="BQ81" s="58">
        <f>SUM(BQ13:BT80)</f>
        <v>0</v>
      </c>
      <c r="BR81" s="58"/>
      <c r="BS81" s="58">
        <f>COUNT(BQ13:BT80)*4</f>
        <v>4</v>
      </c>
      <c r="BT81" s="58"/>
      <c r="BU81" s="58">
        <f>SUM(BU13:BX80)</f>
        <v>0</v>
      </c>
      <c r="BV81" s="58"/>
      <c r="BW81" s="58">
        <f>COUNT(BU13:BX80)*4</f>
        <v>4</v>
      </c>
      <c r="BX81" s="58"/>
      <c r="BY81" s="58">
        <f>SUM(BY13:CB80)</f>
        <v>0</v>
      </c>
      <c r="BZ81" s="58"/>
      <c r="CA81" s="58">
        <f>COUNT(BY13:CB80)*4</f>
        <v>4</v>
      </c>
      <c r="CB81" s="58"/>
      <c r="CC81" s="58">
        <f>SUM(CC13:CF80)</f>
        <v>0</v>
      </c>
      <c r="CD81" s="58"/>
      <c r="CE81" s="58">
        <f>COUNT(CC13:CF80)*4</f>
        <v>0</v>
      </c>
      <c r="CF81" s="58"/>
      <c r="CG81" s="27"/>
    </row>
    <row r="82" spans="2:117" x14ac:dyDescent="0.25">
      <c r="B82" s="59" t="s">
        <v>21</v>
      </c>
      <c r="C82" s="59"/>
      <c r="E82" s="54">
        <f>IFERROR(E81/G81,"")</f>
        <v>0</v>
      </c>
      <c r="F82" s="54"/>
      <c r="G82" s="54"/>
      <c r="H82" s="54"/>
      <c r="I82" s="54">
        <f>IFERROR(I81/K81,"")</f>
        <v>0</v>
      </c>
      <c r="J82" s="54"/>
      <c r="K82" s="54"/>
      <c r="L82" s="54"/>
      <c r="M82" s="54">
        <f>IFERROR(M81/O81,"")</f>
        <v>0</v>
      </c>
      <c r="N82" s="54"/>
      <c r="O82" s="54"/>
      <c r="P82" s="54"/>
      <c r="Q82" s="54">
        <f>IFERROR(Q81/S81,"")</f>
        <v>0</v>
      </c>
      <c r="R82" s="54"/>
      <c r="S82" s="54"/>
      <c r="T82" s="54"/>
      <c r="U82" s="54">
        <f>IFERROR(U81/W81,"")</f>
        <v>0</v>
      </c>
      <c r="V82" s="54"/>
      <c r="W82" s="54"/>
      <c r="X82" s="54"/>
      <c r="Y82" s="54">
        <f>IFERROR(Y81/AA81,"")</f>
        <v>0</v>
      </c>
      <c r="Z82" s="54"/>
      <c r="AA82" s="54"/>
      <c r="AB82" s="54"/>
      <c r="AC82" s="54">
        <f>IFERROR(AC81/AE81,"")</f>
        <v>0</v>
      </c>
      <c r="AD82" s="54"/>
      <c r="AE82" s="54"/>
      <c r="AF82" s="54"/>
      <c r="AG82" s="54">
        <f>IFERROR(AG81/AI81,"")</f>
        <v>0</v>
      </c>
      <c r="AH82" s="54"/>
      <c r="AI82" s="54"/>
      <c r="AJ82" s="54"/>
      <c r="AK82" s="54">
        <f>IFERROR(AK81/AM81,"")</f>
        <v>0</v>
      </c>
      <c r="AL82" s="54"/>
      <c r="AM82" s="54"/>
      <c r="AN82" s="54"/>
      <c r="AO82" s="54">
        <f>IFERROR(AO81/AQ81,"")</f>
        <v>0</v>
      </c>
      <c r="AP82" s="54"/>
      <c r="AQ82" s="54"/>
      <c r="AR82" s="54"/>
      <c r="AS82" s="54">
        <f>IFERROR(AS81/AU81,"")</f>
        <v>0</v>
      </c>
      <c r="AT82" s="54"/>
      <c r="AU82" s="54"/>
      <c r="AV82" s="54"/>
      <c r="AW82" s="54">
        <f>IFERROR(AW81/AY81,"")</f>
        <v>0</v>
      </c>
      <c r="AX82" s="54"/>
      <c r="AY82" s="54"/>
      <c r="AZ82" s="54"/>
      <c r="BA82" s="54">
        <f>IFERROR(BA81/BC81,"")</f>
        <v>0</v>
      </c>
      <c r="BB82" s="54"/>
      <c r="BC82" s="54"/>
      <c r="BD82" s="54"/>
      <c r="BE82" s="54">
        <f>IFERROR(BE81/BG81,"")</f>
        <v>0</v>
      </c>
      <c r="BF82" s="54"/>
      <c r="BG82" s="54"/>
      <c r="BH82" s="54"/>
      <c r="BI82" s="54">
        <f>IFERROR(BI81/BK81,"")</f>
        <v>0</v>
      </c>
      <c r="BJ82" s="54"/>
      <c r="BK82" s="54"/>
      <c r="BL82" s="54"/>
      <c r="BM82" s="54">
        <f>IFERROR(BM81/BO81,"")</f>
        <v>0</v>
      </c>
      <c r="BN82" s="54"/>
      <c r="BO82" s="54"/>
      <c r="BP82" s="54"/>
      <c r="BQ82" s="54">
        <f>IFERROR(BQ81/BS81,"")</f>
        <v>0</v>
      </c>
      <c r="BR82" s="54"/>
      <c r="BS82" s="54"/>
      <c r="BT82" s="54"/>
      <c r="BU82" s="54">
        <f>IFERROR(BU81/BW81,"")</f>
        <v>0</v>
      </c>
      <c r="BV82" s="54"/>
      <c r="BW82" s="54"/>
      <c r="BX82" s="54"/>
      <c r="BY82" s="54">
        <f>IFERROR(BY81/CA81,"")</f>
        <v>0</v>
      </c>
      <c r="BZ82" s="54"/>
      <c r="CA82" s="54"/>
      <c r="CB82" s="54"/>
      <c r="CC82" s="54" t="str">
        <f>IFERROR(CC81/CE81,"")</f>
        <v/>
      </c>
      <c r="CD82" s="54"/>
      <c r="CE82" s="54"/>
      <c r="CF82" s="54"/>
      <c r="CG82" s="36"/>
      <c r="CH82" s="106" t="s">
        <v>22</v>
      </c>
      <c r="CI82" s="107"/>
      <c r="CJ82" s="56">
        <f>IFERROR(AVERAGE(E82:CF83),"")</f>
        <v>0</v>
      </c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L82"/>
      <c r="DM82"/>
    </row>
    <row r="83" spans="2:117" ht="15.75" x14ac:dyDescent="0.25">
      <c r="B83" s="59"/>
      <c r="C83" s="59"/>
      <c r="D83" s="28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37"/>
      <c r="CH83" s="108"/>
      <c r="CI83" s="109"/>
      <c r="CJ83" s="57"/>
      <c r="CK83" s="11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L83"/>
      <c r="DM83"/>
    </row>
    <row r="84" spans="2:117" x14ac:dyDescent="0.25">
      <c r="CH84"/>
      <c r="CI84"/>
    </row>
    <row r="85" spans="2:117" x14ac:dyDescent="0.25">
      <c r="CH85"/>
      <c r="CI85"/>
    </row>
  </sheetData>
  <mergeCells count="517">
    <mergeCell ref="B3:B4"/>
    <mergeCell ref="C3:C4"/>
    <mergeCell ref="E3:CF4"/>
    <mergeCell ref="CH3:CJ4"/>
    <mergeCell ref="B5:B6"/>
    <mergeCell ref="C5:C6"/>
    <mergeCell ref="I5:T8"/>
    <mergeCell ref="Y5:AJ8"/>
    <mergeCell ref="AO5:AZ8"/>
    <mergeCell ref="BE5:BP8"/>
    <mergeCell ref="BQ8:BT8"/>
    <mergeCell ref="BU5:CF8"/>
    <mergeCell ref="CH5:CH8"/>
    <mergeCell ref="CI5:CI8"/>
    <mergeCell ref="CJ5:CJ8"/>
    <mergeCell ref="B7:B8"/>
    <mergeCell ref="C7:C8"/>
    <mergeCell ref="E8:H8"/>
    <mergeCell ref="U8:X8"/>
    <mergeCell ref="AK8:AN8"/>
    <mergeCell ref="BA8:BD8"/>
    <mergeCell ref="B10:C12"/>
    <mergeCell ref="E10:CF10"/>
    <mergeCell ref="CH10:CH12"/>
    <mergeCell ref="CI10:CI12"/>
    <mergeCell ref="CJ10:CJ12"/>
    <mergeCell ref="E11:H12"/>
    <mergeCell ref="I11:L12"/>
    <mergeCell ref="M11:P12"/>
    <mergeCell ref="Q11:T12"/>
    <mergeCell ref="AC16:AF16"/>
    <mergeCell ref="AG16:AJ16"/>
    <mergeCell ref="BQ11:BT12"/>
    <mergeCell ref="BU11:BX12"/>
    <mergeCell ref="BY11:CB12"/>
    <mergeCell ref="CC11:CF12"/>
    <mergeCell ref="B13:C16"/>
    <mergeCell ref="CJ13:CJ16"/>
    <mergeCell ref="CH15:CH16"/>
    <mergeCell ref="CI15:CI16"/>
    <mergeCell ref="E16:H16"/>
    <mergeCell ref="I16:L16"/>
    <mergeCell ref="AS11:AV12"/>
    <mergeCell ref="AW11:AZ12"/>
    <mergeCell ref="BA11:BD12"/>
    <mergeCell ref="BE11:BH12"/>
    <mergeCell ref="BI11:BL12"/>
    <mergeCell ref="BM11:BP12"/>
    <mergeCell ref="U11:X12"/>
    <mergeCell ref="Y11:AB12"/>
    <mergeCell ref="AC11:AF12"/>
    <mergeCell ref="AG11:AJ12"/>
    <mergeCell ref="AK11:AN12"/>
    <mergeCell ref="AO11:AR12"/>
    <mergeCell ref="CH19:CH20"/>
    <mergeCell ref="CI19:CI20"/>
    <mergeCell ref="E20:H20"/>
    <mergeCell ref="I20:L20"/>
    <mergeCell ref="M20:P20"/>
    <mergeCell ref="Q20:T20"/>
    <mergeCell ref="U20:X20"/>
    <mergeCell ref="Y20:AB20"/>
    <mergeCell ref="BI16:BL16"/>
    <mergeCell ref="BM16:BP16"/>
    <mergeCell ref="BQ16:BT16"/>
    <mergeCell ref="BU16:BX16"/>
    <mergeCell ref="BY16:CB16"/>
    <mergeCell ref="CC16:CF16"/>
    <mergeCell ref="AK16:AN16"/>
    <mergeCell ref="AO16:AR16"/>
    <mergeCell ref="AS16:AV16"/>
    <mergeCell ref="AW16:AZ16"/>
    <mergeCell ref="BA16:BD16"/>
    <mergeCell ref="BE16:BH16"/>
    <mergeCell ref="M16:P16"/>
    <mergeCell ref="Q16:T16"/>
    <mergeCell ref="U16:X16"/>
    <mergeCell ref="Y16:AB16"/>
    <mergeCell ref="BY20:CB20"/>
    <mergeCell ref="CC20:CF20"/>
    <mergeCell ref="B21:C24"/>
    <mergeCell ref="CJ21:CJ24"/>
    <mergeCell ref="CH23:CH24"/>
    <mergeCell ref="CI23:CI24"/>
    <mergeCell ref="E24:H24"/>
    <mergeCell ref="I24:L24"/>
    <mergeCell ref="M24:P24"/>
    <mergeCell ref="Q24:T24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B17:C20"/>
    <mergeCell ref="CJ17:CJ20"/>
    <mergeCell ref="AC28:AF28"/>
    <mergeCell ref="AG28:AJ28"/>
    <mergeCell ref="BQ24:BT24"/>
    <mergeCell ref="BU24:BX24"/>
    <mergeCell ref="BY24:CB24"/>
    <mergeCell ref="CC24:CF24"/>
    <mergeCell ref="B25:C28"/>
    <mergeCell ref="CJ25:CJ28"/>
    <mergeCell ref="CH27:CH28"/>
    <mergeCell ref="CI27:CI28"/>
    <mergeCell ref="E28:H28"/>
    <mergeCell ref="I28:L28"/>
    <mergeCell ref="AS24:AV24"/>
    <mergeCell ref="AW24:AZ24"/>
    <mergeCell ref="BA24:BD24"/>
    <mergeCell ref="BE24:BH24"/>
    <mergeCell ref="BI24:BL24"/>
    <mergeCell ref="BM24:BP24"/>
    <mergeCell ref="U24:X24"/>
    <mergeCell ref="Y24:AB24"/>
    <mergeCell ref="AC24:AF24"/>
    <mergeCell ref="AG24:AJ24"/>
    <mergeCell ref="AK24:AN24"/>
    <mergeCell ref="AO24:AR24"/>
    <mergeCell ref="CH31:CH32"/>
    <mergeCell ref="CI31:CI32"/>
    <mergeCell ref="E32:H32"/>
    <mergeCell ref="I32:L32"/>
    <mergeCell ref="M32:P32"/>
    <mergeCell ref="Q32:T32"/>
    <mergeCell ref="U32:X32"/>
    <mergeCell ref="Y32:AB32"/>
    <mergeCell ref="BI28:BL28"/>
    <mergeCell ref="BM28:BP28"/>
    <mergeCell ref="BQ28:BT28"/>
    <mergeCell ref="BU28:BX28"/>
    <mergeCell ref="BY28:CB28"/>
    <mergeCell ref="CC28:CF28"/>
    <mergeCell ref="AK28:AN28"/>
    <mergeCell ref="AO28:AR28"/>
    <mergeCell ref="AS28:AV28"/>
    <mergeCell ref="AW28:AZ28"/>
    <mergeCell ref="BA28:BD28"/>
    <mergeCell ref="BE28:BH28"/>
    <mergeCell ref="M28:P28"/>
    <mergeCell ref="Q28:T28"/>
    <mergeCell ref="U28:X28"/>
    <mergeCell ref="Y28:AB28"/>
    <mergeCell ref="BY32:CB32"/>
    <mergeCell ref="CC32:CF32"/>
    <mergeCell ref="B33:C36"/>
    <mergeCell ref="CJ33:CJ36"/>
    <mergeCell ref="CH35:CH36"/>
    <mergeCell ref="CI35:CI36"/>
    <mergeCell ref="E36:H36"/>
    <mergeCell ref="I36:L36"/>
    <mergeCell ref="M36:P36"/>
    <mergeCell ref="Q36:T36"/>
    <mergeCell ref="BA32:BD32"/>
    <mergeCell ref="BE32:BH32"/>
    <mergeCell ref="BI32:BL32"/>
    <mergeCell ref="BM32:BP32"/>
    <mergeCell ref="BQ32:BT32"/>
    <mergeCell ref="BU32:BX32"/>
    <mergeCell ref="AC32:AF32"/>
    <mergeCell ref="AG32:AJ32"/>
    <mergeCell ref="AK32:AN32"/>
    <mergeCell ref="AO32:AR32"/>
    <mergeCell ref="AS32:AV32"/>
    <mergeCell ref="AW32:AZ32"/>
    <mergeCell ref="B29:C32"/>
    <mergeCell ref="CJ29:CJ32"/>
    <mergeCell ref="AC40:AF40"/>
    <mergeCell ref="AG40:AJ40"/>
    <mergeCell ref="BQ36:BT36"/>
    <mergeCell ref="BU36:BX36"/>
    <mergeCell ref="BY36:CB36"/>
    <mergeCell ref="CC36:CF36"/>
    <mergeCell ref="B37:C40"/>
    <mergeCell ref="CJ37:CJ40"/>
    <mergeCell ref="CH39:CH40"/>
    <mergeCell ref="CI39:CI40"/>
    <mergeCell ref="E40:H40"/>
    <mergeCell ref="I40:L40"/>
    <mergeCell ref="AS36:AV36"/>
    <mergeCell ref="AW36:AZ36"/>
    <mergeCell ref="BA36:BD36"/>
    <mergeCell ref="BE36:BH36"/>
    <mergeCell ref="BI36:BL36"/>
    <mergeCell ref="BM36:BP36"/>
    <mergeCell ref="U36:X36"/>
    <mergeCell ref="Y36:AB36"/>
    <mergeCell ref="AC36:AF36"/>
    <mergeCell ref="AG36:AJ36"/>
    <mergeCell ref="AK36:AN36"/>
    <mergeCell ref="AO36:AR36"/>
    <mergeCell ref="CH43:CH44"/>
    <mergeCell ref="CI43:CI44"/>
    <mergeCell ref="E44:H44"/>
    <mergeCell ref="I44:L44"/>
    <mergeCell ref="M44:P44"/>
    <mergeCell ref="Q44:T44"/>
    <mergeCell ref="U44:X44"/>
    <mergeCell ref="Y44:AB44"/>
    <mergeCell ref="BI40:BL40"/>
    <mergeCell ref="BM40:BP40"/>
    <mergeCell ref="BQ40:BT40"/>
    <mergeCell ref="BU40:BX40"/>
    <mergeCell ref="BY40:CB40"/>
    <mergeCell ref="CC40:CF40"/>
    <mergeCell ref="AK40:AN40"/>
    <mergeCell ref="AO40:AR40"/>
    <mergeCell ref="AS40:AV40"/>
    <mergeCell ref="AW40:AZ40"/>
    <mergeCell ref="BA40:BD40"/>
    <mergeCell ref="BE40:BH40"/>
    <mergeCell ref="M40:P40"/>
    <mergeCell ref="Q40:T40"/>
    <mergeCell ref="U40:X40"/>
    <mergeCell ref="Y40:AB40"/>
    <mergeCell ref="BY44:CB44"/>
    <mergeCell ref="CC44:CF44"/>
    <mergeCell ref="B45:C48"/>
    <mergeCell ref="CJ45:CJ48"/>
    <mergeCell ref="CH47:CH48"/>
    <mergeCell ref="CI47:CI48"/>
    <mergeCell ref="E48:H48"/>
    <mergeCell ref="I48:L48"/>
    <mergeCell ref="M48:P48"/>
    <mergeCell ref="Q48:T48"/>
    <mergeCell ref="BA44:BD44"/>
    <mergeCell ref="BE44:BH44"/>
    <mergeCell ref="BI44:BL44"/>
    <mergeCell ref="BM44:BP44"/>
    <mergeCell ref="BQ44:BT44"/>
    <mergeCell ref="BU44:BX44"/>
    <mergeCell ref="AC44:AF44"/>
    <mergeCell ref="AG44:AJ44"/>
    <mergeCell ref="AK44:AN44"/>
    <mergeCell ref="AO44:AR44"/>
    <mergeCell ref="AS44:AV44"/>
    <mergeCell ref="AW44:AZ44"/>
    <mergeCell ref="B41:C44"/>
    <mergeCell ref="CJ41:CJ44"/>
    <mergeCell ref="AC52:AF52"/>
    <mergeCell ref="AG52:AJ52"/>
    <mergeCell ref="BQ48:BT48"/>
    <mergeCell ref="BU48:BX48"/>
    <mergeCell ref="BY48:CB48"/>
    <mergeCell ref="CC48:CF48"/>
    <mergeCell ref="B49:C52"/>
    <mergeCell ref="CJ49:CJ52"/>
    <mergeCell ref="CH51:CH52"/>
    <mergeCell ref="CI51:CI52"/>
    <mergeCell ref="E52:H52"/>
    <mergeCell ref="I52:L52"/>
    <mergeCell ref="AS48:AV48"/>
    <mergeCell ref="AW48:AZ48"/>
    <mergeCell ref="BA48:BD48"/>
    <mergeCell ref="BE48:BH48"/>
    <mergeCell ref="BI48:BL48"/>
    <mergeCell ref="BM48:BP48"/>
    <mergeCell ref="U48:X48"/>
    <mergeCell ref="Y48:AB48"/>
    <mergeCell ref="AC48:AF48"/>
    <mergeCell ref="AG48:AJ48"/>
    <mergeCell ref="AK48:AN48"/>
    <mergeCell ref="AO48:AR48"/>
    <mergeCell ref="CH55:CH56"/>
    <mergeCell ref="CI55:CI56"/>
    <mergeCell ref="E56:H56"/>
    <mergeCell ref="I56:L56"/>
    <mergeCell ref="M56:P56"/>
    <mergeCell ref="Q56:T56"/>
    <mergeCell ref="U56:X56"/>
    <mergeCell ref="Y56:AB56"/>
    <mergeCell ref="BI52:BL52"/>
    <mergeCell ref="BM52:BP52"/>
    <mergeCell ref="BQ52:BT52"/>
    <mergeCell ref="BU52:BX52"/>
    <mergeCell ref="BY52:CB52"/>
    <mergeCell ref="CC52:CF52"/>
    <mergeCell ref="AK52:AN52"/>
    <mergeCell ref="AO52:AR52"/>
    <mergeCell ref="AS52:AV52"/>
    <mergeCell ref="AW52:AZ52"/>
    <mergeCell ref="BA52:BD52"/>
    <mergeCell ref="BE52:BH52"/>
    <mergeCell ref="M52:P52"/>
    <mergeCell ref="Q52:T52"/>
    <mergeCell ref="U52:X52"/>
    <mergeCell ref="Y52:AB52"/>
    <mergeCell ref="BY56:CB56"/>
    <mergeCell ref="CC56:CF56"/>
    <mergeCell ref="B57:C60"/>
    <mergeCell ref="CJ57:CJ60"/>
    <mergeCell ref="CH59:CH60"/>
    <mergeCell ref="CI59:CI60"/>
    <mergeCell ref="E60:H60"/>
    <mergeCell ref="I60:L60"/>
    <mergeCell ref="M60:P60"/>
    <mergeCell ref="Q60:T60"/>
    <mergeCell ref="BA56:BD56"/>
    <mergeCell ref="BE56:BH56"/>
    <mergeCell ref="BI56:BL56"/>
    <mergeCell ref="BM56:BP56"/>
    <mergeCell ref="BQ56:BT56"/>
    <mergeCell ref="BU56:BX56"/>
    <mergeCell ref="AC56:AF56"/>
    <mergeCell ref="AG56:AJ56"/>
    <mergeCell ref="AK56:AN56"/>
    <mergeCell ref="AO56:AR56"/>
    <mergeCell ref="AS56:AV56"/>
    <mergeCell ref="AW56:AZ56"/>
    <mergeCell ref="B53:C56"/>
    <mergeCell ref="CJ53:CJ56"/>
    <mergeCell ref="AC64:AF64"/>
    <mergeCell ref="AG64:AJ64"/>
    <mergeCell ref="BQ60:BT60"/>
    <mergeCell ref="BU60:BX60"/>
    <mergeCell ref="BY60:CB60"/>
    <mergeCell ref="CC60:CF60"/>
    <mergeCell ref="B61:C64"/>
    <mergeCell ref="CJ61:CJ64"/>
    <mergeCell ref="CH63:CH64"/>
    <mergeCell ref="CI63:CI64"/>
    <mergeCell ref="E64:H64"/>
    <mergeCell ref="I64:L64"/>
    <mergeCell ref="AS60:AV60"/>
    <mergeCell ref="AW60:AZ60"/>
    <mergeCell ref="BA60:BD60"/>
    <mergeCell ref="BE60:BH60"/>
    <mergeCell ref="BI60:BL60"/>
    <mergeCell ref="BM60:BP60"/>
    <mergeCell ref="U60:X60"/>
    <mergeCell ref="Y60:AB60"/>
    <mergeCell ref="AC60:AF60"/>
    <mergeCell ref="AG60:AJ60"/>
    <mergeCell ref="AK60:AN60"/>
    <mergeCell ref="AO60:AR60"/>
    <mergeCell ref="CH67:CH68"/>
    <mergeCell ref="CI67:CI68"/>
    <mergeCell ref="E68:H68"/>
    <mergeCell ref="I68:L68"/>
    <mergeCell ref="M68:P68"/>
    <mergeCell ref="Q68:T68"/>
    <mergeCell ref="U68:X68"/>
    <mergeCell ref="Y68:AB68"/>
    <mergeCell ref="BI64:BL64"/>
    <mergeCell ref="BM64:BP64"/>
    <mergeCell ref="BQ64:BT64"/>
    <mergeCell ref="BU64:BX64"/>
    <mergeCell ref="BY64:CB64"/>
    <mergeCell ref="CC64:CF64"/>
    <mergeCell ref="AK64:AN64"/>
    <mergeCell ref="AO64:AR64"/>
    <mergeCell ref="AS64:AV64"/>
    <mergeCell ref="AW64:AZ64"/>
    <mergeCell ref="BA64:BD64"/>
    <mergeCell ref="BE64:BH64"/>
    <mergeCell ref="M64:P64"/>
    <mergeCell ref="Q64:T64"/>
    <mergeCell ref="U64:X64"/>
    <mergeCell ref="Y64:AB64"/>
    <mergeCell ref="BY68:CB68"/>
    <mergeCell ref="CC68:CF68"/>
    <mergeCell ref="B69:C72"/>
    <mergeCell ref="CJ69:CJ72"/>
    <mergeCell ref="CH71:CH72"/>
    <mergeCell ref="CI71:CI72"/>
    <mergeCell ref="E72:H72"/>
    <mergeCell ref="I72:L72"/>
    <mergeCell ref="M72:P72"/>
    <mergeCell ref="Q72:T72"/>
    <mergeCell ref="BA68:BD68"/>
    <mergeCell ref="BE68:BH68"/>
    <mergeCell ref="BI68:BL68"/>
    <mergeCell ref="BM68:BP68"/>
    <mergeCell ref="BQ68:BT68"/>
    <mergeCell ref="BU68:BX68"/>
    <mergeCell ref="AC68:AF68"/>
    <mergeCell ref="AG68:AJ68"/>
    <mergeCell ref="AK68:AN68"/>
    <mergeCell ref="AO68:AR68"/>
    <mergeCell ref="AS68:AV68"/>
    <mergeCell ref="AW68:AZ68"/>
    <mergeCell ref="B65:C68"/>
    <mergeCell ref="CJ65:CJ68"/>
    <mergeCell ref="CC72:CF72"/>
    <mergeCell ref="B73:C76"/>
    <mergeCell ref="CJ73:CJ76"/>
    <mergeCell ref="CH75:CH76"/>
    <mergeCell ref="CI75:CI76"/>
    <mergeCell ref="E76:H76"/>
    <mergeCell ref="I76:L76"/>
    <mergeCell ref="AS72:AV72"/>
    <mergeCell ref="AW72:AZ72"/>
    <mergeCell ref="BA72:BD72"/>
    <mergeCell ref="BE72:BH72"/>
    <mergeCell ref="BI72:BL72"/>
    <mergeCell ref="BM72:BP72"/>
    <mergeCell ref="U72:X72"/>
    <mergeCell ref="Y72:AB72"/>
    <mergeCell ref="AC72:AF72"/>
    <mergeCell ref="AG72:AJ72"/>
    <mergeCell ref="AK72:AN72"/>
    <mergeCell ref="AO72:AR72"/>
    <mergeCell ref="M76:P76"/>
    <mergeCell ref="Q76:T76"/>
    <mergeCell ref="U76:X76"/>
    <mergeCell ref="Y76:AB76"/>
    <mergeCell ref="AC76:AF76"/>
    <mergeCell ref="AG76:AJ76"/>
    <mergeCell ref="BQ72:BT72"/>
    <mergeCell ref="BU72:BX72"/>
    <mergeCell ref="BY72:CB72"/>
    <mergeCell ref="BI76:BL76"/>
    <mergeCell ref="BM76:BP76"/>
    <mergeCell ref="BQ76:BT76"/>
    <mergeCell ref="BU76:BX76"/>
    <mergeCell ref="BY76:CB76"/>
    <mergeCell ref="CC76:CF76"/>
    <mergeCell ref="AK76:AN76"/>
    <mergeCell ref="AO76:AR76"/>
    <mergeCell ref="AS76:AV76"/>
    <mergeCell ref="AW76:AZ76"/>
    <mergeCell ref="BA76:BD76"/>
    <mergeCell ref="BE76:BH76"/>
    <mergeCell ref="B77:C80"/>
    <mergeCell ref="CJ77:CJ80"/>
    <mergeCell ref="CH79:CH80"/>
    <mergeCell ref="CI79:CI80"/>
    <mergeCell ref="E80:H80"/>
    <mergeCell ref="I80:L80"/>
    <mergeCell ref="M80:P80"/>
    <mergeCell ref="Q80:T80"/>
    <mergeCell ref="U80:X80"/>
    <mergeCell ref="Y80:AB80"/>
    <mergeCell ref="BY80:CB80"/>
    <mergeCell ref="CC80:CF80"/>
    <mergeCell ref="BE80:BH80"/>
    <mergeCell ref="BI80:BL80"/>
    <mergeCell ref="BM80:BP80"/>
    <mergeCell ref="BQ80:BT80"/>
    <mergeCell ref="BU80:BX80"/>
    <mergeCell ref="E81:F81"/>
    <mergeCell ref="G81:H81"/>
    <mergeCell ref="I81:J81"/>
    <mergeCell ref="K81:L81"/>
    <mergeCell ref="M81:N81"/>
    <mergeCell ref="O81:P81"/>
    <mergeCell ref="Q81:R81"/>
    <mergeCell ref="S81:T81"/>
    <mergeCell ref="BA80:BD80"/>
    <mergeCell ref="AC80:AF80"/>
    <mergeCell ref="AG80:AJ80"/>
    <mergeCell ref="AK80:AN80"/>
    <mergeCell ref="AO80:AR80"/>
    <mergeCell ref="AS80:AV80"/>
    <mergeCell ref="AW80:AZ80"/>
    <mergeCell ref="AG81:AH81"/>
    <mergeCell ref="AI81:AJ81"/>
    <mergeCell ref="AK81:AL81"/>
    <mergeCell ref="AM81:AN81"/>
    <mergeCell ref="AO81:AP81"/>
    <mergeCell ref="AQ81:AR81"/>
    <mergeCell ref="U81:V81"/>
    <mergeCell ref="W81:X81"/>
    <mergeCell ref="Y81:Z81"/>
    <mergeCell ref="AA81:AB81"/>
    <mergeCell ref="AC81:AD81"/>
    <mergeCell ref="AE81:AF81"/>
    <mergeCell ref="BI81:BJ81"/>
    <mergeCell ref="BK81:BL81"/>
    <mergeCell ref="BM81:BN81"/>
    <mergeCell ref="BO81:BP81"/>
    <mergeCell ref="AS81:AT81"/>
    <mergeCell ref="AU81:AV81"/>
    <mergeCell ref="AW81:AX81"/>
    <mergeCell ref="AY81:AZ81"/>
    <mergeCell ref="BA81:BB81"/>
    <mergeCell ref="BC81:BD81"/>
    <mergeCell ref="AG82:AJ83"/>
    <mergeCell ref="AK82:AN83"/>
    <mergeCell ref="AO82:AR83"/>
    <mergeCell ref="AS82:AV83"/>
    <mergeCell ref="AW82:AZ83"/>
    <mergeCell ref="BA82:BD83"/>
    <mergeCell ref="CC81:CD81"/>
    <mergeCell ref="CE81:CF81"/>
    <mergeCell ref="B82:C83"/>
    <mergeCell ref="E82:H83"/>
    <mergeCell ref="I82:L83"/>
    <mergeCell ref="M82:P83"/>
    <mergeCell ref="Q82:T83"/>
    <mergeCell ref="U82:X83"/>
    <mergeCell ref="Y82:AB83"/>
    <mergeCell ref="AC82:AF83"/>
    <mergeCell ref="BQ81:BR81"/>
    <mergeCell ref="BS81:BT81"/>
    <mergeCell ref="BU81:BV81"/>
    <mergeCell ref="BW81:BX81"/>
    <mergeCell ref="BY81:BZ81"/>
    <mergeCell ref="CA81:CB81"/>
    <mergeCell ref="BE81:BF81"/>
    <mergeCell ref="BG81:BH81"/>
    <mergeCell ref="CC82:CF83"/>
    <mergeCell ref="CH82:CI83"/>
    <mergeCell ref="CJ82:CJ83"/>
    <mergeCell ref="BE82:BH83"/>
    <mergeCell ref="BI82:BL83"/>
    <mergeCell ref="BM82:BP83"/>
    <mergeCell ref="BQ82:BT83"/>
    <mergeCell ref="BU82:BX83"/>
    <mergeCell ref="BY82:CB83"/>
  </mergeCells>
  <conditionalFormatting sqref="C3:C6">
    <cfRule type="containsBlanks" dxfId="1383" priority="485">
      <formula>LEN(TRIM(C3))=0</formula>
    </cfRule>
  </conditionalFormatting>
  <conditionalFormatting sqref="F6">
    <cfRule type="expression" dxfId="1382" priority="588" stopIfTrue="1">
      <formula>AND(E8&gt;0)</formula>
    </cfRule>
  </conditionalFormatting>
  <conditionalFormatting sqref="F7">
    <cfRule type="expression" dxfId="1381" priority="586" stopIfTrue="1">
      <formula>AND(E8&gt;2)</formula>
    </cfRule>
  </conditionalFormatting>
  <conditionalFormatting sqref="F14">
    <cfRule type="expression" dxfId="1380" priority="1384" stopIfTrue="1">
      <formula>AND(E16&gt;0)</formula>
    </cfRule>
  </conditionalFormatting>
  <conditionalFormatting sqref="F15">
    <cfRule type="expression" dxfId="1379" priority="1382" stopIfTrue="1">
      <formula>AND(E16&gt;2)</formula>
    </cfRule>
  </conditionalFormatting>
  <conditionalFormatting sqref="F18">
    <cfRule type="expression" dxfId="1378" priority="484" stopIfTrue="1">
      <formula>AND(E20&gt;0)</formula>
    </cfRule>
  </conditionalFormatting>
  <conditionalFormatting sqref="F19">
    <cfRule type="expression" dxfId="1377" priority="482" stopIfTrue="1">
      <formula>AND(E20&gt;2)</formula>
    </cfRule>
  </conditionalFormatting>
  <conditionalFormatting sqref="F22">
    <cfRule type="expression" dxfId="1376" priority="1228" stopIfTrue="1">
      <formula>AND(E24&gt;0)</formula>
    </cfRule>
  </conditionalFormatting>
  <conditionalFormatting sqref="F23">
    <cfRule type="expression" dxfId="1375" priority="1226" stopIfTrue="1">
      <formula>AND(E24&gt;2)</formula>
    </cfRule>
  </conditionalFormatting>
  <conditionalFormatting sqref="F26">
    <cfRule type="expression" dxfId="1374" priority="1148" stopIfTrue="1">
      <formula>AND(E28&gt;0)</formula>
    </cfRule>
  </conditionalFormatting>
  <conditionalFormatting sqref="F27">
    <cfRule type="expression" dxfId="1373" priority="1146" stopIfTrue="1">
      <formula>AND(E28&gt;2)</formula>
    </cfRule>
  </conditionalFormatting>
  <conditionalFormatting sqref="F30">
    <cfRule type="expression" dxfId="1372" priority="1068" stopIfTrue="1">
      <formula>AND(E32&gt;0)</formula>
    </cfRule>
  </conditionalFormatting>
  <conditionalFormatting sqref="F31">
    <cfRule type="expression" dxfId="1371" priority="1066" stopIfTrue="1">
      <formula>AND(E32&gt;2)</formula>
    </cfRule>
  </conditionalFormatting>
  <conditionalFormatting sqref="F34">
    <cfRule type="expression" dxfId="1370" priority="988" stopIfTrue="1">
      <formula>AND(E36&gt;0)</formula>
    </cfRule>
  </conditionalFormatting>
  <conditionalFormatting sqref="F35">
    <cfRule type="expression" dxfId="1369" priority="986" stopIfTrue="1">
      <formula>AND(E36&gt;2)</formula>
    </cfRule>
  </conditionalFormatting>
  <conditionalFormatting sqref="F38">
    <cfRule type="expression" dxfId="1368" priority="908" stopIfTrue="1">
      <formula>AND(E40&gt;0)</formula>
    </cfRule>
  </conditionalFormatting>
  <conditionalFormatting sqref="F39">
    <cfRule type="expression" dxfId="1367" priority="906" stopIfTrue="1">
      <formula>AND(E40&gt;2)</formula>
    </cfRule>
  </conditionalFormatting>
  <conditionalFormatting sqref="F42">
    <cfRule type="expression" dxfId="1366" priority="828" stopIfTrue="1">
      <formula>AND(E44&gt;0)</formula>
    </cfRule>
  </conditionalFormatting>
  <conditionalFormatting sqref="F43">
    <cfRule type="expression" dxfId="1365" priority="826" stopIfTrue="1">
      <formula>AND(E44&gt;2)</formula>
    </cfRule>
  </conditionalFormatting>
  <conditionalFormatting sqref="F46">
    <cfRule type="expression" dxfId="1364" priority="748" stopIfTrue="1">
      <formula>AND(E48&gt;0)</formula>
    </cfRule>
  </conditionalFormatting>
  <conditionalFormatting sqref="F47">
    <cfRule type="expression" dxfId="1363" priority="746" stopIfTrue="1">
      <formula>AND(E48&gt;2)</formula>
    </cfRule>
  </conditionalFormatting>
  <conditionalFormatting sqref="F50">
    <cfRule type="expression" dxfId="1362" priority="668" stopIfTrue="1">
      <formula>AND(E52&gt;0)</formula>
    </cfRule>
  </conditionalFormatting>
  <conditionalFormatting sqref="F51">
    <cfRule type="expression" dxfId="1361" priority="666" stopIfTrue="1">
      <formula>AND(E52&gt;2)</formula>
    </cfRule>
  </conditionalFormatting>
  <conditionalFormatting sqref="F54">
    <cfRule type="expression" dxfId="1360" priority="480" stopIfTrue="1">
      <formula>AND(E56&gt;0)</formula>
    </cfRule>
  </conditionalFormatting>
  <conditionalFormatting sqref="F55">
    <cfRule type="expression" dxfId="1359" priority="478" stopIfTrue="1">
      <formula>AND(E56&gt;2)</formula>
    </cfRule>
  </conditionalFormatting>
  <conditionalFormatting sqref="F58">
    <cfRule type="expression" dxfId="1358" priority="400" stopIfTrue="1">
      <formula>AND(E60&gt;0)</formula>
    </cfRule>
  </conditionalFormatting>
  <conditionalFormatting sqref="F59">
    <cfRule type="expression" dxfId="1357" priority="398" stopIfTrue="1">
      <formula>AND(E60&gt;2)</formula>
    </cfRule>
  </conditionalFormatting>
  <conditionalFormatting sqref="F62">
    <cfRule type="expression" dxfId="1356" priority="160" stopIfTrue="1">
      <formula>AND(E64&gt;0)</formula>
    </cfRule>
  </conditionalFormatting>
  <conditionalFormatting sqref="F63">
    <cfRule type="expression" dxfId="1355" priority="158" stopIfTrue="1">
      <formula>AND(E64&gt;2)</formula>
    </cfRule>
  </conditionalFormatting>
  <conditionalFormatting sqref="F66">
    <cfRule type="expression" dxfId="1354" priority="240" stopIfTrue="1">
      <formula>AND(E68&gt;0)</formula>
    </cfRule>
  </conditionalFormatting>
  <conditionalFormatting sqref="F67">
    <cfRule type="expression" dxfId="1353" priority="238" stopIfTrue="1">
      <formula>AND(E68&gt;2)</formula>
    </cfRule>
  </conditionalFormatting>
  <conditionalFormatting sqref="F70">
    <cfRule type="expression" dxfId="1352" priority="320" stopIfTrue="1">
      <formula>AND(E72&gt;0)</formula>
    </cfRule>
  </conditionalFormatting>
  <conditionalFormatting sqref="F71">
    <cfRule type="expression" dxfId="1351" priority="318" stopIfTrue="1">
      <formula>AND(E72&gt;2)</formula>
    </cfRule>
  </conditionalFormatting>
  <conditionalFormatting sqref="F74">
    <cfRule type="expression" dxfId="1350" priority="80" stopIfTrue="1">
      <formula>AND(E76&gt;0)</formula>
    </cfRule>
  </conditionalFormatting>
  <conditionalFormatting sqref="F75">
    <cfRule type="expression" dxfId="1349" priority="78" stopIfTrue="1">
      <formula>AND(E76&gt;2)</formula>
    </cfRule>
  </conditionalFormatting>
  <conditionalFormatting sqref="F78">
    <cfRule type="expression" dxfId="1348" priority="568" stopIfTrue="1">
      <formula>AND(E80&gt;0)</formula>
    </cfRule>
  </conditionalFormatting>
  <conditionalFormatting sqref="F79">
    <cfRule type="expression" dxfId="1347" priority="566" stopIfTrue="1">
      <formula>AND(E80&gt;2)</formula>
    </cfRule>
  </conditionalFormatting>
  <conditionalFormatting sqref="G6">
    <cfRule type="expression" dxfId="1346" priority="587" stopIfTrue="1">
      <formula>AND(E8&gt;1)</formula>
    </cfRule>
  </conditionalFormatting>
  <conditionalFormatting sqref="G7">
    <cfRule type="expression" dxfId="1345" priority="585" stopIfTrue="1">
      <formula>AND(E8&gt;3)</formula>
    </cfRule>
  </conditionalFormatting>
  <conditionalFormatting sqref="G14">
    <cfRule type="expression" dxfId="1344" priority="1383" stopIfTrue="1">
      <formula>AND(E16&gt;1)</formula>
    </cfRule>
  </conditionalFormatting>
  <conditionalFormatting sqref="G15">
    <cfRule type="expression" dxfId="1343" priority="1381" stopIfTrue="1">
      <formula>AND(E16&gt;3)</formula>
    </cfRule>
  </conditionalFormatting>
  <conditionalFormatting sqref="G18">
    <cfRule type="expression" dxfId="1342" priority="483" stopIfTrue="1">
      <formula>AND(E20&gt;1)</formula>
    </cfRule>
  </conditionalFormatting>
  <conditionalFormatting sqref="G19">
    <cfRule type="expression" dxfId="1341" priority="481" stopIfTrue="1">
      <formula>AND(E20&gt;3)</formula>
    </cfRule>
  </conditionalFormatting>
  <conditionalFormatting sqref="G22">
    <cfRule type="expression" dxfId="1340" priority="1227" stopIfTrue="1">
      <formula>AND(E24&gt;1)</formula>
    </cfRule>
  </conditionalFormatting>
  <conditionalFormatting sqref="G23">
    <cfRule type="expression" dxfId="1339" priority="1225" stopIfTrue="1">
      <formula>AND(E24&gt;3)</formula>
    </cfRule>
  </conditionalFormatting>
  <conditionalFormatting sqref="G26">
    <cfRule type="expression" dxfId="1338" priority="1147" stopIfTrue="1">
      <formula>AND(E28&gt;1)</formula>
    </cfRule>
  </conditionalFormatting>
  <conditionalFormatting sqref="G27">
    <cfRule type="expression" dxfId="1337" priority="1145" stopIfTrue="1">
      <formula>AND(E28&gt;3)</formula>
    </cfRule>
  </conditionalFormatting>
  <conditionalFormatting sqref="G30">
    <cfRule type="expression" dxfId="1336" priority="1067" stopIfTrue="1">
      <formula>AND(E32&gt;1)</formula>
    </cfRule>
  </conditionalFormatting>
  <conditionalFormatting sqref="G31">
    <cfRule type="expression" dxfId="1335" priority="1065" stopIfTrue="1">
      <formula>AND(E32&gt;3)</formula>
    </cfRule>
  </conditionalFormatting>
  <conditionalFormatting sqref="G34">
    <cfRule type="expression" dxfId="1334" priority="987" stopIfTrue="1">
      <formula>AND(E36&gt;1)</formula>
    </cfRule>
  </conditionalFormatting>
  <conditionalFormatting sqref="G35">
    <cfRule type="expression" dxfId="1333" priority="985" stopIfTrue="1">
      <formula>AND(E36&gt;3)</formula>
    </cfRule>
  </conditionalFormatting>
  <conditionalFormatting sqref="G38">
    <cfRule type="expression" dxfId="1332" priority="907" stopIfTrue="1">
      <formula>AND(E40&gt;1)</formula>
    </cfRule>
  </conditionalFormatting>
  <conditionalFormatting sqref="G39">
    <cfRule type="expression" dxfId="1331" priority="905" stopIfTrue="1">
      <formula>AND(E40&gt;3)</formula>
    </cfRule>
  </conditionalFormatting>
  <conditionalFormatting sqref="G42">
    <cfRule type="expression" dxfId="1330" priority="827" stopIfTrue="1">
      <formula>AND(E44&gt;1)</formula>
    </cfRule>
  </conditionalFormatting>
  <conditionalFormatting sqref="G43">
    <cfRule type="expression" dxfId="1329" priority="825" stopIfTrue="1">
      <formula>AND(E44&gt;3)</formula>
    </cfRule>
  </conditionalFormatting>
  <conditionalFormatting sqref="G46">
    <cfRule type="expression" dxfId="1328" priority="747" stopIfTrue="1">
      <formula>AND(E48&gt;1)</formula>
    </cfRule>
  </conditionalFormatting>
  <conditionalFormatting sqref="G47">
    <cfRule type="expression" dxfId="1327" priority="745" stopIfTrue="1">
      <formula>AND(E48&gt;3)</formula>
    </cfRule>
  </conditionalFormatting>
  <conditionalFormatting sqref="G50">
    <cfRule type="expression" dxfId="1326" priority="667" stopIfTrue="1">
      <formula>AND(E52&gt;1)</formula>
    </cfRule>
  </conditionalFormatting>
  <conditionalFormatting sqref="G51">
    <cfRule type="expression" dxfId="1325" priority="665" stopIfTrue="1">
      <formula>AND(E52&gt;3)</formula>
    </cfRule>
  </conditionalFormatting>
  <conditionalFormatting sqref="G54">
    <cfRule type="expression" dxfId="1324" priority="479" stopIfTrue="1">
      <formula>AND(E56&gt;1)</formula>
    </cfRule>
  </conditionalFormatting>
  <conditionalFormatting sqref="G55">
    <cfRule type="expression" dxfId="1323" priority="477" stopIfTrue="1">
      <formula>AND(E56&gt;3)</formula>
    </cfRule>
  </conditionalFormatting>
  <conditionalFormatting sqref="G58">
    <cfRule type="expression" dxfId="1322" priority="399" stopIfTrue="1">
      <formula>AND(E60&gt;1)</formula>
    </cfRule>
  </conditionalFormatting>
  <conditionalFormatting sqref="G59">
    <cfRule type="expression" dxfId="1321" priority="397" stopIfTrue="1">
      <formula>AND(E60&gt;3)</formula>
    </cfRule>
  </conditionalFormatting>
  <conditionalFormatting sqref="G62">
    <cfRule type="expression" dxfId="1320" priority="159" stopIfTrue="1">
      <formula>AND(E64&gt;1)</formula>
    </cfRule>
  </conditionalFormatting>
  <conditionalFormatting sqref="G63">
    <cfRule type="expression" dxfId="1319" priority="157" stopIfTrue="1">
      <formula>AND(E64&gt;3)</formula>
    </cfRule>
  </conditionalFormatting>
  <conditionalFormatting sqref="G66">
    <cfRule type="expression" dxfId="1318" priority="239" stopIfTrue="1">
      <formula>AND(E68&gt;1)</formula>
    </cfRule>
  </conditionalFormatting>
  <conditionalFormatting sqref="G67">
    <cfRule type="expression" dxfId="1317" priority="237" stopIfTrue="1">
      <formula>AND(E68&gt;3)</formula>
    </cfRule>
  </conditionalFormatting>
  <conditionalFormatting sqref="G70">
    <cfRule type="expression" dxfId="1316" priority="319" stopIfTrue="1">
      <formula>AND(E72&gt;1)</formula>
    </cfRule>
  </conditionalFormatting>
  <conditionalFormatting sqref="G71">
    <cfRule type="expression" dxfId="1315" priority="317" stopIfTrue="1">
      <formula>AND(E72&gt;3)</formula>
    </cfRule>
  </conditionalFormatting>
  <conditionalFormatting sqref="G74">
    <cfRule type="expression" dxfId="1314" priority="79" stopIfTrue="1">
      <formula>AND(E76&gt;1)</formula>
    </cfRule>
  </conditionalFormatting>
  <conditionalFormatting sqref="G75">
    <cfRule type="expression" dxfId="1313" priority="77" stopIfTrue="1">
      <formula>AND(E76&gt;3)</formula>
    </cfRule>
  </conditionalFormatting>
  <conditionalFormatting sqref="G78">
    <cfRule type="expression" dxfId="1312" priority="567" stopIfTrue="1">
      <formula>AND(E80&gt;1)</formula>
    </cfRule>
  </conditionalFormatting>
  <conditionalFormatting sqref="G79">
    <cfRule type="expression" dxfId="1311" priority="565" stopIfTrue="1">
      <formula>AND(E80&gt;3)</formula>
    </cfRule>
  </conditionalFormatting>
  <conditionalFormatting sqref="J14">
    <cfRule type="expression" dxfId="1310" priority="1380" stopIfTrue="1">
      <formula>AND(I16&gt;0)</formula>
    </cfRule>
  </conditionalFormatting>
  <conditionalFormatting sqref="J15">
    <cfRule type="expression" dxfId="1309" priority="1378" stopIfTrue="1">
      <formula>AND(I16&gt;2)</formula>
    </cfRule>
  </conditionalFormatting>
  <conditionalFormatting sqref="J18">
    <cfRule type="expression" dxfId="1308" priority="1304" stopIfTrue="1">
      <formula>AND(I20&gt;0)</formula>
    </cfRule>
  </conditionalFormatting>
  <conditionalFormatting sqref="J19">
    <cfRule type="expression" dxfId="1307" priority="1302" stopIfTrue="1">
      <formula>AND(I20&gt;2)</formula>
    </cfRule>
  </conditionalFormatting>
  <conditionalFormatting sqref="J22">
    <cfRule type="expression" dxfId="1306" priority="1224" stopIfTrue="1">
      <formula>AND(I24&gt;0)</formula>
    </cfRule>
  </conditionalFormatting>
  <conditionalFormatting sqref="J23">
    <cfRule type="expression" dxfId="1305" priority="1222" stopIfTrue="1">
      <formula>AND(I24&gt;2)</formula>
    </cfRule>
  </conditionalFormatting>
  <conditionalFormatting sqref="J26">
    <cfRule type="expression" dxfId="1304" priority="1144" stopIfTrue="1">
      <formula>AND(I28&gt;0)</formula>
    </cfRule>
  </conditionalFormatting>
  <conditionalFormatting sqref="J27">
    <cfRule type="expression" dxfId="1303" priority="1142" stopIfTrue="1">
      <formula>AND(I28&gt;2)</formula>
    </cfRule>
  </conditionalFormatting>
  <conditionalFormatting sqref="J30">
    <cfRule type="expression" dxfId="1302" priority="1064" stopIfTrue="1">
      <formula>AND(I32&gt;0)</formula>
    </cfRule>
  </conditionalFormatting>
  <conditionalFormatting sqref="J31">
    <cfRule type="expression" dxfId="1301" priority="1062" stopIfTrue="1">
      <formula>AND(I32&gt;2)</formula>
    </cfRule>
  </conditionalFormatting>
  <conditionalFormatting sqref="J34">
    <cfRule type="expression" dxfId="1300" priority="984" stopIfTrue="1">
      <formula>AND(I36&gt;0)</formula>
    </cfRule>
  </conditionalFormatting>
  <conditionalFormatting sqref="J35">
    <cfRule type="expression" dxfId="1299" priority="982" stopIfTrue="1">
      <formula>AND(I36&gt;2)</formula>
    </cfRule>
  </conditionalFormatting>
  <conditionalFormatting sqref="J38">
    <cfRule type="expression" dxfId="1298" priority="904" stopIfTrue="1">
      <formula>AND(I40&gt;0)</formula>
    </cfRule>
  </conditionalFormatting>
  <conditionalFormatting sqref="J39">
    <cfRule type="expression" dxfId="1297" priority="902" stopIfTrue="1">
      <formula>AND(I40&gt;2)</formula>
    </cfRule>
  </conditionalFormatting>
  <conditionalFormatting sqref="J42">
    <cfRule type="expression" dxfId="1296" priority="824" stopIfTrue="1">
      <formula>AND(I44&gt;0)</formula>
    </cfRule>
  </conditionalFormatting>
  <conditionalFormatting sqref="J43">
    <cfRule type="expression" dxfId="1295" priority="822" stopIfTrue="1">
      <formula>AND(I44&gt;2)</formula>
    </cfRule>
  </conditionalFormatting>
  <conditionalFormatting sqref="J46">
    <cfRule type="expression" dxfId="1294" priority="744" stopIfTrue="1">
      <formula>AND(I48&gt;0)</formula>
    </cfRule>
  </conditionalFormatting>
  <conditionalFormatting sqref="J47">
    <cfRule type="expression" dxfId="1293" priority="742" stopIfTrue="1">
      <formula>AND(I48&gt;2)</formula>
    </cfRule>
  </conditionalFormatting>
  <conditionalFormatting sqref="J50">
    <cfRule type="expression" dxfId="1292" priority="664" stopIfTrue="1">
      <formula>AND(I52&gt;0)</formula>
    </cfRule>
  </conditionalFormatting>
  <conditionalFormatting sqref="J51">
    <cfRule type="expression" dxfId="1291" priority="662" stopIfTrue="1">
      <formula>AND(I52&gt;2)</formula>
    </cfRule>
  </conditionalFormatting>
  <conditionalFormatting sqref="J54">
    <cfRule type="expression" dxfId="1290" priority="476" stopIfTrue="1">
      <formula>AND(I56&gt;0)</formula>
    </cfRule>
  </conditionalFormatting>
  <conditionalFormatting sqref="J55">
    <cfRule type="expression" dxfId="1289" priority="474" stopIfTrue="1">
      <formula>AND(I56&gt;2)</formula>
    </cfRule>
  </conditionalFormatting>
  <conditionalFormatting sqref="J58">
    <cfRule type="expression" dxfId="1288" priority="396" stopIfTrue="1">
      <formula>AND(I60&gt;0)</formula>
    </cfRule>
  </conditionalFormatting>
  <conditionalFormatting sqref="J59">
    <cfRule type="expression" dxfId="1287" priority="394" stopIfTrue="1">
      <formula>AND(I60&gt;2)</formula>
    </cfRule>
  </conditionalFormatting>
  <conditionalFormatting sqref="J62">
    <cfRule type="expression" dxfId="1286" priority="156" stopIfTrue="1">
      <formula>AND(I64&gt;0)</formula>
    </cfRule>
  </conditionalFormatting>
  <conditionalFormatting sqref="J63">
    <cfRule type="expression" dxfId="1285" priority="154" stopIfTrue="1">
      <formula>AND(I64&gt;2)</formula>
    </cfRule>
  </conditionalFormatting>
  <conditionalFormatting sqref="J66">
    <cfRule type="expression" dxfId="1284" priority="236" stopIfTrue="1">
      <formula>AND(I68&gt;0)</formula>
    </cfRule>
  </conditionalFormatting>
  <conditionalFormatting sqref="J67">
    <cfRule type="expression" dxfId="1283" priority="234" stopIfTrue="1">
      <formula>AND(I68&gt;2)</formula>
    </cfRule>
  </conditionalFormatting>
  <conditionalFormatting sqref="J70">
    <cfRule type="expression" dxfId="1282" priority="316" stopIfTrue="1">
      <formula>AND(I72&gt;0)</formula>
    </cfRule>
  </conditionalFormatting>
  <conditionalFormatting sqref="J71">
    <cfRule type="expression" dxfId="1281" priority="314" stopIfTrue="1">
      <formula>AND(I72&gt;2)</formula>
    </cfRule>
  </conditionalFormatting>
  <conditionalFormatting sqref="J74">
    <cfRule type="expression" dxfId="1280" priority="76" stopIfTrue="1">
      <formula>AND(I76&gt;0)</formula>
    </cfRule>
  </conditionalFormatting>
  <conditionalFormatting sqref="J75">
    <cfRule type="expression" dxfId="1279" priority="74" stopIfTrue="1">
      <formula>AND(I76&gt;2)</formula>
    </cfRule>
  </conditionalFormatting>
  <conditionalFormatting sqref="J78">
    <cfRule type="expression" dxfId="1278" priority="564" stopIfTrue="1">
      <formula>AND(I80&gt;0)</formula>
    </cfRule>
  </conditionalFormatting>
  <conditionalFormatting sqref="J79">
    <cfRule type="expression" dxfId="1277" priority="562" stopIfTrue="1">
      <formula>AND(I80&gt;2)</formula>
    </cfRule>
  </conditionalFormatting>
  <conditionalFormatting sqref="K14">
    <cfRule type="expression" dxfId="1276" priority="1379" stopIfTrue="1">
      <formula>AND(I16&gt;1)</formula>
    </cfRule>
  </conditionalFormatting>
  <conditionalFormatting sqref="K15">
    <cfRule type="expression" dxfId="1275" priority="1377" stopIfTrue="1">
      <formula>AND(I16&gt;3)</formula>
    </cfRule>
  </conditionalFormatting>
  <conditionalFormatting sqref="K18">
    <cfRule type="expression" dxfId="1274" priority="1303" stopIfTrue="1">
      <formula>AND(I20&gt;1)</formula>
    </cfRule>
  </conditionalFormatting>
  <conditionalFormatting sqref="K19">
    <cfRule type="expression" dxfId="1273" priority="1301" stopIfTrue="1">
      <formula>AND(I20&gt;3)</formula>
    </cfRule>
  </conditionalFormatting>
  <conditionalFormatting sqref="K22">
    <cfRule type="expression" dxfId="1272" priority="1223" stopIfTrue="1">
      <formula>AND(I24&gt;1)</formula>
    </cfRule>
  </conditionalFormatting>
  <conditionalFormatting sqref="K23">
    <cfRule type="expression" dxfId="1271" priority="1221" stopIfTrue="1">
      <formula>AND(I24&gt;3)</formula>
    </cfRule>
  </conditionalFormatting>
  <conditionalFormatting sqref="K26">
    <cfRule type="expression" dxfId="1270" priority="1143" stopIfTrue="1">
      <formula>AND(I28&gt;1)</formula>
    </cfRule>
  </conditionalFormatting>
  <conditionalFormatting sqref="K27">
    <cfRule type="expression" dxfId="1269" priority="1141" stopIfTrue="1">
      <formula>AND(I28&gt;3)</formula>
    </cfRule>
  </conditionalFormatting>
  <conditionalFormatting sqref="K30">
    <cfRule type="expression" dxfId="1268" priority="1063" stopIfTrue="1">
      <formula>AND(I32&gt;1)</formula>
    </cfRule>
  </conditionalFormatting>
  <conditionalFormatting sqref="K31">
    <cfRule type="expression" dxfId="1267" priority="1061" stopIfTrue="1">
      <formula>AND(I32&gt;3)</formula>
    </cfRule>
  </conditionalFormatting>
  <conditionalFormatting sqref="K34">
    <cfRule type="expression" dxfId="1266" priority="983" stopIfTrue="1">
      <formula>AND(I36&gt;1)</formula>
    </cfRule>
  </conditionalFormatting>
  <conditionalFormatting sqref="K35">
    <cfRule type="expression" dxfId="1265" priority="981" stopIfTrue="1">
      <formula>AND(I36&gt;3)</formula>
    </cfRule>
  </conditionalFormatting>
  <conditionalFormatting sqref="K38">
    <cfRule type="expression" dxfId="1264" priority="903" stopIfTrue="1">
      <formula>AND(I40&gt;1)</formula>
    </cfRule>
  </conditionalFormatting>
  <conditionalFormatting sqref="K39">
    <cfRule type="expression" dxfId="1263" priority="901" stopIfTrue="1">
      <formula>AND(I40&gt;3)</formula>
    </cfRule>
  </conditionalFormatting>
  <conditionalFormatting sqref="K42">
    <cfRule type="expression" dxfId="1262" priority="823" stopIfTrue="1">
      <formula>AND(I44&gt;1)</formula>
    </cfRule>
  </conditionalFormatting>
  <conditionalFormatting sqref="K43">
    <cfRule type="expression" dxfId="1261" priority="821" stopIfTrue="1">
      <formula>AND(I44&gt;3)</formula>
    </cfRule>
  </conditionalFormatting>
  <conditionalFormatting sqref="K46">
    <cfRule type="expression" dxfId="1260" priority="743" stopIfTrue="1">
      <formula>AND(I48&gt;1)</formula>
    </cfRule>
  </conditionalFormatting>
  <conditionalFormatting sqref="K47">
    <cfRule type="expression" dxfId="1259" priority="741" stopIfTrue="1">
      <formula>AND(I48&gt;3)</formula>
    </cfRule>
  </conditionalFormatting>
  <conditionalFormatting sqref="K50">
    <cfRule type="expression" dxfId="1258" priority="663" stopIfTrue="1">
      <formula>AND(I52&gt;1)</formula>
    </cfRule>
  </conditionalFormatting>
  <conditionalFormatting sqref="K51">
    <cfRule type="expression" dxfId="1257" priority="661" stopIfTrue="1">
      <formula>AND(I52&gt;3)</formula>
    </cfRule>
  </conditionalFormatting>
  <conditionalFormatting sqref="K54">
    <cfRule type="expression" dxfId="1256" priority="475" stopIfTrue="1">
      <formula>AND(I56&gt;1)</formula>
    </cfRule>
  </conditionalFormatting>
  <conditionalFormatting sqref="K55">
    <cfRule type="expression" dxfId="1255" priority="473" stopIfTrue="1">
      <formula>AND(I56&gt;3)</formula>
    </cfRule>
  </conditionalFormatting>
  <conditionalFormatting sqref="K58">
    <cfRule type="expression" dxfId="1254" priority="395" stopIfTrue="1">
      <formula>AND(I60&gt;1)</formula>
    </cfRule>
  </conditionalFormatting>
  <conditionalFormatting sqref="K59">
    <cfRule type="expression" dxfId="1253" priority="393" stopIfTrue="1">
      <formula>AND(I60&gt;3)</formula>
    </cfRule>
  </conditionalFormatting>
  <conditionalFormatting sqref="K62">
    <cfRule type="expression" dxfId="1252" priority="155" stopIfTrue="1">
      <formula>AND(I64&gt;1)</formula>
    </cfRule>
  </conditionalFormatting>
  <conditionalFormatting sqref="K63">
    <cfRule type="expression" dxfId="1251" priority="153" stopIfTrue="1">
      <formula>AND(I64&gt;3)</formula>
    </cfRule>
  </conditionalFormatting>
  <conditionalFormatting sqref="K66">
    <cfRule type="expression" dxfId="1250" priority="235" stopIfTrue="1">
      <formula>AND(I68&gt;1)</formula>
    </cfRule>
  </conditionalFormatting>
  <conditionalFormatting sqref="K67">
    <cfRule type="expression" dxfId="1249" priority="233" stopIfTrue="1">
      <formula>AND(I68&gt;3)</formula>
    </cfRule>
  </conditionalFormatting>
  <conditionalFormatting sqref="K70">
    <cfRule type="expression" dxfId="1248" priority="315" stopIfTrue="1">
      <formula>AND(I72&gt;1)</formula>
    </cfRule>
  </conditionalFormatting>
  <conditionalFormatting sqref="K71">
    <cfRule type="expression" dxfId="1247" priority="313" stopIfTrue="1">
      <formula>AND(I72&gt;3)</formula>
    </cfRule>
  </conditionalFormatting>
  <conditionalFormatting sqref="K74">
    <cfRule type="expression" dxfId="1246" priority="75" stopIfTrue="1">
      <formula>AND(I76&gt;1)</formula>
    </cfRule>
  </conditionalFormatting>
  <conditionalFormatting sqref="K75">
    <cfRule type="expression" dxfId="1245" priority="73" stopIfTrue="1">
      <formula>AND(I76&gt;3)</formula>
    </cfRule>
  </conditionalFormatting>
  <conditionalFormatting sqref="K78">
    <cfRule type="expression" dxfId="1244" priority="563" stopIfTrue="1">
      <formula>AND(I80&gt;1)</formula>
    </cfRule>
  </conditionalFormatting>
  <conditionalFormatting sqref="K79">
    <cfRule type="expression" dxfId="1243" priority="561" stopIfTrue="1">
      <formula>AND(I80&gt;3)</formula>
    </cfRule>
  </conditionalFormatting>
  <conditionalFormatting sqref="N14">
    <cfRule type="expression" dxfId="1242" priority="1376" stopIfTrue="1">
      <formula>AND(M16&gt;0)</formula>
    </cfRule>
  </conditionalFormatting>
  <conditionalFormatting sqref="N15">
    <cfRule type="expression" dxfId="1241" priority="1374" stopIfTrue="1">
      <formula>AND(M16&gt;2)</formula>
    </cfRule>
  </conditionalFormatting>
  <conditionalFormatting sqref="N18">
    <cfRule type="expression" dxfId="1240" priority="1300" stopIfTrue="1">
      <formula>AND(M20&gt;0)</formula>
    </cfRule>
  </conditionalFormatting>
  <conditionalFormatting sqref="N19">
    <cfRule type="expression" dxfId="1239" priority="1298" stopIfTrue="1">
      <formula>AND(M20&gt;2)</formula>
    </cfRule>
  </conditionalFormatting>
  <conditionalFormatting sqref="N22">
    <cfRule type="expression" dxfId="1238" priority="1220" stopIfTrue="1">
      <formula>AND(M24&gt;0)</formula>
    </cfRule>
  </conditionalFormatting>
  <conditionalFormatting sqref="N23">
    <cfRule type="expression" dxfId="1237" priority="1218" stopIfTrue="1">
      <formula>AND(M24&gt;2)</formula>
    </cfRule>
  </conditionalFormatting>
  <conditionalFormatting sqref="N26">
    <cfRule type="expression" dxfId="1236" priority="1140" stopIfTrue="1">
      <formula>AND(M28&gt;0)</formula>
    </cfRule>
  </conditionalFormatting>
  <conditionalFormatting sqref="N27">
    <cfRule type="expression" dxfId="1235" priority="1138" stopIfTrue="1">
      <formula>AND(M28&gt;2)</formula>
    </cfRule>
  </conditionalFormatting>
  <conditionalFormatting sqref="N30">
    <cfRule type="expression" dxfId="1234" priority="1060" stopIfTrue="1">
      <formula>AND(M32&gt;0)</formula>
    </cfRule>
  </conditionalFormatting>
  <conditionalFormatting sqref="N31">
    <cfRule type="expression" dxfId="1233" priority="1058" stopIfTrue="1">
      <formula>AND(M32&gt;2)</formula>
    </cfRule>
  </conditionalFormatting>
  <conditionalFormatting sqref="N34">
    <cfRule type="expression" dxfId="1232" priority="980" stopIfTrue="1">
      <formula>AND(M36&gt;0)</formula>
    </cfRule>
  </conditionalFormatting>
  <conditionalFormatting sqref="N35">
    <cfRule type="expression" dxfId="1231" priority="978" stopIfTrue="1">
      <formula>AND(M36&gt;2)</formula>
    </cfRule>
  </conditionalFormatting>
  <conditionalFormatting sqref="N38">
    <cfRule type="expression" dxfId="1230" priority="900" stopIfTrue="1">
      <formula>AND(M40&gt;0)</formula>
    </cfRule>
  </conditionalFormatting>
  <conditionalFormatting sqref="N39">
    <cfRule type="expression" dxfId="1229" priority="898" stopIfTrue="1">
      <formula>AND(M40&gt;2)</formula>
    </cfRule>
  </conditionalFormatting>
  <conditionalFormatting sqref="N42">
    <cfRule type="expression" dxfId="1228" priority="820" stopIfTrue="1">
      <formula>AND(M44&gt;0)</formula>
    </cfRule>
  </conditionalFormatting>
  <conditionalFormatting sqref="N43">
    <cfRule type="expression" dxfId="1227" priority="818" stopIfTrue="1">
      <formula>AND(M44&gt;2)</formula>
    </cfRule>
  </conditionalFormatting>
  <conditionalFormatting sqref="N46">
    <cfRule type="expression" dxfId="1226" priority="740" stopIfTrue="1">
      <formula>AND(M48&gt;0)</formula>
    </cfRule>
  </conditionalFormatting>
  <conditionalFormatting sqref="N47">
    <cfRule type="expression" dxfId="1225" priority="738" stopIfTrue="1">
      <formula>AND(M48&gt;2)</formula>
    </cfRule>
  </conditionalFormatting>
  <conditionalFormatting sqref="N50">
    <cfRule type="expression" dxfId="1224" priority="660" stopIfTrue="1">
      <formula>AND(M52&gt;0)</formula>
    </cfRule>
  </conditionalFormatting>
  <conditionalFormatting sqref="N51">
    <cfRule type="expression" dxfId="1223" priority="658" stopIfTrue="1">
      <formula>AND(M52&gt;2)</formula>
    </cfRule>
  </conditionalFormatting>
  <conditionalFormatting sqref="N54">
    <cfRule type="expression" dxfId="1222" priority="472" stopIfTrue="1">
      <formula>AND(M56&gt;0)</formula>
    </cfRule>
  </conditionalFormatting>
  <conditionalFormatting sqref="N55">
    <cfRule type="expression" dxfId="1221" priority="470" stopIfTrue="1">
      <formula>AND(M56&gt;2)</formula>
    </cfRule>
  </conditionalFormatting>
  <conditionalFormatting sqref="N58">
    <cfRule type="expression" dxfId="1220" priority="392" stopIfTrue="1">
      <formula>AND(M60&gt;0)</formula>
    </cfRule>
  </conditionalFormatting>
  <conditionalFormatting sqref="N59">
    <cfRule type="expression" dxfId="1219" priority="390" stopIfTrue="1">
      <formula>AND(M60&gt;2)</formula>
    </cfRule>
  </conditionalFormatting>
  <conditionalFormatting sqref="N62">
    <cfRule type="expression" dxfId="1218" priority="152" stopIfTrue="1">
      <formula>AND(M64&gt;0)</formula>
    </cfRule>
  </conditionalFormatting>
  <conditionalFormatting sqref="N63">
    <cfRule type="expression" dxfId="1217" priority="150" stopIfTrue="1">
      <formula>AND(M64&gt;2)</formula>
    </cfRule>
  </conditionalFormatting>
  <conditionalFormatting sqref="N66">
    <cfRule type="expression" dxfId="1216" priority="232" stopIfTrue="1">
      <formula>AND(M68&gt;0)</formula>
    </cfRule>
  </conditionalFormatting>
  <conditionalFormatting sqref="N67">
    <cfRule type="expression" dxfId="1215" priority="230" stopIfTrue="1">
      <formula>AND(M68&gt;2)</formula>
    </cfRule>
  </conditionalFormatting>
  <conditionalFormatting sqref="N70">
    <cfRule type="expression" dxfId="1214" priority="312" stopIfTrue="1">
      <formula>AND(M72&gt;0)</formula>
    </cfRule>
  </conditionalFormatting>
  <conditionalFormatting sqref="N71">
    <cfRule type="expression" dxfId="1213" priority="310" stopIfTrue="1">
      <formula>AND(M72&gt;2)</formula>
    </cfRule>
  </conditionalFormatting>
  <conditionalFormatting sqref="N74">
    <cfRule type="expression" dxfId="1212" priority="72" stopIfTrue="1">
      <formula>AND(M76&gt;0)</formula>
    </cfRule>
  </conditionalFormatting>
  <conditionalFormatting sqref="N75">
    <cfRule type="expression" dxfId="1211" priority="70" stopIfTrue="1">
      <formula>AND(M76&gt;2)</formula>
    </cfRule>
  </conditionalFormatting>
  <conditionalFormatting sqref="N78">
    <cfRule type="expression" dxfId="1210" priority="560" stopIfTrue="1">
      <formula>AND(M80&gt;0)</formula>
    </cfRule>
  </conditionalFormatting>
  <conditionalFormatting sqref="N79">
    <cfRule type="expression" dxfId="1209" priority="558" stopIfTrue="1">
      <formula>AND(M80&gt;2)</formula>
    </cfRule>
  </conditionalFormatting>
  <conditionalFormatting sqref="O14">
    <cfRule type="expression" dxfId="1208" priority="1375" stopIfTrue="1">
      <formula>AND(M16&gt;1)</formula>
    </cfRule>
  </conditionalFormatting>
  <conditionalFormatting sqref="O15">
    <cfRule type="expression" dxfId="1207" priority="1373" stopIfTrue="1">
      <formula>AND(M16&gt;3)</formula>
    </cfRule>
  </conditionalFormatting>
  <conditionalFormatting sqref="O18">
    <cfRule type="expression" dxfId="1206" priority="1299" stopIfTrue="1">
      <formula>AND(M20&gt;1)</formula>
    </cfRule>
  </conditionalFormatting>
  <conditionalFormatting sqref="O19">
    <cfRule type="expression" dxfId="1205" priority="1297" stopIfTrue="1">
      <formula>AND(M20&gt;3)</formula>
    </cfRule>
  </conditionalFormatting>
  <conditionalFormatting sqref="O22">
    <cfRule type="expression" dxfId="1204" priority="1219" stopIfTrue="1">
      <formula>AND(M24&gt;1)</formula>
    </cfRule>
  </conditionalFormatting>
  <conditionalFormatting sqref="O23">
    <cfRule type="expression" dxfId="1203" priority="1217" stopIfTrue="1">
      <formula>AND(M24&gt;3)</formula>
    </cfRule>
  </conditionalFormatting>
  <conditionalFormatting sqref="O26">
    <cfRule type="expression" dxfId="1202" priority="1139" stopIfTrue="1">
      <formula>AND(M28&gt;1)</formula>
    </cfRule>
  </conditionalFormatting>
  <conditionalFormatting sqref="O27">
    <cfRule type="expression" dxfId="1201" priority="1137" stopIfTrue="1">
      <formula>AND(M28&gt;3)</formula>
    </cfRule>
  </conditionalFormatting>
  <conditionalFormatting sqref="O30">
    <cfRule type="expression" dxfId="1200" priority="1059" stopIfTrue="1">
      <formula>AND(M32&gt;1)</formula>
    </cfRule>
  </conditionalFormatting>
  <conditionalFormatting sqref="O31">
    <cfRule type="expression" dxfId="1199" priority="1057" stopIfTrue="1">
      <formula>AND(M32&gt;3)</formula>
    </cfRule>
  </conditionalFormatting>
  <conditionalFormatting sqref="O34">
    <cfRule type="expression" dxfId="1198" priority="979" stopIfTrue="1">
      <formula>AND(M36&gt;1)</formula>
    </cfRule>
  </conditionalFormatting>
  <conditionalFormatting sqref="O35">
    <cfRule type="expression" dxfId="1197" priority="977" stopIfTrue="1">
      <formula>AND(M36&gt;3)</formula>
    </cfRule>
  </conditionalFormatting>
  <conditionalFormatting sqref="O38">
    <cfRule type="expression" dxfId="1196" priority="899" stopIfTrue="1">
      <formula>AND(M40&gt;1)</formula>
    </cfRule>
  </conditionalFormatting>
  <conditionalFormatting sqref="O39">
    <cfRule type="expression" dxfId="1195" priority="897" stopIfTrue="1">
      <formula>AND(M40&gt;3)</formula>
    </cfRule>
  </conditionalFormatting>
  <conditionalFormatting sqref="O42">
    <cfRule type="expression" dxfId="1194" priority="819" stopIfTrue="1">
      <formula>AND(M44&gt;1)</formula>
    </cfRule>
  </conditionalFormatting>
  <conditionalFormatting sqref="O43">
    <cfRule type="expression" dxfId="1193" priority="817" stopIfTrue="1">
      <formula>AND(M44&gt;3)</formula>
    </cfRule>
  </conditionalFormatting>
  <conditionalFormatting sqref="O46">
    <cfRule type="expression" dxfId="1192" priority="739" stopIfTrue="1">
      <formula>AND(M48&gt;1)</formula>
    </cfRule>
  </conditionalFormatting>
  <conditionalFormatting sqref="O47">
    <cfRule type="expression" dxfId="1191" priority="737" stopIfTrue="1">
      <formula>AND(M48&gt;3)</formula>
    </cfRule>
  </conditionalFormatting>
  <conditionalFormatting sqref="O50">
    <cfRule type="expression" dxfId="1190" priority="659" stopIfTrue="1">
      <formula>AND(M52&gt;1)</formula>
    </cfRule>
  </conditionalFormatting>
  <conditionalFormatting sqref="O51">
    <cfRule type="expression" dxfId="1189" priority="657" stopIfTrue="1">
      <formula>AND(M52&gt;3)</formula>
    </cfRule>
  </conditionalFormatting>
  <conditionalFormatting sqref="O54">
    <cfRule type="expression" dxfId="1188" priority="471" stopIfTrue="1">
      <formula>AND(M56&gt;1)</formula>
    </cfRule>
  </conditionalFormatting>
  <conditionalFormatting sqref="O55">
    <cfRule type="expression" dxfId="1187" priority="469" stopIfTrue="1">
      <formula>AND(M56&gt;3)</formula>
    </cfRule>
  </conditionalFormatting>
  <conditionalFormatting sqref="O58">
    <cfRule type="expression" dxfId="1186" priority="391" stopIfTrue="1">
      <formula>AND(M60&gt;1)</formula>
    </cfRule>
  </conditionalFormatting>
  <conditionalFormatting sqref="O59">
    <cfRule type="expression" dxfId="1185" priority="389" stopIfTrue="1">
      <formula>AND(M60&gt;3)</formula>
    </cfRule>
  </conditionalFormatting>
  <conditionalFormatting sqref="O62">
    <cfRule type="expression" dxfId="1184" priority="151" stopIfTrue="1">
      <formula>AND(M64&gt;1)</formula>
    </cfRule>
  </conditionalFormatting>
  <conditionalFormatting sqref="O63">
    <cfRule type="expression" dxfId="1183" priority="149" stopIfTrue="1">
      <formula>AND(M64&gt;3)</formula>
    </cfRule>
  </conditionalFormatting>
  <conditionalFormatting sqref="O66">
    <cfRule type="expression" dxfId="1182" priority="231" stopIfTrue="1">
      <formula>AND(M68&gt;1)</formula>
    </cfRule>
  </conditionalFormatting>
  <conditionalFormatting sqref="O67">
    <cfRule type="expression" dxfId="1181" priority="229" stopIfTrue="1">
      <formula>AND(M68&gt;3)</formula>
    </cfRule>
  </conditionalFormatting>
  <conditionalFormatting sqref="O70">
    <cfRule type="expression" dxfId="1180" priority="311" stopIfTrue="1">
      <formula>AND(M72&gt;1)</formula>
    </cfRule>
  </conditionalFormatting>
  <conditionalFormatting sqref="O71">
    <cfRule type="expression" dxfId="1179" priority="309" stopIfTrue="1">
      <formula>AND(M72&gt;3)</formula>
    </cfRule>
  </conditionalFormatting>
  <conditionalFormatting sqref="O74">
    <cfRule type="expression" dxfId="1178" priority="71" stopIfTrue="1">
      <formula>AND(M76&gt;1)</formula>
    </cfRule>
  </conditionalFormatting>
  <conditionalFormatting sqref="O75">
    <cfRule type="expression" dxfId="1177" priority="69" stopIfTrue="1">
      <formula>AND(M76&gt;3)</formula>
    </cfRule>
  </conditionalFormatting>
  <conditionalFormatting sqref="O78">
    <cfRule type="expression" dxfId="1176" priority="559" stopIfTrue="1">
      <formula>AND(M80&gt;1)</formula>
    </cfRule>
  </conditionalFormatting>
  <conditionalFormatting sqref="O79">
    <cfRule type="expression" dxfId="1175" priority="557" stopIfTrue="1">
      <formula>AND(M80&gt;3)</formula>
    </cfRule>
  </conditionalFormatting>
  <conditionalFormatting sqref="R14">
    <cfRule type="expression" dxfId="1174" priority="1372" stopIfTrue="1">
      <formula>AND(Q16&gt;0)</formula>
    </cfRule>
  </conditionalFormatting>
  <conditionalFormatting sqref="R15">
    <cfRule type="expression" dxfId="1173" priority="1370" stopIfTrue="1">
      <formula>AND(Q16&gt;2)</formula>
    </cfRule>
  </conditionalFormatting>
  <conditionalFormatting sqref="R18">
    <cfRule type="expression" dxfId="1172" priority="1296" stopIfTrue="1">
      <formula>AND(Q20&gt;0)</formula>
    </cfRule>
  </conditionalFormatting>
  <conditionalFormatting sqref="R19">
    <cfRule type="expression" dxfId="1171" priority="1294" stopIfTrue="1">
      <formula>AND(Q20&gt;2)</formula>
    </cfRule>
  </conditionalFormatting>
  <conditionalFormatting sqref="R22">
    <cfRule type="expression" dxfId="1170" priority="1216" stopIfTrue="1">
      <formula>AND(Q24&gt;0)</formula>
    </cfRule>
  </conditionalFormatting>
  <conditionalFormatting sqref="R23">
    <cfRule type="expression" dxfId="1169" priority="1214" stopIfTrue="1">
      <formula>AND(Q24&gt;2)</formula>
    </cfRule>
  </conditionalFormatting>
  <conditionalFormatting sqref="R26">
    <cfRule type="expression" dxfId="1168" priority="1136" stopIfTrue="1">
      <formula>AND(Q28&gt;0)</formula>
    </cfRule>
  </conditionalFormatting>
  <conditionalFormatting sqref="R27">
    <cfRule type="expression" dxfId="1167" priority="1134" stopIfTrue="1">
      <formula>AND(Q28&gt;2)</formula>
    </cfRule>
  </conditionalFormatting>
  <conditionalFormatting sqref="R30">
    <cfRule type="expression" dxfId="1166" priority="1056" stopIfTrue="1">
      <formula>AND(Q32&gt;0)</formula>
    </cfRule>
  </conditionalFormatting>
  <conditionalFormatting sqref="R31">
    <cfRule type="expression" dxfId="1165" priority="1054" stopIfTrue="1">
      <formula>AND(Q32&gt;2)</formula>
    </cfRule>
  </conditionalFormatting>
  <conditionalFormatting sqref="R34">
    <cfRule type="expression" dxfId="1164" priority="976" stopIfTrue="1">
      <formula>AND(Q36&gt;0)</formula>
    </cfRule>
  </conditionalFormatting>
  <conditionalFormatting sqref="R35">
    <cfRule type="expression" dxfId="1163" priority="974" stopIfTrue="1">
      <formula>AND(Q36&gt;2)</formula>
    </cfRule>
  </conditionalFormatting>
  <conditionalFormatting sqref="R38">
    <cfRule type="expression" dxfId="1162" priority="896" stopIfTrue="1">
      <formula>AND(Q40&gt;0)</formula>
    </cfRule>
  </conditionalFormatting>
  <conditionalFormatting sqref="R39">
    <cfRule type="expression" dxfId="1161" priority="894" stopIfTrue="1">
      <formula>AND(Q40&gt;2)</formula>
    </cfRule>
  </conditionalFormatting>
  <conditionalFormatting sqref="R42">
    <cfRule type="expression" dxfId="1160" priority="816" stopIfTrue="1">
      <formula>AND(Q44&gt;0)</formula>
    </cfRule>
  </conditionalFormatting>
  <conditionalFormatting sqref="R43">
    <cfRule type="expression" dxfId="1159" priority="814" stopIfTrue="1">
      <formula>AND(Q44&gt;2)</formula>
    </cfRule>
  </conditionalFormatting>
  <conditionalFormatting sqref="R46">
    <cfRule type="expression" dxfId="1158" priority="736" stopIfTrue="1">
      <formula>AND(Q48&gt;0)</formula>
    </cfRule>
  </conditionalFormatting>
  <conditionalFormatting sqref="R47">
    <cfRule type="expression" dxfId="1157" priority="734" stopIfTrue="1">
      <formula>AND(Q48&gt;2)</formula>
    </cfRule>
  </conditionalFormatting>
  <conditionalFormatting sqref="R50">
    <cfRule type="expression" dxfId="1156" priority="656" stopIfTrue="1">
      <formula>AND(Q52&gt;0)</formula>
    </cfRule>
  </conditionalFormatting>
  <conditionalFormatting sqref="R51">
    <cfRule type="expression" dxfId="1155" priority="654" stopIfTrue="1">
      <formula>AND(Q52&gt;2)</formula>
    </cfRule>
  </conditionalFormatting>
  <conditionalFormatting sqref="R54">
    <cfRule type="expression" dxfId="1154" priority="468" stopIfTrue="1">
      <formula>AND(Q56&gt;0)</formula>
    </cfRule>
  </conditionalFormatting>
  <conditionalFormatting sqref="R55">
    <cfRule type="expression" dxfId="1153" priority="466" stopIfTrue="1">
      <formula>AND(Q56&gt;2)</formula>
    </cfRule>
  </conditionalFormatting>
  <conditionalFormatting sqref="R58">
    <cfRule type="expression" dxfId="1152" priority="388" stopIfTrue="1">
      <formula>AND(Q60&gt;0)</formula>
    </cfRule>
  </conditionalFormatting>
  <conditionalFormatting sqref="R59">
    <cfRule type="expression" dxfId="1151" priority="386" stopIfTrue="1">
      <formula>AND(Q60&gt;2)</formula>
    </cfRule>
  </conditionalFormatting>
  <conditionalFormatting sqref="R62">
    <cfRule type="expression" dxfId="1150" priority="148" stopIfTrue="1">
      <formula>AND(Q64&gt;0)</formula>
    </cfRule>
  </conditionalFormatting>
  <conditionalFormatting sqref="R63">
    <cfRule type="expression" dxfId="1149" priority="146" stopIfTrue="1">
      <formula>AND(Q64&gt;2)</formula>
    </cfRule>
  </conditionalFormatting>
  <conditionalFormatting sqref="R66">
    <cfRule type="expression" dxfId="1148" priority="228" stopIfTrue="1">
      <formula>AND(Q68&gt;0)</formula>
    </cfRule>
  </conditionalFormatting>
  <conditionalFormatting sqref="R67">
    <cfRule type="expression" dxfId="1147" priority="226" stopIfTrue="1">
      <formula>AND(Q68&gt;2)</formula>
    </cfRule>
  </conditionalFormatting>
  <conditionalFormatting sqref="R70">
    <cfRule type="expression" dxfId="1146" priority="308" stopIfTrue="1">
      <formula>AND(Q72&gt;0)</formula>
    </cfRule>
  </conditionalFormatting>
  <conditionalFormatting sqref="R71">
    <cfRule type="expression" dxfId="1145" priority="306" stopIfTrue="1">
      <formula>AND(Q72&gt;2)</formula>
    </cfRule>
  </conditionalFormatting>
  <conditionalFormatting sqref="R74">
    <cfRule type="expression" dxfId="1144" priority="68" stopIfTrue="1">
      <formula>AND(Q76&gt;0)</formula>
    </cfRule>
  </conditionalFormatting>
  <conditionalFormatting sqref="R75">
    <cfRule type="expression" dxfId="1143" priority="66" stopIfTrue="1">
      <formula>AND(Q76&gt;2)</formula>
    </cfRule>
  </conditionalFormatting>
  <conditionalFormatting sqref="R78">
    <cfRule type="expression" dxfId="1142" priority="556" stopIfTrue="1">
      <formula>AND(Q80&gt;0)</formula>
    </cfRule>
  </conditionalFormatting>
  <conditionalFormatting sqref="R79">
    <cfRule type="expression" dxfId="1141" priority="554" stopIfTrue="1">
      <formula>AND(Q80&gt;2)</formula>
    </cfRule>
  </conditionalFormatting>
  <conditionalFormatting sqref="S14">
    <cfRule type="expression" dxfId="1140" priority="1371" stopIfTrue="1">
      <formula>AND(Q16&gt;1)</formula>
    </cfRule>
  </conditionalFormatting>
  <conditionalFormatting sqref="S15">
    <cfRule type="expression" dxfId="1139" priority="1369" stopIfTrue="1">
      <formula>AND(Q16&gt;3)</formula>
    </cfRule>
  </conditionalFormatting>
  <conditionalFormatting sqref="S18">
    <cfRule type="expression" dxfId="1138" priority="1295" stopIfTrue="1">
      <formula>AND(Q20&gt;1)</formula>
    </cfRule>
  </conditionalFormatting>
  <conditionalFormatting sqref="S19">
    <cfRule type="expression" dxfId="1137" priority="1293" stopIfTrue="1">
      <formula>AND(Q20&gt;3)</formula>
    </cfRule>
  </conditionalFormatting>
  <conditionalFormatting sqref="S22">
    <cfRule type="expression" dxfId="1136" priority="1215" stopIfTrue="1">
      <formula>AND(Q24&gt;1)</formula>
    </cfRule>
  </conditionalFormatting>
  <conditionalFormatting sqref="S23">
    <cfRule type="expression" dxfId="1135" priority="1213" stopIfTrue="1">
      <formula>AND(Q24&gt;3)</formula>
    </cfRule>
  </conditionalFormatting>
  <conditionalFormatting sqref="S26">
    <cfRule type="expression" dxfId="1134" priority="1135" stopIfTrue="1">
      <formula>AND(Q28&gt;1)</formula>
    </cfRule>
  </conditionalFormatting>
  <conditionalFormatting sqref="S27">
    <cfRule type="expression" dxfId="1133" priority="1133" stopIfTrue="1">
      <formula>AND(Q28&gt;3)</formula>
    </cfRule>
  </conditionalFormatting>
  <conditionalFormatting sqref="S30">
    <cfRule type="expression" dxfId="1132" priority="1055" stopIfTrue="1">
      <formula>AND(Q32&gt;1)</formula>
    </cfRule>
  </conditionalFormatting>
  <conditionalFormatting sqref="S31">
    <cfRule type="expression" dxfId="1131" priority="1053" stopIfTrue="1">
      <formula>AND(Q32&gt;3)</formula>
    </cfRule>
  </conditionalFormatting>
  <conditionalFormatting sqref="S34">
    <cfRule type="expression" dxfId="1130" priority="975" stopIfTrue="1">
      <formula>AND(Q36&gt;1)</formula>
    </cfRule>
  </conditionalFormatting>
  <conditionalFormatting sqref="S35">
    <cfRule type="expression" dxfId="1129" priority="973" stopIfTrue="1">
      <formula>AND(Q36&gt;3)</formula>
    </cfRule>
  </conditionalFormatting>
  <conditionalFormatting sqref="S38">
    <cfRule type="expression" dxfId="1128" priority="895" stopIfTrue="1">
      <formula>AND(Q40&gt;1)</formula>
    </cfRule>
  </conditionalFormatting>
  <conditionalFormatting sqref="S39">
    <cfRule type="expression" dxfId="1127" priority="893" stopIfTrue="1">
      <formula>AND(Q40&gt;3)</formula>
    </cfRule>
  </conditionalFormatting>
  <conditionalFormatting sqref="S42">
    <cfRule type="expression" dxfId="1126" priority="815" stopIfTrue="1">
      <formula>AND(Q44&gt;1)</formula>
    </cfRule>
  </conditionalFormatting>
  <conditionalFormatting sqref="S43">
    <cfRule type="expression" dxfId="1125" priority="813" stopIfTrue="1">
      <formula>AND(Q44&gt;3)</formula>
    </cfRule>
  </conditionalFormatting>
  <conditionalFormatting sqref="S46">
    <cfRule type="expression" dxfId="1124" priority="735" stopIfTrue="1">
      <formula>AND(Q48&gt;1)</formula>
    </cfRule>
  </conditionalFormatting>
  <conditionalFormatting sqref="S47">
    <cfRule type="expression" dxfId="1123" priority="733" stopIfTrue="1">
      <formula>AND(Q48&gt;3)</formula>
    </cfRule>
  </conditionalFormatting>
  <conditionalFormatting sqref="S50">
    <cfRule type="expression" dxfId="1122" priority="655" stopIfTrue="1">
      <formula>AND(Q52&gt;1)</formula>
    </cfRule>
  </conditionalFormatting>
  <conditionalFormatting sqref="S51">
    <cfRule type="expression" dxfId="1121" priority="653" stopIfTrue="1">
      <formula>AND(Q52&gt;3)</formula>
    </cfRule>
  </conditionalFormatting>
  <conditionalFormatting sqref="S54">
    <cfRule type="expression" dxfId="1120" priority="467" stopIfTrue="1">
      <formula>AND(Q56&gt;1)</formula>
    </cfRule>
  </conditionalFormatting>
  <conditionalFormatting sqref="S55">
    <cfRule type="expression" dxfId="1119" priority="465" stopIfTrue="1">
      <formula>AND(Q56&gt;3)</formula>
    </cfRule>
  </conditionalFormatting>
  <conditionalFormatting sqref="S58">
    <cfRule type="expression" dxfId="1118" priority="387" stopIfTrue="1">
      <formula>AND(Q60&gt;1)</formula>
    </cfRule>
  </conditionalFormatting>
  <conditionalFormatting sqref="S59">
    <cfRule type="expression" dxfId="1117" priority="385" stopIfTrue="1">
      <formula>AND(Q60&gt;3)</formula>
    </cfRule>
  </conditionalFormatting>
  <conditionalFormatting sqref="S62">
    <cfRule type="expression" dxfId="1116" priority="147" stopIfTrue="1">
      <formula>AND(Q64&gt;1)</formula>
    </cfRule>
  </conditionalFormatting>
  <conditionalFormatting sqref="S63">
    <cfRule type="expression" dxfId="1115" priority="145" stopIfTrue="1">
      <formula>AND(Q64&gt;3)</formula>
    </cfRule>
  </conditionalFormatting>
  <conditionalFormatting sqref="S66">
    <cfRule type="expression" dxfId="1114" priority="227" stopIfTrue="1">
      <formula>AND(Q68&gt;1)</formula>
    </cfRule>
  </conditionalFormatting>
  <conditionalFormatting sqref="S67">
    <cfRule type="expression" dxfId="1113" priority="225" stopIfTrue="1">
      <formula>AND(Q68&gt;3)</formula>
    </cfRule>
  </conditionalFormatting>
  <conditionalFormatting sqref="S70">
    <cfRule type="expression" dxfId="1112" priority="307" stopIfTrue="1">
      <formula>AND(Q72&gt;1)</formula>
    </cfRule>
  </conditionalFormatting>
  <conditionalFormatting sqref="S71">
    <cfRule type="expression" dxfId="1111" priority="305" stopIfTrue="1">
      <formula>AND(Q72&gt;3)</formula>
    </cfRule>
  </conditionalFormatting>
  <conditionalFormatting sqref="S74">
    <cfRule type="expression" dxfId="1110" priority="67" stopIfTrue="1">
      <formula>AND(Q76&gt;1)</formula>
    </cfRule>
  </conditionalFormatting>
  <conditionalFormatting sqref="S75">
    <cfRule type="expression" dxfId="1109" priority="65" stopIfTrue="1">
      <formula>AND(Q76&gt;3)</formula>
    </cfRule>
  </conditionalFormatting>
  <conditionalFormatting sqref="S78">
    <cfRule type="expression" dxfId="1108" priority="555" stopIfTrue="1">
      <formula>AND(Q80&gt;1)</formula>
    </cfRule>
  </conditionalFormatting>
  <conditionalFormatting sqref="S79">
    <cfRule type="expression" dxfId="1107" priority="553" stopIfTrue="1">
      <formula>AND(Q80&gt;3)</formula>
    </cfRule>
  </conditionalFormatting>
  <conditionalFormatting sqref="V6">
    <cfRule type="expression" dxfId="1106" priority="584" stopIfTrue="1">
      <formula>AND(U8&gt;0)</formula>
    </cfRule>
  </conditionalFormatting>
  <conditionalFormatting sqref="V7">
    <cfRule type="expression" dxfId="1105" priority="582" stopIfTrue="1">
      <formula>AND(U8&gt;2)</formula>
    </cfRule>
  </conditionalFormatting>
  <conditionalFormatting sqref="V14">
    <cfRule type="expression" dxfId="1104" priority="1368" stopIfTrue="1">
      <formula>AND(U16&gt;0)</formula>
    </cfRule>
  </conditionalFormatting>
  <conditionalFormatting sqref="V15">
    <cfRule type="expression" dxfId="1103" priority="1366" stopIfTrue="1">
      <formula>AND(U16&gt;2)</formula>
    </cfRule>
  </conditionalFormatting>
  <conditionalFormatting sqref="V18">
    <cfRule type="expression" dxfId="1102" priority="1292" stopIfTrue="1">
      <formula>AND(U20&gt;0)</formula>
    </cfRule>
  </conditionalFormatting>
  <conditionalFormatting sqref="V19">
    <cfRule type="expression" dxfId="1101" priority="1290" stopIfTrue="1">
      <formula>AND(U20&gt;2)</formula>
    </cfRule>
  </conditionalFormatting>
  <conditionalFormatting sqref="V22">
    <cfRule type="expression" dxfId="1100" priority="1212" stopIfTrue="1">
      <formula>AND(U24&gt;0)</formula>
    </cfRule>
  </conditionalFormatting>
  <conditionalFormatting sqref="V23">
    <cfRule type="expression" dxfId="1099" priority="1210" stopIfTrue="1">
      <formula>AND(U24&gt;2)</formula>
    </cfRule>
  </conditionalFormatting>
  <conditionalFormatting sqref="V26">
    <cfRule type="expression" dxfId="1098" priority="1132" stopIfTrue="1">
      <formula>AND(U28&gt;0)</formula>
    </cfRule>
  </conditionalFormatting>
  <conditionalFormatting sqref="V27">
    <cfRule type="expression" dxfId="1097" priority="1130" stopIfTrue="1">
      <formula>AND(U28&gt;2)</formula>
    </cfRule>
  </conditionalFormatting>
  <conditionalFormatting sqref="V30">
    <cfRule type="expression" dxfId="1096" priority="1052" stopIfTrue="1">
      <formula>AND(U32&gt;0)</formula>
    </cfRule>
  </conditionalFormatting>
  <conditionalFormatting sqref="V31">
    <cfRule type="expression" dxfId="1095" priority="1050" stopIfTrue="1">
      <formula>AND(U32&gt;2)</formula>
    </cfRule>
  </conditionalFormatting>
  <conditionalFormatting sqref="V34">
    <cfRule type="expression" dxfId="1094" priority="972" stopIfTrue="1">
      <formula>AND(U36&gt;0)</formula>
    </cfRule>
  </conditionalFormatting>
  <conditionalFormatting sqref="V35">
    <cfRule type="expression" dxfId="1093" priority="970" stopIfTrue="1">
      <formula>AND(U36&gt;2)</formula>
    </cfRule>
  </conditionalFormatting>
  <conditionalFormatting sqref="V38">
    <cfRule type="expression" dxfId="1092" priority="892" stopIfTrue="1">
      <formula>AND(U40&gt;0)</formula>
    </cfRule>
  </conditionalFormatting>
  <conditionalFormatting sqref="V39">
    <cfRule type="expression" dxfId="1091" priority="890" stopIfTrue="1">
      <formula>AND(U40&gt;2)</formula>
    </cfRule>
  </conditionalFormatting>
  <conditionalFormatting sqref="V42">
    <cfRule type="expression" dxfId="1090" priority="812" stopIfTrue="1">
      <formula>AND(U44&gt;0)</formula>
    </cfRule>
  </conditionalFormatting>
  <conditionalFormatting sqref="V43">
    <cfRule type="expression" dxfId="1089" priority="810" stopIfTrue="1">
      <formula>AND(U44&gt;2)</formula>
    </cfRule>
  </conditionalFormatting>
  <conditionalFormatting sqref="V46">
    <cfRule type="expression" dxfId="1088" priority="732" stopIfTrue="1">
      <formula>AND(U48&gt;0)</formula>
    </cfRule>
  </conditionalFormatting>
  <conditionalFormatting sqref="V47">
    <cfRule type="expression" dxfId="1087" priority="730" stopIfTrue="1">
      <formula>AND(U48&gt;2)</formula>
    </cfRule>
  </conditionalFormatting>
  <conditionalFormatting sqref="V50">
    <cfRule type="expression" dxfId="1086" priority="652" stopIfTrue="1">
      <formula>AND(U52&gt;0)</formula>
    </cfRule>
  </conditionalFormatting>
  <conditionalFormatting sqref="V51">
    <cfRule type="expression" dxfId="1085" priority="650" stopIfTrue="1">
      <formula>AND(U52&gt;2)</formula>
    </cfRule>
  </conditionalFormatting>
  <conditionalFormatting sqref="V54">
    <cfRule type="expression" dxfId="1084" priority="464" stopIfTrue="1">
      <formula>AND(U56&gt;0)</formula>
    </cfRule>
  </conditionalFormatting>
  <conditionalFormatting sqref="V55">
    <cfRule type="expression" dxfId="1083" priority="462" stopIfTrue="1">
      <formula>AND(U56&gt;2)</formula>
    </cfRule>
  </conditionalFormatting>
  <conditionalFormatting sqref="V58">
    <cfRule type="expression" dxfId="1082" priority="384" stopIfTrue="1">
      <formula>AND(U60&gt;0)</formula>
    </cfRule>
  </conditionalFormatting>
  <conditionalFormatting sqref="V59">
    <cfRule type="expression" dxfId="1081" priority="382" stopIfTrue="1">
      <formula>AND(U60&gt;2)</formula>
    </cfRule>
  </conditionalFormatting>
  <conditionalFormatting sqref="V62">
    <cfRule type="expression" dxfId="1080" priority="144" stopIfTrue="1">
      <formula>AND(U64&gt;0)</formula>
    </cfRule>
  </conditionalFormatting>
  <conditionalFormatting sqref="V63">
    <cfRule type="expression" dxfId="1079" priority="142" stopIfTrue="1">
      <formula>AND(U64&gt;2)</formula>
    </cfRule>
  </conditionalFormatting>
  <conditionalFormatting sqref="V66">
    <cfRule type="expression" dxfId="1078" priority="224" stopIfTrue="1">
      <formula>AND(U68&gt;0)</formula>
    </cfRule>
  </conditionalFormatting>
  <conditionalFormatting sqref="V67">
    <cfRule type="expression" dxfId="1077" priority="222" stopIfTrue="1">
      <formula>AND(U68&gt;2)</formula>
    </cfRule>
  </conditionalFormatting>
  <conditionalFormatting sqref="V70">
    <cfRule type="expression" dxfId="1076" priority="304" stopIfTrue="1">
      <formula>AND(U72&gt;0)</formula>
    </cfRule>
  </conditionalFormatting>
  <conditionalFormatting sqref="V71">
    <cfRule type="expression" dxfId="1075" priority="302" stopIfTrue="1">
      <formula>AND(U72&gt;2)</formula>
    </cfRule>
  </conditionalFormatting>
  <conditionalFormatting sqref="V74">
    <cfRule type="expression" dxfId="1074" priority="64" stopIfTrue="1">
      <formula>AND(U76&gt;0)</formula>
    </cfRule>
  </conditionalFormatting>
  <conditionalFormatting sqref="V75">
    <cfRule type="expression" dxfId="1073" priority="62" stopIfTrue="1">
      <formula>AND(U76&gt;2)</formula>
    </cfRule>
  </conditionalFormatting>
  <conditionalFormatting sqref="V78">
    <cfRule type="expression" dxfId="1072" priority="552" stopIfTrue="1">
      <formula>AND(U80&gt;0)</formula>
    </cfRule>
  </conditionalFormatting>
  <conditionalFormatting sqref="V79">
    <cfRule type="expression" dxfId="1071" priority="550" stopIfTrue="1">
      <formula>AND(U80&gt;2)</formula>
    </cfRule>
  </conditionalFormatting>
  <conditionalFormatting sqref="W6">
    <cfRule type="expression" dxfId="1070" priority="583" stopIfTrue="1">
      <formula>AND(U8&gt;1)</formula>
    </cfRule>
  </conditionalFormatting>
  <conditionalFormatting sqref="W7">
    <cfRule type="expression" dxfId="1069" priority="581" stopIfTrue="1">
      <formula>AND(U8&gt;3)</formula>
    </cfRule>
  </conditionalFormatting>
  <conditionalFormatting sqref="W14">
    <cfRule type="expression" dxfId="1068" priority="1367" stopIfTrue="1">
      <formula>AND(U16&gt;1)</formula>
    </cfRule>
  </conditionalFormatting>
  <conditionalFormatting sqref="W15">
    <cfRule type="expression" dxfId="1067" priority="1365" stopIfTrue="1">
      <formula>AND(U16&gt;3)</formula>
    </cfRule>
  </conditionalFormatting>
  <conditionalFormatting sqref="W18">
    <cfRule type="expression" dxfId="1066" priority="1291" stopIfTrue="1">
      <formula>AND(U20&gt;1)</formula>
    </cfRule>
  </conditionalFormatting>
  <conditionalFormatting sqref="W19">
    <cfRule type="expression" dxfId="1065" priority="1289" stopIfTrue="1">
      <formula>AND(U20&gt;3)</formula>
    </cfRule>
  </conditionalFormatting>
  <conditionalFormatting sqref="W22">
    <cfRule type="expression" dxfId="1064" priority="1211" stopIfTrue="1">
      <formula>AND(U24&gt;1)</formula>
    </cfRule>
  </conditionalFormatting>
  <conditionalFormatting sqref="W23">
    <cfRule type="expression" dxfId="1063" priority="1209" stopIfTrue="1">
      <formula>AND(U24&gt;3)</formula>
    </cfRule>
  </conditionalFormatting>
  <conditionalFormatting sqref="W26">
    <cfRule type="expression" dxfId="1062" priority="1131" stopIfTrue="1">
      <formula>AND(U28&gt;1)</formula>
    </cfRule>
  </conditionalFormatting>
  <conditionalFormatting sqref="W27">
    <cfRule type="expression" dxfId="1061" priority="1129" stopIfTrue="1">
      <formula>AND(U28&gt;3)</formula>
    </cfRule>
  </conditionalFormatting>
  <conditionalFormatting sqref="W30">
    <cfRule type="expression" dxfId="1060" priority="1051" stopIfTrue="1">
      <formula>AND(U32&gt;1)</formula>
    </cfRule>
  </conditionalFormatting>
  <conditionalFormatting sqref="W31">
    <cfRule type="expression" dxfId="1059" priority="1049" stopIfTrue="1">
      <formula>AND(U32&gt;3)</formula>
    </cfRule>
  </conditionalFormatting>
  <conditionalFormatting sqref="W34">
    <cfRule type="expression" dxfId="1058" priority="971" stopIfTrue="1">
      <formula>AND(U36&gt;1)</formula>
    </cfRule>
  </conditionalFormatting>
  <conditionalFormatting sqref="W35">
    <cfRule type="expression" dxfId="1057" priority="969" stopIfTrue="1">
      <formula>AND(U36&gt;3)</formula>
    </cfRule>
  </conditionalFormatting>
  <conditionalFormatting sqref="W38">
    <cfRule type="expression" dxfId="1056" priority="891" stopIfTrue="1">
      <formula>AND(U40&gt;1)</formula>
    </cfRule>
  </conditionalFormatting>
  <conditionalFormatting sqref="W39">
    <cfRule type="expression" dxfId="1055" priority="889" stopIfTrue="1">
      <formula>AND(U40&gt;3)</formula>
    </cfRule>
  </conditionalFormatting>
  <conditionalFormatting sqref="W42">
    <cfRule type="expression" dxfId="1054" priority="811" stopIfTrue="1">
      <formula>AND(U44&gt;1)</formula>
    </cfRule>
  </conditionalFormatting>
  <conditionalFormatting sqref="W43">
    <cfRule type="expression" dxfId="1053" priority="809" stopIfTrue="1">
      <formula>AND(U44&gt;3)</formula>
    </cfRule>
  </conditionalFormatting>
  <conditionalFormatting sqref="W46">
    <cfRule type="expression" dxfId="1052" priority="731" stopIfTrue="1">
      <formula>AND(U48&gt;1)</formula>
    </cfRule>
  </conditionalFormatting>
  <conditionalFormatting sqref="W47">
    <cfRule type="expression" dxfId="1051" priority="729" stopIfTrue="1">
      <formula>AND(U48&gt;3)</formula>
    </cfRule>
  </conditionalFormatting>
  <conditionalFormatting sqref="W50">
    <cfRule type="expression" dxfId="1050" priority="651" stopIfTrue="1">
      <formula>AND(U52&gt;1)</formula>
    </cfRule>
  </conditionalFormatting>
  <conditionalFormatting sqref="W51">
    <cfRule type="expression" dxfId="1049" priority="649" stopIfTrue="1">
      <formula>AND(U52&gt;3)</formula>
    </cfRule>
  </conditionalFormatting>
  <conditionalFormatting sqref="W54">
    <cfRule type="expression" dxfId="1048" priority="463" stopIfTrue="1">
      <formula>AND(U56&gt;1)</formula>
    </cfRule>
  </conditionalFormatting>
  <conditionalFormatting sqref="W55">
    <cfRule type="expression" dxfId="1047" priority="461" stopIfTrue="1">
      <formula>AND(U56&gt;3)</formula>
    </cfRule>
  </conditionalFormatting>
  <conditionalFormatting sqref="W58">
    <cfRule type="expression" dxfId="1046" priority="383" stopIfTrue="1">
      <formula>AND(U60&gt;1)</formula>
    </cfRule>
  </conditionalFormatting>
  <conditionalFormatting sqref="W59">
    <cfRule type="expression" dxfId="1045" priority="381" stopIfTrue="1">
      <formula>AND(U60&gt;3)</formula>
    </cfRule>
  </conditionalFormatting>
  <conditionalFormatting sqref="W62">
    <cfRule type="expression" dxfId="1044" priority="143" stopIfTrue="1">
      <formula>AND(U64&gt;1)</formula>
    </cfRule>
  </conditionalFormatting>
  <conditionalFormatting sqref="W63">
    <cfRule type="expression" dxfId="1043" priority="141" stopIfTrue="1">
      <formula>AND(U64&gt;3)</formula>
    </cfRule>
  </conditionalFormatting>
  <conditionalFormatting sqref="W66">
    <cfRule type="expression" dxfId="1042" priority="223" stopIfTrue="1">
      <formula>AND(U68&gt;1)</formula>
    </cfRule>
  </conditionalFormatting>
  <conditionalFormatting sqref="W67">
    <cfRule type="expression" dxfId="1041" priority="221" stopIfTrue="1">
      <formula>AND(U68&gt;3)</formula>
    </cfRule>
  </conditionalFormatting>
  <conditionalFormatting sqref="W70">
    <cfRule type="expression" dxfId="1040" priority="303" stopIfTrue="1">
      <formula>AND(U72&gt;1)</formula>
    </cfRule>
  </conditionalFormatting>
  <conditionalFormatting sqref="W71">
    <cfRule type="expression" dxfId="1039" priority="301" stopIfTrue="1">
      <formula>AND(U72&gt;3)</formula>
    </cfRule>
  </conditionalFormatting>
  <conditionalFormatting sqref="W74">
    <cfRule type="expression" dxfId="1038" priority="63" stopIfTrue="1">
      <formula>AND(U76&gt;1)</formula>
    </cfRule>
  </conditionalFormatting>
  <conditionalFormatting sqref="W75">
    <cfRule type="expression" dxfId="1037" priority="61" stopIfTrue="1">
      <formula>AND(U76&gt;3)</formula>
    </cfRule>
  </conditionalFormatting>
  <conditionalFormatting sqref="W78">
    <cfRule type="expression" dxfId="1036" priority="551" stopIfTrue="1">
      <formula>AND(U80&gt;1)</formula>
    </cfRule>
  </conditionalFormatting>
  <conditionalFormatting sqref="W79">
    <cfRule type="expression" dxfId="1035" priority="549" stopIfTrue="1">
      <formula>AND(U80&gt;3)</formula>
    </cfRule>
  </conditionalFormatting>
  <conditionalFormatting sqref="Z14">
    <cfRule type="expression" dxfId="1034" priority="1364" stopIfTrue="1">
      <formula>AND(Y16&gt;0)</formula>
    </cfRule>
  </conditionalFormatting>
  <conditionalFormatting sqref="Z15">
    <cfRule type="expression" dxfId="1033" priority="1362" stopIfTrue="1">
      <formula>AND(Y16&gt;2)</formula>
    </cfRule>
  </conditionalFormatting>
  <conditionalFormatting sqref="Z18">
    <cfRule type="expression" dxfId="1032" priority="1288" stopIfTrue="1">
      <formula>AND(Y20&gt;0)</formula>
    </cfRule>
  </conditionalFormatting>
  <conditionalFormatting sqref="Z19">
    <cfRule type="expression" dxfId="1031" priority="1286" stopIfTrue="1">
      <formula>AND(Y20&gt;2)</formula>
    </cfRule>
  </conditionalFormatting>
  <conditionalFormatting sqref="Z22">
    <cfRule type="expression" dxfId="1030" priority="1208" stopIfTrue="1">
      <formula>AND(Y24&gt;0)</formula>
    </cfRule>
  </conditionalFormatting>
  <conditionalFormatting sqref="Z23">
    <cfRule type="expression" dxfId="1029" priority="1206" stopIfTrue="1">
      <formula>AND(Y24&gt;2)</formula>
    </cfRule>
  </conditionalFormatting>
  <conditionalFormatting sqref="Z26">
    <cfRule type="expression" dxfId="1028" priority="1128" stopIfTrue="1">
      <formula>AND(Y28&gt;0)</formula>
    </cfRule>
  </conditionalFormatting>
  <conditionalFormatting sqref="Z27">
    <cfRule type="expression" dxfId="1027" priority="1126" stopIfTrue="1">
      <formula>AND(Y28&gt;2)</formula>
    </cfRule>
  </conditionalFormatting>
  <conditionalFormatting sqref="Z30">
    <cfRule type="expression" dxfId="1026" priority="1048" stopIfTrue="1">
      <formula>AND(Y32&gt;0)</formula>
    </cfRule>
  </conditionalFormatting>
  <conditionalFormatting sqref="Z31">
    <cfRule type="expression" dxfId="1025" priority="1046" stopIfTrue="1">
      <formula>AND(Y32&gt;2)</formula>
    </cfRule>
  </conditionalFormatting>
  <conditionalFormatting sqref="Z34">
    <cfRule type="expression" dxfId="1024" priority="968" stopIfTrue="1">
      <formula>AND(Y36&gt;0)</formula>
    </cfRule>
  </conditionalFormatting>
  <conditionalFormatting sqref="Z35">
    <cfRule type="expression" dxfId="1023" priority="966" stopIfTrue="1">
      <formula>AND(Y36&gt;2)</formula>
    </cfRule>
  </conditionalFormatting>
  <conditionalFormatting sqref="Z38">
    <cfRule type="expression" dxfId="1022" priority="888" stopIfTrue="1">
      <formula>AND(Y40&gt;0)</formula>
    </cfRule>
  </conditionalFormatting>
  <conditionalFormatting sqref="Z39">
    <cfRule type="expression" dxfId="1021" priority="886" stopIfTrue="1">
      <formula>AND(Y40&gt;2)</formula>
    </cfRule>
  </conditionalFormatting>
  <conditionalFormatting sqref="Z42">
    <cfRule type="expression" dxfId="1020" priority="808" stopIfTrue="1">
      <formula>AND(Y44&gt;0)</formula>
    </cfRule>
  </conditionalFormatting>
  <conditionalFormatting sqref="Z43">
    <cfRule type="expression" dxfId="1019" priority="806" stopIfTrue="1">
      <formula>AND(Y44&gt;2)</formula>
    </cfRule>
  </conditionalFormatting>
  <conditionalFormatting sqref="Z46">
    <cfRule type="expression" dxfId="1018" priority="728" stopIfTrue="1">
      <formula>AND(Y48&gt;0)</formula>
    </cfRule>
  </conditionalFormatting>
  <conditionalFormatting sqref="Z47">
    <cfRule type="expression" dxfId="1017" priority="726" stopIfTrue="1">
      <formula>AND(Y48&gt;2)</formula>
    </cfRule>
  </conditionalFormatting>
  <conditionalFormatting sqref="Z50">
    <cfRule type="expression" dxfId="1016" priority="648" stopIfTrue="1">
      <formula>AND(Y52&gt;0)</formula>
    </cfRule>
  </conditionalFormatting>
  <conditionalFormatting sqref="Z51">
    <cfRule type="expression" dxfId="1015" priority="646" stopIfTrue="1">
      <formula>AND(Y52&gt;2)</formula>
    </cfRule>
  </conditionalFormatting>
  <conditionalFormatting sqref="Z54">
    <cfRule type="expression" dxfId="1014" priority="460" stopIfTrue="1">
      <formula>AND(Y56&gt;0)</formula>
    </cfRule>
  </conditionalFormatting>
  <conditionalFormatting sqref="Z55">
    <cfRule type="expression" dxfId="1013" priority="458" stopIfTrue="1">
      <formula>AND(Y56&gt;2)</formula>
    </cfRule>
  </conditionalFormatting>
  <conditionalFormatting sqref="Z58">
    <cfRule type="expression" dxfId="1012" priority="380" stopIfTrue="1">
      <formula>AND(Y60&gt;0)</formula>
    </cfRule>
  </conditionalFormatting>
  <conditionalFormatting sqref="Z59">
    <cfRule type="expression" dxfId="1011" priority="378" stopIfTrue="1">
      <formula>AND(Y60&gt;2)</formula>
    </cfRule>
  </conditionalFormatting>
  <conditionalFormatting sqref="Z62">
    <cfRule type="expression" dxfId="1010" priority="140" stopIfTrue="1">
      <formula>AND(Y64&gt;0)</formula>
    </cfRule>
  </conditionalFormatting>
  <conditionalFormatting sqref="Z63">
    <cfRule type="expression" dxfId="1009" priority="138" stopIfTrue="1">
      <formula>AND(Y64&gt;2)</formula>
    </cfRule>
  </conditionalFormatting>
  <conditionalFormatting sqref="Z66">
    <cfRule type="expression" dxfId="1008" priority="220" stopIfTrue="1">
      <formula>AND(Y68&gt;0)</formula>
    </cfRule>
  </conditionalFormatting>
  <conditionalFormatting sqref="Z67">
    <cfRule type="expression" dxfId="1007" priority="218" stopIfTrue="1">
      <formula>AND(Y68&gt;2)</formula>
    </cfRule>
  </conditionalFormatting>
  <conditionalFormatting sqref="Z70">
    <cfRule type="expression" dxfId="1006" priority="300" stopIfTrue="1">
      <formula>AND(Y72&gt;0)</formula>
    </cfRule>
  </conditionalFormatting>
  <conditionalFormatting sqref="Z71">
    <cfRule type="expression" dxfId="1005" priority="298" stopIfTrue="1">
      <formula>AND(Y72&gt;2)</formula>
    </cfRule>
  </conditionalFormatting>
  <conditionalFormatting sqref="Z74">
    <cfRule type="expression" dxfId="1004" priority="60" stopIfTrue="1">
      <formula>AND(Y76&gt;0)</formula>
    </cfRule>
  </conditionalFormatting>
  <conditionalFormatting sqref="Z75">
    <cfRule type="expression" dxfId="1003" priority="58" stopIfTrue="1">
      <formula>AND(Y76&gt;2)</formula>
    </cfRule>
  </conditionalFormatting>
  <conditionalFormatting sqref="Z78">
    <cfRule type="expression" dxfId="1002" priority="548" stopIfTrue="1">
      <formula>AND(Y80&gt;0)</formula>
    </cfRule>
  </conditionalFormatting>
  <conditionalFormatting sqref="Z79">
    <cfRule type="expression" dxfId="1001" priority="546" stopIfTrue="1">
      <formula>AND(Y80&gt;2)</formula>
    </cfRule>
  </conditionalFormatting>
  <conditionalFormatting sqref="AA14">
    <cfRule type="expression" dxfId="1000" priority="1363" stopIfTrue="1">
      <formula>AND(Y16&gt;1)</formula>
    </cfRule>
  </conditionalFormatting>
  <conditionalFormatting sqref="AA15">
    <cfRule type="expression" dxfId="999" priority="1361" stopIfTrue="1">
      <formula>AND(Y16&gt;3)</formula>
    </cfRule>
  </conditionalFormatting>
  <conditionalFormatting sqref="AA18">
    <cfRule type="expression" dxfId="998" priority="1287" stopIfTrue="1">
      <formula>AND(Y20&gt;1)</formula>
    </cfRule>
  </conditionalFormatting>
  <conditionalFormatting sqref="AA19">
    <cfRule type="expression" dxfId="997" priority="1285" stopIfTrue="1">
      <formula>AND(Y20&gt;3)</formula>
    </cfRule>
  </conditionalFormatting>
  <conditionalFormatting sqref="AA22">
    <cfRule type="expression" dxfId="996" priority="1207" stopIfTrue="1">
      <formula>AND(Y24&gt;1)</formula>
    </cfRule>
  </conditionalFormatting>
  <conditionalFormatting sqref="AA23">
    <cfRule type="expression" dxfId="995" priority="1205" stopIfTrue="1">
      <formula>AND(Y24&gt;3)</formula>
    </cfRule>
  </conditionalFormatting>
  <conditionalFormatting sqref="AA26">
    <cfRule type="expression" dxfId="994" priority="1127" stopIfTrue="1">
      <formula>AND(Y28&gt;1)</formula>
    </cfRule>
  </conditionalFormatting>
  <conditionalFormatting sqref="AA27">
    <cfRule type="expression" dxfId="993" priority="1125" stopIfTrue="1">
      <formula>AND(Y28&gt;3)</formula>
    </cfRule>
  </conditionalFormatting>
  <conditionalFormatting sqref="AA30">
    <cfRule type="expression" dxfId="992" priority="1047" stopIfTrue="1">
      <formula>AND(Y32&gt;1)</formula>
    </cfRule>
  </conditionalFormatting>
  <conditionalFormatting sqref="AA31">
    <cfRule type="expression" dxfId="991" priority="1045" stopIfTrue="1">
      <formula>AND(Y32&gt;3)</formula>
    </cfRule>
  </conditionalFormatting>
  <conditionalFormatting sqref="AA34">
    <cfRule type="expression" dxfId="990" priority="967" stopIfTrue="1">
      <formula>AND(Y36&gt;1)</formula>
    </cfRule>
  </conditionalFormatting>
  <conditionalFormatting sqref="AA35">
    <cfRule type="expression" dxfId="989" priority="965" stopIfTrue="1">
      <formula>AND(Y36&gt;3)</formula>
    </cfRule>
  </conditionalFormatting>
  <conditionalFormatting sqref="AA38">
    <cfRule type="expression" dxfId="988" priority="887" stopIfTrue="1">
      <formula>AND(Y40&gt;1)</formula>
    </cfRule>
  </conditionalFormatting>
  <conditionalFormatting sqref="AA39">
    <cfRule type="expression" dxfId="987" priority="885" stopIfTrue="1">
      <formula>AND(Y40&gt;3)</formula>
    </cfRule>
  </conditionalFormatting>
  <conditionalFormatting sqref="AA42">
    <cfRule type="expression" dxfId="986" priority="807" stopIfTrue="1">
      <formula>AND(Y44&gt;1)</formula>
    </cfRule>
  </conditionalFormatting>
  <conditionalFormatting sqref="AA43">
    <cfRule type="expression" dxfId="985" priority="805" stopIfTrue="1">
      <formula>AND(Y44&gt;3)</formula>
    </cfRule>
  </conditionalFormatting>
  <conditionalFormatting sqref="AA46">
    <cfRule type="expression" dxfId="984" priority="727" stopIfTrue="1">
      <formula>AND(Y48&gt;1)</formula>
    </cfRule>
  </conditionalFormatting>
  <conditionalFormatting sqref="AA47">
    <cfRule type="expression" dxfId="983" priority="725" stopIfTrue="1">
      <formula>AND(Y48&gt;3)</formula>
    </cfRule>
  </conditionalFormatting>
  <conditionalFormatting sqref="AA50">
    <cfRule type="expression" dxfId="982" priority="647" stopIfTrue="1">
      <formula>AND(Y52&gt;1)</formula>
    </cfRule>
  </conditionalFormatting>
  <conditionalFormatting sqref="AA51">
    <cfRule type="expression" dxfId="981" priority="645" stopIfTrue="1">
      <formula>AND(Y52&gt;3)</formula>
    </cfRule>
  </conditionalFormatting>
  <conditionalFormatting sqref="AA54">
    <cfRule type="expression" dxfId="980" priority="459" stopIfTrue="1">
      <formula>AND(Y56&gt;1)</formula>
    </cfRule>
  </conditionalFormatting>
  <conditionalFormatting sqref="AA55">
    <cfRule type="expression" dxfId="979" priority="457" stopIfTrue="1">
      <formula>AND(Y56&gt;3)</formula>
    </cfRule>
  </conditionalFormatting>
  <conditionalFormatting sqref="AA58">
    <cfRule type="expression" dxfId="978" priority="379" stopIfTrue="1">
      <formula>AND(Y60&gt;1)</formula>
    </cfRule>
  </conditionalFormatting>
  <conditionalFormatting sqref="AA59">
    <cfRule type="expression" dxfId="977" priority="377" stopIfTrue="1">
      <formula>AND(Y60&gt;3)</formula>
    </cfRule>
  </conditionalFormatting>
  <conditionalFormatting sqref="AA62">
    <cfRule type="expression" dxfId="976" priority="139" stopIfTrue="1">
      <formula>AND(Y64&gt;1)</formula>
    </cfRule>
  </conditionalFormatting>
  <conditionalFormatting sqref="AA63">
    <cfRule type="expression" dxfId="975" priority="137" stopIfTrue="1">
      <formula>AND(Y64&gt;3)</formula>
    </cfRule>
  </conditionalFormatting>
  <conditionalFormatting sqref="AA66">
    <cfRule type="expression" dxfId="974" priority="219" stopIfTrue="1">
      <formula>AND(Y68&gt;1)</formula>
    </cfRule>
  </conditionalFormatting>
  <conditionalFormatting sqref="AA67">
    <cfRule type="expression" dxfId="973" priority="217" stopIfTrue="1">
      <formula>AND(Y68&gt;3)</formula>
    </cfRule>
  </conditionalFormatting>
  <conditionalFormatting sqref="AA70">
    <cfRule type="expression" dxfId="972" priority="299" stopIfTrue="1">
      <formula>AND(Y72&gt;1)</formula>
    </cfRule>
  </conditionalFormatting>
  <conditionalFormatting sqref="AA71">
    <cfRule type="expression" dxfId="971" priority="297" stopIfTrue="1">
      <formula>AND(Y72&gt;3)</formula>
    </cfRule>
  </conditionalFormatting>
  <conditionalFormatting sqref="AA74">
    <cfRule type="expression" dxfId="970" priority="59" stopIfTrue="1">
      <formula>AND(Y76&gt;1)</formula>
    </cfRule>
  </conditionalFormatting>
  <conditionalFormatting sqref="AA75">
    <cfRule type="expression" dxfId="969" priority="57" stopIfTrue="1">
      <formula>AND(Y76&gt;3)</formula>
    </cfRule>
  </conditionalFormatting>
  <conditionalFormatting sqref="AA78">
    <cfRule type="expression" dxfId="968" priority="547" stopIfTrue="1">
      <formula>AND(Y80&gt;1)</formula>
    </cfRule>
  </conditionalFormatting>
  <conditionalFormatting sqref="AA79">
    <cfRule type="expression" dxfId="967" priority="545" stopIfTrue="1">
      <formula>AND(Y80&gt;3)</formula>
    </cfRule>
  </conditionalFormatting>
  <conditionalFormatting sqref="AD14">
    <cfRule type="expression" dxfId="966" priority="1360" stopIfTrue="1">
      <formula>AND(AC16&gt;0)</formula>
    </cfRule>
  </conditionalFormatting>
  <conditionalFormatting sqref="AD15">
    <cfRule type="expression" dxfId="965" priority="1358" stopIfTrue="1">
      <formula>AND(AC16&gt;2)</formula>
    </cfRule>
  </conditionalFormatting>
  <conditionalFormatting sqref="AD18">
    <cfRule type="expression" dxfId="964" priority="1284" stopIfTrue="1">
      <formula>AND(AC20&gt;0)</formula>
    </cfRule>
  </conditionalFormatting>
  <conditionalFormatting sqref="AD19">
    <cfRule type="expression" dxfId="963" priority="1282" stopIfTrue="1">
      <formula>AND(AC20&gt;2)</formula>
    </cfRule>
  </conditionalFormatting>
  <conditionalFormatting sqref="AD22">
    <cfRule type="expression" dxfId="962" priority="1204" stopIfTrue="1">
      <formula>AND(AC24&gt;0)</formula>
    </cfRule>
  </conditionalFormatting>
  <conditionalFormatting sqref="AD23">
    <cfRule type="expression" dxfId="961" priority="1202" stopIfTrue="1">
      <formula>AND(AC24&gt;2)</formula>
    </cfRule>
  </conditionalFormatting>
  <conditionalFormatting sqref="AD26">
    <cfRule type="expression" dxfId="960" priority="1124" stopIfTrue="1">
      <formula>AND(AC28&gt;0)</formula>
    </cfRule>
  </conditionalFormatting>
  <conditionalFormatting sqref="AD27">
    <cfRule type="expression" dxfId="959" priority="1122" stopIfTrue="1">
      <formula>AND(AC28&gt;2)</formula>
    </cfRule>
  </conditionalFormatting>
  <conditionalFormatting sqref="AD30">
    <cfRule type="expression" dxfId="958" priority="1044" stopIfTrue="1">
      <formula>AND(AC32&gt;0)</formula>
    </cfRule>
  </conditionalFormatting>
  <conditionalFormatting sqref="AD31">
    <cfRule type="expression" dxfId="957" priority="1042" stopIfTrue="1">
      <formula>AND(AC32&gt;2)</formula>
    </cfRule>
  </conditionalFormatting>
  <conditionalFormatting sqref="AD34">
    <cfRule type="expression" dxfId="956" priority="964" stopIfTrue="1">
      <formula>AND(AC36&gt;0)</formula>
    </cfRule>
  </conditionalFormatting>
  <conditionalFormatting sqref="AD35">
    <cfRule type="expression" dxfId="955" priority="962" stopIfTrue="1">
      <formula>AND(AC36&gt;2)</formula>
    </cfRule>
  </conditionalFormatting>
  <conditionalFormatting sqref="AD38">
    <cfRule type="expression" dxfId="954" priority="884" stopIfTrue="1">
      <formula>AND(AC40&gt;0)</formula>
    </cfRule>
  </conditionalFormatting>
  <conditionalFormatting sqref="AD39">
    <cfRule type="expression" dxfId="953" priority="882" stopIfTrue="1">
      <formula>AND(AC40&gt;2)</formula>
    </cfRule>
  </conditionalFormatting>
  <conditionalFormatting sqref="AD42">
    <cfRule type="expression" dxfId="952" priority="804" stopIfTrue="1">
      <formula>AND(AC44&gt;0)</formula>
    </cfRule>
  </conditionalFormatting>
  <conditionalFormatting sqref="AD43">
    <cfRule type="expression" dxfId="951" priority="802" stopIfTrue="1">
      <formula>AND(AC44&gt;2)</formula>
    </cfRule>
  </conditionalFormatting>
  <conditionalFormatting sqref="AD46">
    <cfRule type="expression" dxfId="950" priority="724" stopIfTrue="1">
      <formula>AND(AC48&gt;0)</formula>
    </cfRule>
  </conditionalFormatting>
  <conditionalFormatting sqref="AD47">
    <cfRule type="expression" dxfId="949" priority="722" stopIfTrue="1">
      <formula>AND(AC48&gt;2)</formula>
    </cfRule>
  </conditionalFormatting>
  <conditionalFormatting sqref="AD50">
    <cfRule type="expression" dxfId="948" priority="644" stopIfTrue="1">
      <formula>AND(AC52&gt;0)</formula>
    </cfRule>
  </conditionalFormatting>
  <conditionalFormatting sqref="AD51">
    <cfRule type="expression" dxfId="947" priority="642" stopIfTrue="1">
      <formula>AND(AC52&gt;2)</formula>
    </cfRule>
  </conditionalFormatting>
  <conditionalFormatting sqref="AD54">
    <cfRule type="expression" dxfId="946" priority="456" stopIfTrue="1">
      <formula>AND(AC56&gt;0)</formula>
    </cfRule>
  </conditionalFormatting>
  <conditionalFormatting sqref="AD55">
    <cfRule type="expression" dxfId="945" priority="454" stopIfTrue="1">
      <formula>AND(AC56&gt;2)</formula>
    </cfRule>
  </conditionalFormatting>
  <conditionalFormatting sqref="AD58">
    <cfRule type="expression" dxfId="944" priority="376" stopIfTrue="1">
      <formula>AND(AC60&gt;0)</formula>
    </cfRule>
  </conditionalFormatting>
  <conditionalFormatting sqref="AD59">
    <cfRule type="expression" dxfId="943" priority="374" stopIfTrue="1">
      <formula>AND(AC60&gt;2)</formula>
    </cfRule>
  </conditionalFormatting>
  <conditionalFormatting sqref="AD62">
    <cfRule type="expression" dxfId="942" priority="136" stopIfTrue="1">
      <formula>AND(AC64&gt;0)</formula>
    </cfRule>
  </conditionalFormatting>
  <conditionalFormatting sqref="AD63">
    <cfRule type="expression" dxfId="941" priority="134" stopIfTrue="1">
      <formula>AND(AC64&gt;2)</formula>
    </cfRule>
  </conditionalFormatting>
  <conditionalFormatting sqref="AD66">
    <cfRule type="expression" dxfId="940" priority="216" stopIfTrue="1">
      <formula>AND(AC68&gt;0)</formula>
    </cfRule>
  </conditionalFormatting>
  <conditionalFormatting sqref="AD67">
    <cfRule type="expression" dxfId="939" priority="214" stopIfTrue="1">
      <formula>AND(AC68&gt;2)</formula>
    </cfRule>
  </conditionalFormatting>
  <conditionalFormatting sqref="AD70">
    <cfRule type="expression" dxfId="938" priority="296" stopIfTrue="1">
      <formula>AND(AC72&gt;0)</formula>
    </cfRule>
  </conditionalFormatting>
  <conditionalFormatting sqref="AD71">
    <cfRule type="expression" dxfId="937" priority="294" stopIfTrue="1">
      <formula>AND(AC72&gt;2)</formula>
    </cfRule>
  </conditionalFormatting>
  <conditionalFormatting sqref="AD74">
    <cfRule type="expression" dxfId="936" priority="56" stopIfTrue="1">
      <formula>AND(AC76&gt;0)</formula>
    </cfRule>
  </conditionalFormatting>
  <conditionalFormatting sqref="AD75">
    <cfRule type="expression" dxfId="935" priority="54" stopIfTrue="1">
      <formula>AND(AC76&gt;2)</formula>
    </cfRule>
  </conditionalFormatting>
  <conditionalFormatting sqref="AD78">
    <cfRule type="expression" dxfId="934" priority="544" stopIfTrue="1">
      <formula>AND(AC80&gt;0)</formula>
    </cfRule>
  </conditionalFormatting>
  <conditionalFormatting sqref="AD79">
    <cfRule type="expression" dxfId="933" priority="542" stopIfTrue="1">
      <formula>AND(AC80&gt;2)</formula>
    </cfRule>
  </conditionalFormatting>
  <conditionalFormatting sqref="AE14">
    <cfRule type="expression" dxfId="932" priority="1359" stopIfTrue="1">
      <formula>AND(AC16&gt;1)</formula>
    </cfRule>
  </conditionalFormatting>
  <conditionalFormatting sqref="AE15">
    <cfRule type="expression" dxfId="931" priority="1357" stopIfTrue="1">
      <formula>AND(AC16&gt;3)</formula>
    </cfRule>
  </conditionalFormatting>
  <conditionalFormatting sqref="AE18">
    <cfRule type="expression" dxfId="930" priority="1283" stopIfTrue="1">
      <formula>AND(AC20&gt;1)</formula>
    </cfRule>
  </conditionalFormatting>
  <conditionalFormatting sqref="AE19">
    <cfRule type="expression" dxfId="929" priority="1281" stopIfTrue="1">
      <formula>AND(AC20&gt;3)</formula>
    </cfRule>
  </conditionalFormatting>
  <conditionalFormatting sqref="AE22">
    <cfRule type="expression" dxfId="928" priority="1203" stopIfTrue="1">
      <formula>AND(AC24&gt;1)</formula>
    </cfRule>
  </conditionalFormatting>
  <conditionalFormatting sqref="AE23">
    <cfRule type="expression" dxfId="927" priority="1201" stopIfTrue="1">
      <formula>AND(AC24&gt;3)</formula>
    </cfRule>
  </conditionalFormatting>
  <conditionalFormatting sqref="AE26">
    <cfRule type="expression" dxfId="926" priority="1123" stopIfTrue="1">
      <formula>AND(AC28&gt;1)</formula>
    </cfRule>
  </conditionalFormatting>
  <conditionalFormatting sqref="AE27">
    <cfRule type="expression" dxfId="925" priority="1121" stopIfTrue="1">
      <formula>AND(AC28&gt;3)</formula>
    </cfRule>
  </conditionalFormatting>
  <conditionalFormatting sqref="AE30">
    <cfRule type="expression" dxfId="924" priority="1043" stopIfTrue="1">
      <formula>AND(AC32&gt;1)</formula>
    </cfRule>
  </conditionalFormatting>
  <conditionalFormatting sqref="AE31">
    <cfRule type="expression" dxfId="923" priority="1041" stopIfTrue="1">
      <formula>AND(AC32&gt;3)</formula>
    </cfRule>
  </conditionalFormatting>
  <conditionalFormatting sqref="AE34">
    <cfRule type="expression" dxfId="922" priority="963" stopIfTrue="1">
      <formula>AND(AC36&gt;1)</formula>
    </cfRule>
  </conditionalFormatting>
  <conditionalFormatting sqref="AE35">
    <cfRule type="expression" dxfId="921" priority="961" stopIfTrue="1">
      <formula>AND(AC36&gt;3)</formula>
    </cfRule>
  </conditionalFormatting>
  <conditionalFormatting sqref="AE38">
    <cfRule type="expression" dxfId="920" priority="883" stopIfTrue="1">
      <formula>AND(AC40&gt;1)</formula>
    </cfRule>
  </conditionalFormatting>
  <conditionalFormatting sqref="AE39">
    <cfRule type="expression" dxfId="919" priority="881" stopIfTrue="1">
      <formula>AND(AC40&gt;3)</formula>
    </cfRule>
  </conditionalFormatting>
  <conditionalFormatting sqref="AE42">
    <cfRule type="expression" dxfId="918" priority="803" stopIfTrue="1">
      <formula>AND(AC44&gt;1)</formula>
    </cfRule>
  </conditionalFormatting>
  <conditionalFormatting sqref="AE43">
    <cfRule type="expression" dxfId="917" priority="801" stopIfTrue="1">
      <formula>AND(AC44&gt;3)</formula>
    </cfRule>
  </conditionalFormatting>
  <conditionalFormatting sqref="AE46">
    <cfRule type="expression" dxfId="916" priority="723" stopIfTrue="1">
      <formula>AND(AC48&gt;1)</formula>
    </cfRule>
  </conditionalFormatting>
  <conditionalFormatting sqref="AE47">
    <cfRule type="expression" dxfId="915" priority="721" stopIfTrue="1">
      <formula>AND(AC48&gt;3)</formula>
    </cfRule>
  </conditionalFormatting>
  <conditionalFormatting sqref="AE50">
    <cfRule type="expression" dxfId="914" priority="643" stopIfTrue="1">
      <formula>AND(AC52&gt;1)</formula>
    </cfRule>
  </conditionalFormatting>
  <conditionalFormatting sqref="AE51">
    <cfRule type="expression" dxfId="913" priority="641" stopIfTrue="1">
      <formula>AND(AC52&gt;3)</formula>
    </cfRule>
  </conditionalFormatting>
  <conditionalFormatting sqref="AE54">
    <cfRule type="expression" dxfId="912" priority="455" stopIfTrue="1">
      <formula>AND(AC56&gt;1)</formula>
    </cfRule>
  </conditionalFormatting>
  <conditionalFormatting sqref="AE55">
    <cfRule type="expression" dxfId="911" priority="453" stopIfTrue="1">
      <formula>AND(AC56&gt;3)</formula>
    </cfRule>
  </conditionalFormatting>
  <conditionalFormatting sqref="AE58">
    <cfRule type="expression" dxfId="910" priority="375" stopIfTrue="1">
      <formula>AND(AC60&gt;1)</formula>
    </cfRule>
  </conditionalFormatting>
  <conditionalFormatting sqref="AE59">
    <cfRule type="expression" dxfId="909" priority="373" stopIfTrue="1">
      <formula>AND(AC60&gt;3)</formula>
    </cfRule>
  </conditionalFormatting>
  <conditionalFormatting sqref="AE62">
    <cfRule type="expression" dxfId="908" priority="135" stopIfTrue="1">
      <formula>AND(AC64&gt;1)</formula>
    </cfRule>
  </conditionalFormatting>
  <conditionalFormatting sqref="AE63">
    <cfRule type="expression" dxfId="907" priority="133" stopIfTrue="1">
      <formula>AND(AC64&gt;3)</formula>
    </cfRule>
  </conditionalFormatting>
  <conditionalFormatting sqref="AE66">
    <cfRule type="expression" dxfId="906" priority="215" stopIfTrue="1">
      <formula>AND(AC68&gt;1)</formula>
    </cfRule>
  </conditionalFormatting>
  <conditionalFormatting sqref="AE67">
    <cfRule type="expression" dxfId="905" priority="213" stopIfTrue="1">
      <formula>AND(AC68&gt;3)</formula>
    </cfRule>
  </conditionalFormatting>
  <conditionalFormatting sqref="AE70">
    <cfRule type="expression" dxfId="904" priority="295" stopIfTrue="1">
      <formula>AND(AC72&gt;1)</formula>
    </cfRule>
  </conditionalFormatting>
  <conditionalFormatting sqref="AE71">
    <cfRule type="expression" dxfId="903" priority="293" stopIfTrue="1">
      <formula>AND(AC72&gt;3)</formula>
    </cfRule>
  </conditionalFormatting>
  <conditionalFormatting sqref="AE74">
    <cfRule type="expression" dxfId="902" priority="55" stopIfTrue="1">
      <formula>AND(AC76&gt;1)</formula>
    </cfRule>
  </conditionalFormatting>
  <conditionalFormatting sqref="AE75">
    <cfRule type="expression" dxfId="901" priority="53" stopIfTrue="1">
      <formula>AND(AC76&gt;3)</formula>
    </cfRule>
  </conditionalFormatting>
  <conditionalFormatting sqref="AE78">
    <cfRule type="expression" dxfId="900" priority="543" stopIfTrue="1">
      <formula>AND(AC80&gt;1)</formula>
    </cfRule>
  </conditionalFormatting>
  <conditionalFormatting sqref="AE79">
    <cfRule type="expression" dxfId="899" priority="541" stopIfTrue="1">
      <formula>AND(AC80&gt;3)</formula>
    </cfRule>
  </conditionalFormatting>
  <conditionalFormatting sqref="AH14">
    <cfRule type="expression" dxfId="898" priority="1356" stopIfTrue="1">
      <formula>AND(AG16&gt;0)</formula>
    </cfRule>
  </conditionalFormatting>
  <conditionalFormatting sqref="AH15">
    <cfRule type="expression" dxfId="897" priority="1354" stopIfTrue="1">
      <formula>AND(AG16&gt;2)</formula>
    </cfRule>
  </conditionalFormatting>
  <conditionalFormatting sqref="AH18">
    <cfRule type="expression" dxfId="896" priority="1280" stopIfTrue="1">
      <formula>AND(AG20&gt;0)</formula>
    </cfRule>
  </conditionalFormatting>
  <conditionalFormatting sqref="AH19">
    <cfRule type="expression" dxfId="895" priority="1278" stopIfTrue="1">
      <formula>AND(AG20&gt;2)</formula>
    </cfRule>
  </conditionalFormatting>
  <conditionalFormatting sqref="AH22">
    <cfRule type="expression" dxfId="894" priority="1200" stopIfTrue="1">
      <formula>AND(AG24&gt;0)</formula>
    </cfRule>
  </conditionalFormatting>
  <conditionalFormatting sqref="AH23">
    <cfRule type="expression" dxfId="893" priority="1198" stopIfTrue="1">
      <formula>AND(AG24&gt;2)</formula>
    </cfRule>
  </conditionalFormatting>
  <conditionalFormatting sqref="AH26">
    <cfRule type="expression" dxfId="892" priority="1120" stopIfTrue="1">
      <formula>AND(AG28&gt;0)</formula>
    </cfRule>
  </conditionalFormatting>
  <conditionalFormatting sqref="AH27">
    <cfRule type="expression" dxfId="891" priority="1118" stopIfTrue="1">
      <formula>AND(AG28&gt;2)</formula>
    </cfRule>
  </conditionalFormatting>
  <conditionalFormatting sqref="AH30">
    <cfRule type="expression" dxfId="890" priority="1040" stopIfTrue="1">
      <formula>AND(AG32&gt;0)</formula>
    </cfRule>
  </conditionalFormatting>
  <conditionalFormatting sqref="AH31">
    <cfRule type="expression" dxfId="889" priority="1038" stopIfTrue="1">
      <formula>AND(AG32&gt;2)</formula>
    </cfRule>
  </conditionalFormatting>
  <conditionalFormatting sqref="AH34">
    <cfRule type="expression" dxfId="888" priority="960" stopIfTrue="1">
      <formula>AND(AG36&gt;0)</formula>
    </cfRule>
  </conditionalFormatting>
  <conditionalFormatting sqref="AH35">
    <cfRule type="expression" dxfId="887" priority="958" stopIfTrue="1">
      <formula>AND(AG36&gt;2)</formula>
    </cfRule>
  </conditionalFormatting>
  <conditionalFormatting sqref="AH38">
    <cfRule type="expression" dxfId="886" priority="880" stopIfTrue="1">
      <formula>AND(AG40&gt;0)</formula>
    </cfRule>
  </conditionalFormatting>
  <conditionalFormatting sqref="AH39">
    <cfRule type="expression" dxfId="885" priority="878" stopIfTrue="1">
      <formula>AND(AG40&gt;2)</formula>
    </cfRule>
  </conditionalFormatting>
  <conditionalFormatting sqref="AH42">
    <cfRule type="expression" dxfId="884" priority="800" stopIfTrue="1">
      <formula>AND(AG44&gt;0)</formula>
    </cfRule>
  </conditionalFormatting>
  <conditionalFormatting sqref="AH43">
    <cfRule type="expression" dxfId="883" priority="798" stopIfTrue="1">
      <formula>AND(AG44&gt;2)</formula>
    </cfRule>
  </conditionalFormatting>
  <conditionalFormatting sqref="AH46">
    <cfRule type="expression" dxfId="882" priority="720" stopIfTrue="1">
      <formula>AND(AG48&gt;0)</formula>
    </cfRule>
  </conditionalFormatting>
  <conditionalFormatting sqref="AH47">
    <cfRule type="expression" dxfId="881" priority="718" stopIfTrue="1">
      <formula>AND(AG48&gt;2)</formula>
    </cfRule>
  </conditionalFormatting>
  <conditionalFormatting sqref="AH50">
    <cfRule type="expression" dxfId="880" priority="640" stopIfTrue="1">
      <formula>AND(AG52&gt;0)</formula>
    </cfRule>
  </conditionalFormatting>
  <conditionalFormatting sqref="AH51">
    <cfRule type="expression" dxfId="879" priority="638" stopIfTrue="1">
      <formula>AND(AG52&gt;2)</formula>
    </cfRule>
  </conditionalFormatting>
  <conditionalFormatting sqref="AH54">
    <cfRule type="expression" dxfId="878" priority="452" stopIfTrue="1">
      <formula>AND(AG56&gt;0)</formula>
    </cfRule>
  </conditionalFormatting>
  <conditionalFormatting sqref="AH55">
    <cfRule type="expression" dxfId="877" priority="450" stopIfTrue="1">
      <formula>AND(AG56&gt;2)</formula>
    </cfRule>
  </conditionalFormatting>
  <conditionalFormatting sqref="AH58">
    <cfRule type="expression" dxfId="876" priority="372" stopIfTrue="1">
      <formula>AND(AG60&gt;0)</formula>
    </cfRule>
  </conditionalFormatting>
  <conditionalFormatting sqref="AH59">
    <cfRule type="expression" dxfId="875" priority="370" stopIfTrue="1">
      <formula>AND(AG60&gt;2)</formula>
    </cfRule>
  </conditionalFormatting>
  <conditionalFormatting sqref="AH62">
    <cfRule type="expression" dxfId="874" priority="132" stopIfTrue="1">
      <formula>AND(AG64&gt;0)</formula>
    </cfRule>
  </conditionalFormatting>
  <conditionalFormatting sqref="AH63">
    <cfRule type="expression" dxfId="873" priority="130" stopIfTrue="1">
      <formula>AND(AG64&gt;2)</formula>
    </cfRule>
  </conditionalFormatting>
  <conditionalFormatting sqref="AH66">
    <cfRule type="expression" dxfId="872" priority="212" stopIfTrue="1">
      <formula>AND(AG68&gt;0)</formula>
    </cfRule>
  </conditionalFormatting>
  <conditionalFormatting sqref="AH67">
    <cfRule type="expression" dxfId="871" priority="210" stopIfTrue="1">
      <formula>AND(AG68&gt;2)</formula>
    </cfRule>
  </conditionalFormatting>
  <conditionalFormatting sqref="AH70">
    <cfRule type="expression" dxfId="870" priority="292" stopIfTrue="1">
      <formula>AND(AG72&gt;0)</formula>
    </cfRule>
  </conditionalFormatting>
  <conditionalFormatting sqref="AH71">
    <cfRule type="expression" dxfId="869" priority="290" stopIfTrue="1">
      <formula>AND(AG72&gt;2)</formula>
    </cfRule>
  </conditionalFormatting>
  <conditionalFormatting sqref="AH74">
    <cfRule type="expression" dxfId="868" priority="52" stopIfTrue="1">
      <formula>AND(AG76&gt;0)</formula>
    </cfRule>
  </conditionalFormatting>
  <conditionalFormatting sqref="AH75">
    <cfRule type="expression" dxfId="867" priority="50" stopIfTrue="1">
      <formula>AND(AG76&gt;2)</formula>
    </cfRule>
  </conditionalFormatting>
  <conditionalFormatting sqref="AH78">
    <cfRule type="expression" dxfId="866" priority="540" stopIfTrue="1">
      <formula>AND(AG80&gt;0)</formula>
    </cfRule>
  </conditionalFormatting>
  <conditionalFormatting sqref="AH79">
    <cfRule type="expression" dxfId="865" priority="538" stopIfTrue="1">
      <formula>AND(AG80&gt;2)</formula>
    </cfRule>
  </conditionalFormatting>
  <conditionalFormatting sqref="AI14">
    <cfRule type="expression" dxfId="864" priority="1355" stopIfTrue="1">
      <formula>AND(AG16&gt;1)</formula>
    </cfRule>
  </conditionalFormatting>
  <conditionalFormatting sqref="AI15">
    <cfRule type="expression" dxfId="863" priority="1353" stopIfTrue="1">
      <formula>AND(AG16&gt;3)</formula>
    </cfRule>
  </conditionalFormatting>
  <conditionalFormatting sqref="AI18">
    <cfRule type="expression" dxfId="862" priority="1279" stopIfTrue="1">
      <formula>AND(AG20&gt;1)</formula>
    </cfRule>
  </conditionalFormatting>
  <conditionalFormatting sqref="AI19">
    <cfRule type="expression" dxfId="861" priority="1277" stopIfTrue="1">
      <formula>AND(AG20&gt;3)</formula>
    </cfRule>
  </conditionalFormatting>
  <conditionalFormatting sqref="AI22">
    <cfRule type="expression" dxfId="860" priority="1199" stopIfTrue="1">
      <formula>AND(AG24&gt;1)</formula>
    </cfRule>
  </conditionalFormatting>
  <conditionalFormatting sqref="AI23">
    <cfRule type="expression" dxfId="859" priority="1197" stopIfTrue="1">
      <formula>AND(AG24&gt;3)</formula>
    </cfRule>
  </conditionalFormatting>
  <conditionalFormatting sqref="AI26">
    <cfRule type="expression" dxfId="858" priority="1119" stopIfTrue="1">
      <formula>AND(AG28&gt;1)</formula>
    </cfRule>
  </conditionalFormatting>
  <conditionalFormatting sqref="AI27">
    <cfRule type="expression" dxfId="857" priority="1117" stopIfTrue="1">
      <formula>AND(AG28&gt;3)</formula>
    </cfRule>
  </conditionalFormatting>
  <conditionalFormatting sqref="AI30">
    <cfRule type="expression" dxfId="856" priority="1039" stopIfTrue="1">
      <formula>AND(AG32&gt;1)</formula>
    </cfRule>
  </conditionalFormatting>
  <conditionalFormatting sqref="AI31">
    <cfRule type="expression" dxfId="855" priority="1037" stopIfTrue="1">
      <formula>AND(AG32&gt;3)</formula>
    </cfRule>
  </conditionalFormatting>
  <conditionalFormatting sqref="AI34">
    <cfRule type="expression" dxfId="854" priority="959" stopIfTrue="1">
      <formula>AND(AG36&gt;1)</formula>
    </cfRule>
  </conditionalFormatting>
  <conditionalFormatting sqref="AI35">
    <cfRule type="expression" dxfId="853" priority="957" stopIfTrue="1">
      <formula>AND(AG36&gt;3)</formula>
    </cfRule>
  </conditionalFormatting>
  <conditionalFormatting sqref="AI38">
    <cfRule type="expression" dxfId="852" priority="879" stopIfTrue="1">
      <formula>AND(AG40&gt;1)</formula>
    </cfRule>
  </conditionalFormatting>
  <conditionalFormatting sqref="AI39">
    <cfRule type="expression" dxfId="851" priority="877" stopIfTrue="1">
      <formula>AND(AG40&gt;3)</formula>
    </cfRule>
  </conditionalFormatting>
  <conditionalFormatting sqref="AI42">
    <cfRule type="expression" dxfId="850" priority="799" stopIfTrue="1">
      <formula>AND(AG44&gt;1)</formula>
    </cfRule>
  </conditionalFormatting>
  <conditionalFormatting sqref="AI43">
    <cfRule type="expression" dxfId="849" priority="797" stopIfTrue="1">
      <formula>AND(AG44&gt;3)</formula>
    </cfRule>
  </conditionalFormatting>
  <conditionalFormatting sqref="AI46">
    <cfRule type="expression" dxfId="848" priority="719" stopIfTrue="1">
      <formula>AND(AG48&gt;1)</formula>
    </cfRule>
  </conditionalFormatting>
  <conditionalFormatting sqref="AI47">
    <cfRule type="expression" dxfId="847" priority="717" stopIfTrue="1">
      <formula>AND(AG48&gt;3)</formula>
    </cfRule>
  </conditionalFormatting>
  <conditionalFormatting sqref="AI50">
    <cfRule type="expression" dxfId="846" priority="639" stopIfTrue="1">
      <formula>AND(AG52&gt;1)</formula>
    </cfRule>
  </conditionalFormatting>
  <conditionalFormatting sqref="AI51">
    <cfRule type="expression" dxfId="845" priority="637" stopIfTrue="1">
      <formula>AND(AG52&gt;3)</formula>
    </cfRule>
  </conditionalFormatting>
  <conditionalFormatting sqref="AI54">
    <cfRule type="expression" dxfId="844" priority="451" stopIfTrue="1">
      <formula>AND(AG56&gt;1)</formula>
    </cfRule>
  </conditionalFormatting>
  <conditionalFormatting sqref="AI55">
    <cfRule type="expression" dxfId="843" priority="449" stopIfTrue="1">
      <formula>AND(AG56&gt;3)</formula>
    </cfRule>
  </conditionalFormatting>
  <conditionalFormatting sqref="AI58">
    <cfRule type="expression" dxfId="842" priority="371" stopIfTrue="1">
      <formula>AND(AG60&gt;1)</formula>
    </cfRule>
  </conditionalFormatting>
  <conditionalFormatting sqref="AI59">
    <cfRule type="expression" dxfId="841" priority="369" stopIfTrue="1">
      <formula>AND(AG60&gt;3)</formula>
    </cfRule>
  </conditionalFormatting>
  <conditionalFormatting sqref="AI62">
    <cfRule type="expression" dxfId="840" priority="131" stopIfTrue="1">
      <formula>AND(AG64&gt;1)</formula>
    </cfRule>
  </conditionalFormatting>
  <conditionalFormatting sqref="AI63">
    <cfRule type="expression" dxfId="839" priority="129" stopIfTrue="1">
      <formula>AND(AG64&gt;3)</formula>
    </cfRule>
  </conditionalFormatting>
  <conditionalFormatting sqref="AI66">
    <cfRule type="expression" dxfId="838" priority="211" stopIfTrue="1">
      <formula>AND(AG68&gt;1)</formula>
    </cfRule>
  </conditionalFormatting>
  <conditionalFormatting sqref="AI67">
    <cfRule type="expression" dxfId="837" priority="209" stopIfTrue="1">
      <formula>AND(AG68&gt;3)</formula>
    </cfRule>
  </conditionalFormatting>
  <conditionalFormatting sqref="AI70">
    <cfRule type="expression" dxfId="836" priority="291" stopIfTrue="1">
      <formula>AND(AG72&gt;1)</formula>
    </cfRule>
  </conditionalFormatting>
  <conditionalFormatting sqref="AI71">
    <cfRule type="expression" dxfId="835" priority="289" stopIfTrue="1">
      <formula>AND(AG72&gt;3)</formula>
    </cfRule>
  </conditionalFormatting>
  <conditionalFormatting sqref="AI74">
    <cfRule type="expression" dxfId="834" priority="51" stopIfTrue="1">
      <formula>AND(AG76&gt;1)</formula>
    </cfRule>
  </conditionalFormatting>
  <conditionalFormatting sqref="AI75">
    <cfRule type="expression" dxfId="833" priority="49" stopIfTrue="1">
      <formula>AND(AG76&gt;3)</formula>
    </cfRule>
  </conditionalFormatting>
  <conditionalFormatting sqref="AI78">
    <cfRule type="expression" dxfId="832" priority="539" stopIfTrue="1">
      <formula>AND(AG80&gt;1)</formula>
    </cfRule>
  </conditionalFormatting>
  <conditionalFormatting sqref="AI79">
    <cfRule type="expression" dxfId="831" priority="537" stopIfTrue="1">
      <formula>AND(AG80&gt;3)</formula>
    </cfRule>
  </conditionalFormatting>
  <conditionalFormatting sqref="AL6">
    <cfRule type="expression" dxfId="830" priority="580" stopIfTrue="1">
      <formula>AND(AK8&gt;0)</formula>
    </cfRule>
  </conditionalFormatting>
  <conditionalFormatting sqref="AL7">
    <cfRule type="expression" dxfId="829" priority="578" stopIfTrue="1">
      <formula>AND(AK8&gt;2)</formula>
    </cfRule>
  </conditionalFormatting>
  <conditionalFormatting sqref="AL14">
    <cfRule type="expression" dxfId="828" priority="1352" stopIfTrue="1">
      <formula>AND(AK16&gt;0)</formula>
    </cfRule>
  </conditionalFormatting>
  <conditionalFormatting sqref="AL15">
    <cfRule type="expression" dxfId="827" priority="1350" stopIfTrue="1">
      <formula>AND(AK16&gt;2)</formula>
    </cfRule>
  </conditionalFormatting>
  <conditionalFormatting sqref="AL18">
    <cfRule type="expression" dxfId="826" priority="1276" stopIfTrue="1">
      <formula>AND(AK20&gt;0)</formula>
    </cfRule>
  </conditionalFormatting>
  <conditionalFormatting sqref="AL19">
    <cfRule type="expression" dxfId="825" priority="1274" stopIfTrue="1">
      <formula>AND(AK20&gt;2)</formula>
    </cfRule>
  </conditionalFormatting>
  <conditionalFormatting sqref="AL22">
    <cfRule type="expression" dxfId="824" priority="1196" stopIfTrue="1">
      <formula>AND(AK24&gt;0)</formula>
    </cfRule>
  </conditionalFormatting>
  <conditionalFormatting sqref="AL23">
    <cfRule type="expression" dxfId="823" priority="1194" stopIfTrue="1">
      <formula>AND(AK24&gt;2)</formula>
    </cfRule>
  </conditionalFormatting>
  <conditionalFormatting sqref="AL26">
    <cfRule type="expression" dxfId="822" priority="1116" stopIfTrue="1">
      <formula>AND(AK28&gt;0)</formula>
    </cfRule>
  </conditionalFormatting>
  <conditionalFormatting sqref="AL27">
    <cfRule type="expression" dxfId="821" priority="1114" stopIfTrue="1">
      <formula>AND(AK28&gt;2)</formula>
    </cfRule>
  </conditionalFormatting>
  <conditionalFormatting sqref="AL30">
    <cfRule type="expression" dxfId="820" priority="1036" stopIfTrue="1">
      <formula>AND(AK32&gt;0)</formula>
    </cfRule>
  </conditionalFormatting>
  <conditionalFormatting sqref="AL31">
    <cfRule type="expression" dxfId="819" priority="1034" stopIfTrue="1">
      <formula>AND(AK32&gt;2)</formula>
    </cfRule>
  </conditionalFormatting>
  <conditionalFormatting sqref="AL34">
    <cfRule type="expression" dxfId="818" priority="956" stopIfTrue="1">
      <formula>AND(AK36&gt;0)</formula>
    </cfRule>
  </conditionalFormatting>
  <conditionalFormatting sqref="AL35">
    <cfRule type="expression" dxfId="817" priority="954" stopIfTrue="1">
      <formula>AND(AK36&gt;2)</formula>
    </cfRule>
  </conditionalFormatting>
  <conditionalFormatting sqref="AL38">
    <cfRule type="expression" dxfId="816" priority="876" stopIfTrue="1">
      <formula>AND(AK40&gt;0)</formula>
    </cfRule>
  </conditionalFormatting>
  <conditionalFormatting sqref="AL39">
    <cfRule type="expression" dxfId="815" priority="874" stopIfTrue="1">
      <formula>AND(AK40&gt;2)</formula>
    </cfRule>
  </conditionalFormatting>
  <conditionalFormatting sqref="AL42">
    <cfRule type="expression" dxfId="814" priority="796" stopIfTrue="1">
      <formula>AND(AK44&gt;0)</formula>
    </cfRule>
  </conditionalFormatting>
  <conditionalFormatting sqref="AL43">
    <cfRule type="expression" dxfId="813" priority="794" stopIfTrue="1">
      <formula>AND(AK44&gt;2)</formula>
    </cfRule>
  </conditionalFormatting>
  <conditionalFormatting sqref="AL46">
    <cfRule type="expression" dxfId="812" priority="716" stopIfTrue="1">
      <formula>AND(AK48&gt;0)</formula>
    </cfRule>
  </conditionalFormatting>
  <conditionalFormatting sqref="AL47">
    <cfRule type="expression" dxfId="811" priority="714" stopIfTrue="1">
      <formula>AND(AK48&gt;2)</formula>
    </cfRule>
  </conditionalFormatting>
  <conditionalFormatting sqref="AL50">
    <cfRule type="expression" dxfId="810" priority="636" stopIfTrue="1">
      <formula>AND(AK52&gt;0)</formula>
    </cfRule>
  </conditionalFormatting>
  <conditionalFormatting sqref="AL51">
    <cfRule type="expression" dxfId="809" priority="634" stopIfTrue="1">
      <formula>AND(AK52&gt;2)</formula>
    </cfRule>
  </conditionalFormatting>
  <conditionalFormatting sqref="AL54">
    <cfRule type="expression" dxfId="808" priority="448" stopIfTrue="1">
      <formula>AND(AK56&gt;0)</formula>
    </cfRule>
  </conditionalFormatting>
  <conditionalFormatting sqref="AL55">
    <cfRule type="expression" dxfId="807" priority="446" stopIfTrue="1">
      <formula>AND(AK56&gt;2)</formula>
    </cfRule>
  </conditionalFormatting>
  <conditionalFormatting sqref="AL58">
    <cfRule type="expression" dxfId="806" priority="368" stopIfTrue="1">
      <formula>AND(AK60&gt;0)</formula>
    </cfRule>
  </conditionalFormatting>
  <conditionalFormatting sqref="AL59">
    <cfRule type="expression" dxfId="805" priority="366" stopIfTrue="1">
      <formula>AND(AK60&gt;2)</formula>
    </cfRule>
  </conditionalFormatting>
  <conditionalFormatting sqref="AL62">
    <cfRule type="expression" dxfId="804" priority="128" stopIfTrue="1">
      <formula>AND(AK64&gt;0)</formula>
    </cfRule>
  </conditionalFormatting>
  <conditionalFormatting sqref="AL63">
    <cfRule type="expression" dxfId="803" priority="126" stopIfTrue="1">
      <formula>AND(AK64&gt;2)</formula>
    </cfRule>
  </conditionalFormatting>
  <conditionalFormatting sqref="AL66">
    <cfRule type="expression" dxfId="802" priority="208" stopIfTrue="1">
      <formula>AND(AK68&gt;0)</formula>
    </cfRule>
  </conditionalFormatting>
  <conditionalFormatting sqref="AL67">
    <cfRule type="expression" dxfId="801" priority="206" stopIfTrue="1">
      <formula>AND(AK68&gt;2)</formula>
    </cfRule>
  </conditionalFormatting>
  <conditionalFormatting sqref="AL70">
    <cfRule type="expression" dxfId="800" priority="288" stopIfTrue="1">
      <formula>AND(AK72&gt;0)</formula>
    </cfRule>
  </conditionalFormatting>
  <conditionalFormatting sqref="AL71">
    <cfRule type="expression" dxfId="799" priority="286" stopIfTrue="1">
      <formula>AND(AK72&gt;2)</formula>
    </cfRule>
  </conditionalFormatting>
  <conditionalFormatting sqref="AL74">
    <cfRule type="expression" dxfId="798" priority="48" stopIfTrue="1">
      <formula>AND(AK76&gt;0)</formula>
    </cfRule>
  </conditionalFormatting>
  <conditionalFormatting sqref="AL75">
    <cfRule type="expression" dxfId="797" priority="46" stopIfTrue="1">
      <formula>AND(AK76&gt;2)</formula>
    </cfRule>
  </conditionalFormatting>
  <conditionalFormatting sqref="AL78">
    <cfRule type="expression" dxfId="796" priority="536" stopIfTrue="1">
      <formula>AND(AK80&gt;0)</formula>
    </cfRule>
  </conditionalFormatting>
  <conditionalFormatting sqref="AL79">
    <cfRule type="expression" dxfId="795" priority="534" stopIfTrue="1">
      <formula>AND(AK80&gt;2)</formula>
    </cfRule>
  </conditionalFormatting>
  <conditionalFormatting sqref="AM6">
    <cfRule type="expression" dxfId="794" priority="579" stopIfTrue="1">
      <formula>AND(AK8&gt;1)</formula>
    </cfRule>
  </conditionalFormatting>
  <conditionalFormatting sqref="AM7">
    <cfRule type="expression" dxfId="793" priority="577" stopIfTrue="1">
      <formula>AND(AK8&gt;3)</formula>
    </cfRule>
  </conditionalFormatting>
  <conditionalFormatting sqref="AM14">
    <cfRule type="expression" dxfId="792" priority="1351" stopIfTrue="1">
      <formula>AND(AK16&gt;1)</formula>
    </cfRule>
  </conditionalFormatting>
  <conditionalFormatting sqref="AM15">
    <cfRule type="expression" dxfId="791" priority="1349" stopIfTrue="1">
      <formula>AND(AK16&gt;3)</formula>
    </cfRule>
  </conditionalFormatting>
  <conditionalFormatting sqref="AM18">
    <cfRule type="expression" dxfId="790" priority="1275" stopIfTrue="1">
      <formula>AND(AK20&gt;1)</formula>
    </cfRule>
  </conditionalFormatting>
  <conditionalFormatting sqref="AM19">
    <cfRule type="expression" dxfId="789" priority="1273" stopIfTrue="1">
      <formula>AND(AK20&gt;3)</formula>
    </cfRule>
  </conditionalFormatting>
  <conditionalFormatting sqref="AM22">
    <cfRule type="expression" dxfId="788" priority="1195" stopIfTrue="1">
      <formula>AND(AK24&gt;1)</formula>
    </cfRule>
  </conditionalFormatting>
  <conditionalFormatting sqref="AM23">
    <cfRule type="expression" dxfId="787" priority="1193" stopIfTrue="1">
      <formula>AND(AK24&gt;3)</formula>
    </cfRule>
  </conditionalFormatting>
  <conditionalFormatting sqref="AM26">
    <cfRule type="expression" dxfId="786" priority="1115" stopIfTrue="1">
      <formula>AND(AK28&gt;1)</formula>
    </cfRule>
  </conditionalFormatting>
  <conditionalFormatting sqref="AM27">
    <cfRule type="expression" dxfId="785" priority="1113" stopIfTrue="1">
      <formula>AND(AK28&gt;3)</formula>
    </cfRule>
  </conditionalFormatting>
  <conditionalFormatting sqref="AM30">
    <cfRule type="expression" dxfId="784" priority="1035" stopIfTrue="1">
      <formula>AND(AK32&gt;1)</formula>
    </cfRule>
  </conditionalFormatting>
  <conditionalFormatting sqref="AM31">
    <cfRule type="expression" dxfId="783" priority="1033" stopIfTrue="1">
      <formula>AND(AK32&gt;3)</formula>
    </cfRule>
  </conditionalFormatting>
  <conditionalFormatting sqref="AM34">
    <cfRule type="expression" dxfId="782" priority="955" stopIfTrue="1">
      <formula>AND(AK36&gt;1)</formula>
    </cfRule>
  </conditionalFormatting>
  <conditionalFormatting sqref="AM35">
    <cfRule type="expression" dxfId="781" priority="953" stopIfTrue="1">
      <formula>AND(AK36&gt;3)</formula>
    </cfRule>
  </conditionalFormatting>
  <conditionalFormatting sqref="AM38">
    <cfRule type="expression" dxfId="780" priority="875" stopIfTrue="1">
      <formula>AND(AK40&gt;1)</formula>
    </cfRule>
  </conditionalFormatting>
  <conditionalFormatting sqref="AM39">
    <cfRule type="expression" dxfId="779" priority="873" stopIfTrue="1">
      <formula>AND(AK40&gt;3)</formula>
    </cfRule>
  </conditionalFormatting>
  <conditionalFormatting sqref="AM42">
    <cfRule type="expression" dxfId="778" priority="795" stopIfTrue="1">
      <formula>AND(AK44&gt;1)</formula>
    </cfRule>
  </conditionalFormatting>
  <conditionalFormatting sqref="AM43">
    <cfRule type="expression" dxfId="777" priority="793" stopIfTrue="1">
      <formula>AND(AK44&gt;3)</formula>
    </cfRule>
  </conditionalFormatting>
  <conditionalFormatting sqref="AM46">
    <cfRule type="expression" dxfId="776" priority="715" stopIfTrue="1">
      <formula>AND(AK48&gt;1)</formula>
    </cfRule>
  </conditionalFormatting>
  <conditionalFormatting sqref="AM47">
    <cfRule type="expression" dxfId="775" priority="713" stopIfTrue="1">
      <formula>AND(AK48&gt;3)</formula>
    </cfRule>
  </conditionalFormatting>
  <conditionalFormatting sqref="AM50">
    <cfRule type="expression" dxfId="774" priority="635" stopIfTrue="1">
      <formula>AND(AK52&gt;1)</formula>
    </cfRule>
  </conditionalFormatting>
  <conditionalFormatting sqref="AM51">
    <cfRule type="expression" dxfId="773" priority="633" stopIfTrue="1">
      <formula>AND(AK52&gt;3)</formula>
    </cfRule>
  </conditionalFormatting>
  <conditionalFormatting sqref="AM54">
    <cfRule type="expression" dxfId="772" priority="447" stopIfTrue="1">
      <formula>AND(AK56&gt;1)</formula>
    </cfRule>
  </conditionalFormatting>
  <conditionalFormatting sqref="AM55">
    <cfRule type="expression" dxfId="771" priority="445" stopIfTrue="1">
      <formula>AND(AK56&gt;3)</formula>
    </cfRule>
  </conditionalFormatting>
  <conditionalFormatting sqref="AM58">
    <cfRule type="expression" dxfId="770" priority="367" stopIfTrue="1">
      <formula>AND(AK60&gt;1)</formula>
    </cfRule>
  </conditionalFormatting>
  <conditionalFormatting sqref="AM59">
    <cfRule type="expression" dxfId="769" priority="365" stopIfTrue="1">
      <formula>AND(AK60&gt;3)</formula>
    </cfRule>
  </conditionalFormatting>
  <conditionalFormatting sqref="AM62">
    <cfRule type="expression" dxfId="768" priority="127" stopIfTrue="1">
      <formula>AND(AK64&gt;1)</formula>
    </cfRule>
  </conditionalFormatting>
  <conditionalFormatting sqref="AM63">
    <cfRule type="expression" dxfId="767" priority="125" stopIfTrue="1">
      <formula>AND(AK64&gt;3)</formula>
    </cfRule>
  </conditionalFormatting>
  <conditionalFormatting sqref="AM66">
    <cfRule type="expression" dxfId="766" priority="207" stopIfTrue="1">
      <formula>AND(AK68&gt;1)</formula>
    </cfRule>
  </conditionalFormatting>
  <conditionalFormatting sqref="AM67">
    <cfRule type="expression" dxfId="765" priority="205" stopIfTrue="1">
      <formula>AND(AK68&gt;3)</formula>
    </cfRule>
  </conditionalFormatting>
  <conditionalFormatting sqref="AM70">
    <cfRule type="expression" dxfId="764" priority="287" stopIfTrue="1">
      <formula>AND(AK72&gt;1)</formula>
    </cfRule>
  </conditionalFormatting>
  <conditionalFormatting sqref="AM71">
    <cfRule type="expression" dxfId="763" priority="285" stopIfTrue="1">
      <formula>AND(AK72&gt;3)</formula>
    </cfRule>
  </conditionalFormatting>
  <conditionalFormatting sqref="AM74">
    <cfRule type="expression" dxfId="762" priority="47" stopIfTrue="1">
      <formula>AND(AK76&gt;1)</formula>
    </cfRule>
  </conditionalFormatting>
  <conditionalFormatting sqref="AM75">
    <cfRule type="expression" dxfId="761" priority="45" stopIfTrue="1">
      <formula>AND(AK76&gt;3)</formula>
    </cfRule>
  </conditionalFormatting>
  <conditionalFormatting sqref="AM78">
    <cfRule type="expression" dxfId="760" priority="535" stopIfTrue="1">
      <formula>AND(AK80&gt;1)</formula>
    </cfRule>
  </conditionalFormatting>
  <conditionalFormatting sqref="AM79">
    <cfRule type="expression" dxfId="759" priority="533" stopIfTrue="1">
      <formula>AND(AK80&gt;3)</formula>
    </cfRule>
  </conditionalFormatting>
  <conditionalFormatting sqref="AP14">
    <cfRule type="expression" dxfId="758" priority="1348" stopIfTrue="1">
      <formula>AND(AO16&gt;0)</formula>
    </cfRule>
  </conditionalFormatting>
  <conditionalFormatting sqref="AP15">
    <cfRule type="expression" dxfId="757" priority="1346" stopIfTrue="1">
      <formula>AND(AO16&gt;2)</formula>
    </cfRule>
  </conditionalFormatting>
  <conditionalFormatting sqref="AP18">
    <cfRule type="expression" dxfId="756" priority="1272" stopIfTrue="1">
      <formula>AND(AO20&gt;0)</formula>
    </cfRule>
  </conditionalFormatting>
  <conditionalFormatting sqref="AP19">
    <cfRule type="expression" dxfId="755" priority="1270" stopIfTrue="1">
      <formula>AND(AO20&gt;2)</formula>
    </cfRule>
  </conditionalFormatting>
  <conditionalFormatting sqref="AP22">
    <cfRule type="expression" dxfId="754" priority="1192" stopIfTrue="1">
      <formula>AND(AO24&gt;0)</formula>
    </cfRule>
  </conditionalFormatting>
  <conditionalFormatting sqref="AP23">
    <cfRule type="expression" dxfId="753" priority="1190" stopIfTrue="1">
      <formula>AND(AO24&gt;2)</formula>
    </cfRule>
  </conditionalFormatting>
  <conditionalFormatting sqref="AP26">
    <cfRule type="expression" dxfId="752" priority="1112" stopIfTrue="1">
      <formula>AND(AO28&gt;0)</formula>
    </cfRule>
  </conditionalFormatting>
  <conditionalFormatting sqref="AP27">
    <cfRule type="expression" dxfId="751" priority="1110" stopIfTrue="1">
      <formula>AND(AO28&gt;2)</formula>
    </cfRule>
  </conditionalFormatting>
  <conditionalFormatting sqref="AP30">
    <cfRule type="expression" dxfId="750" priority="1032" stopIfTrue="1">
      <formula>AND(AO32&gt;0)</formula>
    </cfRule>
  </conditionalFormatting>
  <conditionalFormatting sqref="AP31">
    <cfRule type="expression" dxfId="749" priority="1030" stopIfTrue="1">
      <formula>AND(AO32&gt;2)</formula>
    </cfRule>
  </conditionalFormatting>
  <conditionalFormatting sqref="AP34">
    <cfRule type="expression" dxfId="748" priority="952" stopIfTrue="1">
      <formula>AND(AO36&gt;0)</formula>
    </cfRule>
  </conditionalFormatting>
  <conditionalFormatting sqref="AP35">
    <cfRule type="expression" dxfId="747" priority="950" stopIfTrue="1">
      <formula>AND(AO36&gt;2)</formula>
    </cfRule>
  </conditionalFormatting>
  <conditionalFormatting sqref="AP38">
    <cfRule type="expression" dxfId="746" priority="872" stopIfTrue="1">
      <formula>AND(AO40&gt;0)</formula>
    </cfRule>
  </conditionalFormatting>
  <conditionalFormatting sqref="AP39">
    <cfRule type="expression" dxfId="745" priority="870" stopIfTrue="1">
      <formula>AND(AO40&gt;2)</formula>
    </cfRule>
  </conditionalFormatting>
  <conditionalFormatting sqref="AP42">
    <cfRule type="expression" dxfId="744" priority="792" stopIfTrue="1">
      <formula>AND(AO44&gt;0)</formula>
    </cfRule>
  </conditionalFormatting>
  <conditionalFormatting sqref="AP43">
    <cfRule type="expression" dxfId="743" priority="790" stopIfTrue="1">
      <formula>AND(AO44&gt;2)</formula>
    </cfRule>
  </conditionalFormatting>
  <conditionalFormatting sqref="AP46">
    <cfRule type="expression" dxfId="742" priority="712" stopIfTrue="1">
      <formula>AND(AO48&gt;0)</formula>
    </cfRule>
  </conditionalFormatting>
  <conditionalFormatting sqref="AP47">
    <cfRule type="expression" dxfId="741" priority="710" stopIfTrue="1">
      <formula>AND(AO48&gt;2)</formula>
    </cfRule>
  </conditionalFormatting>
  <conditionalFormatting sqref="AP50">
    <cfRule type="expression" dxfId="740" priority="632" stopIfTrue="1">
      <formula>AND(AO52&gt;0)</formula>
    </cfRule>
  </conditionalFormatting>
  <conditionalFormatting sqref="AP51">
    <cfRule type="expression" dxfId="739" priority="630" stopIfTrue="1">
      <formula>AND(AO52&gt;2)</formula>
    </cfRule>
  </conditionalFormatting>
  <conditionalFormatting sqref="AP54">
    <cfRule type="expression" dxfId="738" priority="444" stopIfTrue="1">
      <formula>AND(AO56&gt;0)</formula>
    </cfRule>
  </conditionalFormatting>
  <conditionalFormatting sqref="AP55">
    <cfRule type="expression" dxfId="737" priority="442" stopIfTrue="1">
      <formula>AND(AO56&gt;2)</formula>
    </cfRule>
  </conditionalFormatting>
  <conditionalFormatting sqref="AP58">
    <cfRule type="expression" dxfId="736" priority="364" stopIfTrue="1">
      <formula>AND(AO60&gt;0)</formula>
    </cfRule>
  </conditionalFormatting>
  <conditionalFormatting sqref="AP59">
    <cfRule type="expression" dxfId="735" priority="362" stopIfTrue="1">
      <formula>AND(AO60&gt;2)</formula>
    </cfRule>
  </conditionalFormatting>
  <conditionalFormatting sqref="AP62">
    <cfRule type="expression" dxfId="734" priority="124" stopIfTrue="1">
      <formula>AND(AO64&gt;0)</formula>
    </cfRule>
  </conditionalFormatting>
  <conditionalFormatting sqref="AP63">
    <cfRule type="expression" dxfId="733" priority="122" stopIfTrue="1">
      <formula>AND(AO64&gt;2)</formula>
    </cfRule>
  </conditionalFormatting>
  <conditionalFormatting sqref="AP66">
    <cfRule type="expression" dxfId="732" priority="204" stopIfTrue="1">
      <formula>AND(AO68&gt;0)</formula>
    </cfRule>
  </conditionalFormatting>
  <conditionalFormatting sqref="AP67">
    <cfRule type="expression" dxfId="731" priority="202" stopIfTrue="1">
      <formula>AND(AO68&gt;2)</formula>
    </cfRule>
  </conditionalFormatting>
  <conditionalFormatting sqref="AP70">
    <cfRule type="expression" dxfId="730" priority="284" stopIfTrue="1">
      <formula>AND(AO72&gt;0)</formula>
    </cfRule>
  </conditionalFormatting>
  <conditionalFormatting sqref="AP71">
    <cfRule type="expression" dxfId="729" priority="282" stopIfTrue="1">
      <formula>AND(AO72&gt;2)</formula>
    </cfRule>
  </conditionalFormatting>
  <conditionalFormatting sqref="AP74">
    <cfRule type="expression" dxfId="728" priority="44" stopIfTrue="1">
      <formula>AND(AO76&gt;0)</formula>
    </cfRule>
  </conditionalFormatting>
  <conditionalFormatting sqref="AP75">
    <cfRule type="expression" dxfId="727" priority="42" stopIfTrue="1">
      <formula>AND(AO76&gt;2)</formula>
    </cfRule>
  </conditionalFormatting>
  <conditionalFormatting sqref="AP78">
    <cfRule type="expression" dxfId="726" priority="532" stopIfTrue="1">
      <formula>AND(AO80&gt;0)</formula>
    </cfRule>
  </conditionalFormatting>
  <conditionalFormatting sqref="AP79">
    <cfRule type="expression" dxfId="725" priority="530" stopIfTrue="1">
      <formula>AND(AO80&gt;2)</formula>
    </cfRule>
  </conditionalFormatting>
  <conditionalFormatting sqref="AQ14">
    <cfRule type="expression" dxfId="724" priority="1347" stopIfTrue="1">
      <formula>AND(AO16&gt;1)</formula>
    </cfRule>
  </conditionalFormatting>
  <conditionalFormatting sqref="AQ15">
    <cfRule type="expression" dxfId="723" priority="1345" stopIfTrue="1">
      <formula>AND(AO16&gt;3)</formula>
    </cfRule>
  </conditionalFormatting>
  <conditionalFormatting sqref="AQ18">
    <cfRule type="expression" dxfId="722" priority="1271" stopIfTrue="1">
      <formula>AND(AO20&gt;1)</formula>
    </cfRule>
  </conditionalFormatting>
  <conditionalFormatting sqref="AQ19">
    <cfRule type="expression" dxfId="721" priority="1269" stopIfTrue="1">
      <formula>AND(AO20&gt;3)</formula>
    </cfRule>
  </conditionalFormatting>
  <conditionalFormatting sqref="AQ22">
    <cfRule type="expression" dxfId="720" priority="1191" stopIfTrue="1">
      <formula>AND(AO24&gt;1)</formula>
    </cfRule>
  </conditionalFormatting>
  <conditionalFormatting sqref="AQ23">
    <cfRule type="expression" dxfId="719" priority="1189" stopIfTrue="1">
      <formula>AND(AO24&gt;3)</formula>
    </cfRule>
  </conditionalFormatting>
  <conditionalFormatting sqref="AQ26">
    <cfRule type="expression" dxfId="718" priority="1111" stopIfTrue="1">
      <formula>AND(AO28&gt;1)</formula>
    </cfRule>
  </conditionalFormatting>
  <conditionalFormatting sqref="AQ27">
    <cfRule type="expression" dxfId="717" priority="1109" stopIfTrue="1">
      <formula>AND(AO28&gt;3)</formula>
    </cfRule>
  </conditionalFormatting>
  <conditionalFormatting sqref="AQ30">
    <cfRule type="expression" dxfId="716" priority="1031" stopIfTrue="1">
      <formula>AND(AO32&gt;1)</formula>
    </cfRule>
  </conditionalFormatting>
  <conditionalFormatting sqref="AQ31">
    <cfRule type="expression" dxfId="715" priority="1029" stopIfTrue="1">
      <formula>AND(AO32&gt;3)</formula>
    </cfRule>
  </conditionalFormatting>
  <conditionalFormatting sqref="AQ34">
    <cfRule type="expression" dxfId="714" priority="951" stopIfTrue="1">
      <formula>AND(AO36&gt;1)</formula>
    </cfRule>
  </conditionalFormatting>
  <conditionalFormatting sqref="AQ35">
    <cfRule type="expression" dxfId="713" priority="949" stopIfTrue="1">
      <formula>AND(AO36&gt;3)</formula>
    </cfRule>
  </conditionalFormatting>
  <conditionalFormatting sqref="AQ38">
    <cfRule type="expression" dxfId="712" priority="871" stopIfTrue="1">
      <formula>AND(AO40&gt;1)</formula>
    </cfRule>
  </conditionalFormatting>
  <conditionalFormatting sqref="AQ39">
    <cfRule type="expression" dxfId="711" priority="869" stopIfTrue="1">
      <formula>AND(AO40&gt;3)</formula>
    </cfRule>
  </conditionalFormatting>
  <conditionalFormatting sqref="AQ42">
    <cfRule type="expression" dxfId="710" priority="791" stopIfTrue="1">
      <formula>AND(AO44&gt;1)</formula>
    </cfRule>
  </conditionalFormatting>
  <conditionalFormatting sqref="AQ43">
    <cfRule type="expression" dxfId="709" priority="789" stopIfTrue="1">
      <formula>AND(AO44&gt;3)</formula>
    </cfRule>
  </conditionalFormatting>
  <conditionalFormatting sqref="AQ46">
    <cfRule type="expression" dxfId="708" priority="711" stopIfTrue="1">
      <formula>AND(AO48&gt;1)</formula>
    </cfRule>
  </conditionalFormatting>
  <conditionalFormatting sqref="AQ47">
    <cfRule type="expression" dxfId="707" priority="709" stopIfTrue="1">
      <formula>AND(AO48&gt;3)</formula>
    </cfRule>
  </conditionalFormatting>
  <conditionalFormatting sqref="AQ50">
    <cfRule type="expression" dxfId="706" priority="631" stopIfTrue="1">
      <formula>AND(AO52&gt;1)</formula>
    </cfRule>
  </conditionalFormatting>
  <conditionalFormatting sqref="AQ51">
    <cfRule type="expression" dxfId="705" priority="629" stopIfTrue="1">
      <formula>AND(AO52&gt;3)</formula>
    </cfRule>
  </conditionalFormatting>
  <conditionalFormatting sqref="AQ54">
    <cfRule type="expression" dxfId="704" priority="443" stopIfTrue="1">
      <formula>AND(AO56&gt;1)</formula>
    </cfRule>
  </conditionalFormatting>
  <conditionalFormatting sqref="AQ55">
    <cfRule type="expression" dxfId="703" priority="441" stopIfTrue="1">
      <formula>AND(AO56&gt;3)</formula>
    </cfRule>
  </conditionalFormatting>
  <conditionalFormatting sqref="AQ58">
    <cfRule type="expression" dxfId="702" priority="363" stopIfTrue="1">
      <formula>AND(AO60&gt;1)</formula>
    </cfRule>
  </conditionalFormatting>
  <conditionalFormatting sqref="AQ59">
    <cfRule type="expression" dxfId="701" priority="361" stopIfTrue="1">
      <formula>AND(AO60&gt;3)</formula>
    </cfRule>
  </conditionalFormatting>
  <conditionalFormatting sqref="AQ62">
    <cfRule type="expression" dxfId="700" priority="123" stopIfTrue="1">
      <formula>AND(AO64&gt;1)</formula>
    </cfRule>
  </conditionalFormatting>
  <conditionalFormatting sqref="AQ63">
    <cfRule type="expression" dxfId="699" priority="121" stopIfTrue="1">
      <formula>AND(AO64&gt;3)</formula>
    </cfRule>
  </conditionalFormatting>
  <conditionalFormatting sqref="AQ66">
    <cfRule type="expression" dxfId="698" priority="203" stopIfTrue="1">
      <formula>AND(AO68&gt;1)</formula>
    </cfRule>
  </conditionalFormatting>
  <conditionalFormatting sqref="AQ67">
    <cfRule type="expression" dxfId="697" priority="201" stopIfTrue="1">
      <formula>AND(AO68&gt;3)</formula>
    </cfRule>
  </conditionalFormatting>
  <conditionalFormatting sqref="AQ70">
    <cfRule type="expression" dxfId="696" priority="283" stopIfTrue="1">
      <formula>AND(AO72&gt;1)</formula>
    </cfRule>
  </conditionalFormatting>
  <conditionalFormatting sqref="AQ71">
    <cfRule type="expression" dxfId="695" priority="281" stopIfTrue="1">
      <formula>AND(AO72&gt;3)</formula>
    </cfRule>
  </conditionalFormatting>
  <conditionalFormatting sqref="AQ74">
    <cfRule type="expression" dxfId="694" priority="43" stopIfTrue="1">
      <formula>AND(AO76&gt;1)</formula>
    </cfRule>
  </conditionalFormatting>
  <conditionalFormatting sqref="AQ75">
    <cfRule type="expression" dxfId="693" priority="41" stopIfTrue="1">
      <formula>AND(AO76&gt;3)</formula>
    </cfRule>
  </conditionalFormatting>
  <conditionalFormatting sqref="AQ78">
    <cfRule type="expression" dxfId="692" priority="531" stopIfTrue="1">
      <formula>AND(AO80&gt;1)</formula>
    </cfRule>
  </conditionalFormatting>
  <conditionalFormatting sqref="AQ79">
    <cfRule type="expression" dxfId="691" priority="529" stopIfTrue="1">
      <formula>AND(AO80&gt;3)</formula>
    </cfRule>
  </conditionalFormatting>
  <conditionalFormatting sqref="AT14">
    <cfRule type="expression" dxfId="690" priority="1344" stopIfTrue="1">
      <formula>AND(AS16&gt;0)</formula>
    </cfRule>
  </conditionalFormatting>
  <conditionalFormatting sqref="AT15">
    <cfRule type="expression" dxfId="689" priority="1342" stopIfTrue="1">
      <formula>AND(AS16&gt;2)</formula>
    </cfRule>
  </conditionalFormatting>
  <conditionalFormatting sqref="AT18">
    <cfRule type="expression" dxfId="688" priority="1268" stopIfTrue="1">
      <formula>AND(AS20&gt;0)</formula>
    </cfRule>
  </conditionalFormatting>
  <conditionalFormatting sqref="AT19">
    <cfRule type="expression" dxfId="687" priority="1266" stopIfTrue="1">
      <formula>AND(AS20&gt;2)</formula>
    </cfRule>
  </conditionalFormatting>
  <conditionalFormatting sqref="AT22">
    <cfRule type="expression" dxfId="686" priority="1188" stopIfTrue="1">
      <formula>AND(AS24&gt;0)</formula>
    </cfRule>
  </conditionalFormatting>
  <conditionalFormatting sqref="AT23">
    <cfRule type="expression" dxfId="685" priority="1186" stopIfTrue="1">
      <formula>AND(AS24&gt;2)</formula>
    </cfRule>
  </conditionalFormatting>
  <conditionalFormatting sqref="AT26">
    <cfRule type="expression" dxfId="684" priority="1108" stopIfTrue="1">
      <formula>AND(AS28&gt;0)</formula>
    </cfRule>
  </conditionalFormatting>
  <conditionalFormatting sqref="AT27">
    <cfRule type="expression" dxfId="683" priority="1106" stopIfTrue="1">
      <formula>AND(AS28&gt;2)</formula>
    </cfRule>
  </conditionalFormatting>
  <conditionalFormatting sqref="AT30">
    <cfRule type="expression" dxfId="682" priority="1028" stopIfTrue="1">
      <formula>AND(AS32&gt;0)</formula>
    </cfRule>
  </conditionalFormatting>
  <conditionalFormatting sqref="AT31">
    <cfRule type="expression" dxfId="681" priority="1026" stopIfTrue="1">
      <formula>AND(AS32&gt;2)</formula>
    </cfRule>
  </conditionalFormatting>
  <conditionalFormatting sqref="AT34">
    <cfRule type="expression" dxfId="680" priority="948" stopIfTrue="1">
      <formula>AND(AS36&gt;0)</formula>
    </cfRule>
  </conditionalFormatting>
  <conditionalFormatting sqref="AT35">
    <cfRule type="expression" dxfId="679" priority="946" stopIfTrue="1">
      <formula>AND(AS36&gt;2)</formula>
    </cfRule>
  </conditionalFormatting>
  <conditionalFormatting sqref="AT38">
    <cfRule type="expression" dxfId="678" priority="868" stopIfTrue="1">
      <formula>AND(AS40&gt;0)</formula>
    </cfRule>
  </conditionalFormatting>
  <conditionalFormatting sqref="AT39">
    <cfRule type="expression" dxfId="677" priority="866" stopIfTrue="1">
      <formula>AND(AS40&gt;2)</formula>
    </cfRule>
  </conditionalFormatting>
  <conditionalFormatting sqref="AT42">
    <cfRule type="expression" dxfId="676" priority="788" stopIfTrue="1">
      <formula>AND(AS44&gt;0)</formula>
    </cfRule>
  </conditionalFormatting>
  <conditionalFormatting sqref="AT43">
    <cfRule type="expression" dxfId="675" priority="786" stopIfTrue="1">
      <formula>AND(AS44&gt;2)</formula>
    </cfRule>
  </conditionalFormatting>
  <conditionalFormatting sqref="AT46">
    <cfRule type="expression" dxfId="674" priority="708" stopIfTrue="1">
      <formula>AND(AS48&gt;0)</formula>
    </cfRule>
  </conditionalFormatting>
  <conditionalFormatting sqref="AT47">
    <cfRule type="expression" dxfId="673" priority="706" stopIfTrue="1">
      <formula>AND(AS48&gt;2)</formula>
    </cfRule>
  </conditionalFormatting>
  <conditionalFormatting sqref="AT50">
    <cfRule type="expression" dxfId="672" priority="628" stopIfTrue="1">
      <formula>AND(AS52&gt;0)</formula>
    </cfRule>
  </conditionalFormatting>
  <conditionalFormatting sqref="AT51">
    <cfRule type="expression" dxfId="671" priority="626" stopIfTrue="1">
      <formula>AND(AS52&gt;2)</formula>
    </cfRule>
  </conditionalFormatting>
  <conditionalFormatting sqref="AT54">
    <cfRule type="expression" dxfId="670" priority="440" stopIfTrue="1">
      <formula>AND(AS56&gt;0)</formula>
    </cfRule>
  </conditionalFormatting>
  <conditionalFormatting sqref="AT55">
    <cfRule type="expression" dxfId="669" priority="438" stopIfTrue="1">
      <formula>AND(AS56&gt;2)</formula>
    </cfRule>
  </conditionalFormatting>
  <conditionalFormatting sqref="AT58">
    <cfRule type="expression" dxfId="668" priority="360" stopIfTrue="1">
      <formula>AND(AS60&gt;0)</formula>
    </cfRule>
  </conditionalFormatting>
  <conditionalFormatting sqref="AT59">
    <cfRule type="expression" dxfId="667" priority="358" stopIfTrue="1">
      <formula>AND(AS60&gt;2)</formula>
    </cfRule>
  </conditionalFormatting>
  <conditionalFormatting sqref="AT62">
    <cfRule type="expression" dxfId="666" priority="120" stopIfTrue="1">
      <formula>AND(AS64&gt;0)</formula>
    </cfRule>
  </conditionalFormatting>
  <conditionalFormatting sqref="AT63">
    <cfRule type="expression" dxfId="665" priority="118" stopIfTrue="1">
      <formula>AND(AS64&gt;2)</formula>
    </cfRule>
  </conditionalFormatting>
  <conditionalFormatting sqref="AT66">
    <cfRule type="expression" dxfId="664" priority="200" stopIfTrue="1">
      <formula>AND(AS68&gt;0)</formula>
    </cfRule>
  </conditionalFormatting>
  <conditionalFormatting sqref="AT67">
    <cfRule type="expression" dxfId="663" priority="198" stopIfTrue="1">
      <formula>AND(AS68&gt;2)</formula>
    </cfRule>
  </conditionalFormatting>
  <conditionalFormatting sqref="AT70">
    <cfRule type="expression" dxfId="662" priority="280" stopIfTrue="1">
      <formula>AND(AS72&gt;0)</formula>
    </cfRule>
  </conditionalFormatting>
  <conditionalFormatting sqref="AT71">
    <cfRule type="expression" dxfId="661" priority="278" stopIfTrue="1">
      <formula>AND(AS72&gt;2)</formula>
    </cfRule>
  </conditionalFormatting>
  <conditionalFormatting sqref="AT74">
    <cfRule type="expression" dxfId="660" priority="40" stopIfTrue="1">
      <formula>AND(AS76&gt;0)</formula>
    </cfRule>
  </conditionalFormatting>
  <conditionalFormatting sqref="AT75">
    <cfRule type="expression" dxfId="659" priority="38" stopIfTrue="1">
      <formula>AND(AS76&gt;2)</formula>
    </cfRule>
  </conditionalFormatting>
  <conditionalFormatting sqref="AT78">
    <cfRule type="expression" dxfId="658" priority="528" stopIfTrue="1">
      <formula>AND(AS80&gt;0)</formula>
    </cfRule>
  </conditionalFormatting>
  <conditionalFormatting sqref="AT79">
    <cfRule type="expression" dxfId="657" priority="526" stopIfTrue="1">
      <formula>AND(AS80&gt;2)</formula>
    </cfRule>
  </conditionalFormatting>
  <conditionalFormatting sqref="AU14">
    <cfRule type="expression" dxfId="656" priority="1343" stopIfTrue="1">
      <formula>AND(AS16&gt;1)</formula>
    </cfRule>
  </conditionalFormatting>
  <conditionalFormatting sqref="AU15">
    <cfRule type="expression" dxfId="655" priority="1341" stopIfTrue="1">
      <formula>AND(AS16&gt;3)</formula>
    </cfRule>
  </conditionalFormatting>
  <conditionalFormatting sqref="AU18">
    <cfRule type="expression" dxfId="654" priority="1267" stopIfTrue="1">
      <formula>AND(AS20&gt;1)</formula>
    </cfRule>
  </conditionalFormatting>
  <conditionalFormatting sqref="AU19">
    <cfRule type="expression" dxfId="653" priority="1265" stopIfTrue="1">
      <formula>AND(AS20&gt;3)</formula>
    </cfRule>
  </conditionalFormatting>
  <conditionalFormatting sqref="AU22">
    <cfRule type="expression" dxfId="652" priority="1187" stopIfTrue="1">
      <formula>AND(AS24&gt;1)</formula>
    </cfRule>
  </conditionalFormatting>
  <conditionalFormatting sqref="AU23">
    <cfRule type="expression" dxfId="651" priority="1185" stopIfTrue="1">
      <formula>AND(AS24&gt;3)</formula>
    </cfRule>
  </conditionalFormatting>
  <conditionalFormatting sqref="AU26">
    <cfRule type="expression" dxfId="650" priority="1107" stopIfTrue="1">
      <formula>AND(AS28&gt;1)</formula>
    </cfRule>
  </conditionalFormatting>
  <conditionalFormatting sqref="AU27">
    <cfRule type="expression" dxfId="649" priority="1105" stopIfTrue="1">
      <formula>AND(AS28&gt;3)</formula>
    </cfRule>
  </conditionalFormatting>
  <conditionalFormatting sqref="AU30">
    <cfRule type="expression" dxfId="648" priority="1027" stopIfTrue="1">
      <formula>AND(AS32&gt;1)</formula>
    </cfRule>
  </conditionalFormatting>
  <conditionalFormatting sqref="AU31">
    <cfRule type="expression" dxfId="647" priority="1025" stopIfTrue="1">
      <formula>AND(AS32&gt;3)</formula>
    </cfRule>
  </conditionalFormatting>
  <conditionalFormatting sqref="AU34">
    <cfRule type="expression" dxfId="646" priority="947" stopIfTrue="1">
      <formula>AND(AS36&gt;1)</formula>
    </cfRule>
  </conditionalFormatting>
  <conditionalFormatting sqref="AU35">
    <cfRule type="expression" dxfId="645" priority="945" stopIfTrue="1">
      <formula>AND(AS36&gt;3)</formula>
    </cfRule>
  </conditionalFormatting>
  <conditionalFormatting sqref="AU38">
    <cfRule type="expression" dxfId="644" priority="867" stopIfTrue="1">
      <formula>AND(AS40&gt;1)</formula>
    </cfRule>
  </conditionalFormatting>
  <conditionalFormatting sqref="AU39">
    <cfRule type="expression" dxfId="643" priority="865" stopIfTrue="1">
      <formula>AND(AS40&gt;3)</formula>
    </cfRule>
  </conditionalFormatting>
  <conditionalFormatting sqref="AU42">
    <cfRule type="expression" dxfId="642" priority="787" stopIfTrue="1">
      <formula>AND(AS44&gt;1)</formula>
    </cfRule>
  </conditionalFormatting>
  <conditionalFormatting sqref="AU43">
    <cfRule type="expression" dxfId="641" priority="785" stopIfTrue="1">
      <formula>AND(AS44&gt;3)</formula>
    </cfRule>
  </conditionalFormatting>
  <conditionalFormatting sqref="AU46">
    <cfRule type="expression" dxfId="640" priority="707" stopIfTrue="1">
      <formula>AND(AS48&gt;1)</formula>
    </cfRule>
  </conditionalFormatting>
  <conditionalFormatting sqref="AU47">
    <cfRule type="expression" dxfId="639" priority="705" stopIfTrue="1">
      <formula>AND(AS48&gt;3)</formula>
    </cfRule>
  </conditionalFormatting>
  <conditionalFormatting sqref="AU50">
    <cfRule type="expression" dxfId="638" priority="627" stopIfTrue="1">
      <formula>AND(AS52&gt;1)</formula>
    </cfRule>
  </conditionalFormatting>
  <conditionalFormatting sqref="AU51">
    <cfRule type="expression" dxfId="637" priority="625" stopIfTrue="1">
      <formula>AND(AS52&gt;3)</formula>
    </cfRule>
  </conditionalFormatting>
  <conditionalFormatting sqref="AU54">
    <cfRule type="expression" dxfId="636" priority="439" stopIfTrue="1">
      <formula>AND(AS56&gt;1)</formula>
    </cfRule>
  </conditionalFormatting>
  <conditionalFormatting sqref="AU55">
    <cfRule type="expression" dxfId="635" priority="437" stopIfTrue="1">
      <formula>AND(AS56&gt;3)</formula>
    </cfRule>
  </conditionalFormatting>
  <conditionalFormatting sqref="AU58">
    <cfRule type="expression" dxfId="634" priority="359" stopIfTrue="1">
      <formula>AND(AS60&gt;1)</formula>
    </cfRule>
  </conditionalFormatting>
  <conditionalFormatting sqref="AU59">
    <cfRule type="expression" dxfId="633" priority="357" stopIfTrue="1">
      <formula>AND(AS60&gt;3)</formula>
    </cfRule>
  </conditionalFormatting>
  <conditionalFormatting sqref="AU62">
    <cfRule type="expression" dxfId="632" priority="119" stopIfTrue="1">
      <formula>AND(AS64&gt;1)</formula>
    </cfRule>
  </conditionalFormatting>
  <conditionalFormatting sqref="AU63">
    <cfRule type="expression" dxfId="631" priority="117" stopIfTrue="1">
      <formula>AND(AS64&gt;3)</formula>
    </cfRule>
  </conditionalFormatting>
  <conditionalFormatting sqref="AU66">
    <cfRule type="expression" dxfId="630" priority="199" stopIfTrue="1">
      <formula>AND(AS68&gt;1)</formula>
    </cfRule>
  </conditionalFormatting>
  <conditionalFormatting sqref="AU67">
    <cfRule type="expression" dxfId="629" priority="197" stopIfTrue="1">
      <formula>AND(AS68&gt;3)</formula>
    </cfRule>
  </conditionalFormatting>
  <conditionalFormatting sqref="AU70">
    <cfRule type="expression" dxfId="628" priority="279" stopIfTrue="1">
      <formula>AND(AS72&gt;1)</formula>
    </cfRule>
  </conditionalFormatting>
  <conditionalFormatting sqref="AU71">
    <cfRule type="expression" dxfId="627" priority="277" stopIfTrue="1">
      <formula>AND(AS72&gt;3)</formula>
    </cfRule>
  </conditionalFormatting>
  <conditionalFormatting sqref="AU74">
    <cfRule type="expression" dxfId="626" priority="39" stopIfTrue="1">
      <formula>AND(AS76&gt;1)</formula>
    </cfRule>
  </conditionalFormatting>
  <conditionalFormatting sqref="AU75">
    <cfRule type="expression" dxfId="625" priority="37" stopIfTrue="1">
      <formula>AND(AS76&gt;3)</formula>
    </cfRule>
  </conditionalFormatting>
  <conditionalFormatting sqref="AU78">
    <cfRule type="expression" dxfId="624" priority="527" stopIfTrue="1">
      <formula>AND(AS80&gt;1)</formula>
    </cfRule>
  </conditionalFormatting>
  <conditionalFormatting sqref="AU79">
    <cfRule type="expression" dxfId="623" priority="525" stopIfTrue="1">
      <formula>AND(AS80&gt;3)</formula>
    </cfRule>
  </conditionalFormatting>
  <conditionalFormatting sqref="AX14">
    <cfRule type="expression" dxfId="622" priority="1340" stopIfTrue="1">
      <formula>AND(AW16&gt;0)</formula>
    </cfRule>
  </conditionalFormatting>
  <conditionalFormatting sqref="AX15">
    <cfRule type="expression" dxfId="621" priority="1338" stopIfTrue="1">
      <formula>AND(AW16&gt;2)</formula>
    </cfRule>
  </conditionalFormatting>
  <conditionalFormatting sqref="AX18">
    <cfRule type="expression" dxfId="620" priority="1264" stopIfTrue="1">
      <formula>AND(AW20&gt;0)</formula>
    </cfRule>
  </conditionalFormatting>
  <conditionalFormatting sqref="AX19">
    <cfRule type="expression" dxfId="619" priority="1262" stopIfTrue="1">
      <formula>AND(AW20&gt;2)</formula>
    </cfRule>
  </conditionalFormatting>
  <conditionalFormatting sqref="AX22">
    <cfRule type="expression" dxfId="618" priority="1184" stopIfTrue="1">
      <formula>AND(AW24&gt;0)</formula>
    </cfRule>
  </conditionalFormatting>
  <conditionalFormatting sqref="AX23">
    <cfRule type="expression" dxfId="617" priority="1182" stopIfTrue="1">
      <formula>AND(AW24&gt;2)</formula>
    </cfRule>
  </conditionalFormatting>
  <conditionalFormatting sqref="AX26">
    <cfRule type="expression" dxfId="616" priority="1104" stopIfTrue="1">
      <formula>AND(AW28&gt;0)</formula>
    </cfRule>
  </conditionalFormatting>
  <conditionalFormatting sqref="AX27">
    <cfRule type="expression" dxfId="615" priority="1102" stopIfTrue="1">
      <formula>AND(AW28&gt;2)</formula>
    </cfRule>
  </conditionalFormatting>
  <conditionalFormatting sqref="AX30">
    <cfRule type="expression" dxfId="614" priority="1024" stopIfTrue="1">
      <formula>AND(AW32&gt;0)</formula>
    </cfRule>
  </conditionalFormatting>
  <conditionalFormatting sqref="AX31">
    <cfRule type="expression" dxfId="613" priority="1022" stopIfTrue="1">
      <formula>AND(AW32&gt;2)</formula>
    </cfRule>
  </conditionalFormatting>
  <conditionalFormatting sqref="AX34">
    <cfRule type="expression" dxfId="612" priority="944" stopIfTrue="1">
      <formula>AND(AW36&gt;0)</formula>
    </cfRule>
  </conditionalFormatting>
  <conditionalFormatting sqref="AX35">
    <cfRule type="expression" dxfId="611" priority="942" stopIfTrue="1">
      <formula>AND(AW36&gt;2)</formula>
    </cfRule>
  </conditionalFormatting>
  <conditionalFormatting sqref="AX38">
    <cfRule type="expression" dxfId="610" priority="864" stopIfTrue="1">
      <formula>AND(AW40&gt;0)</formula>
    </cfRule>
  </conditionalFormatting>
  <conditionalFormatting sqref="AX39">
    <cfRule type="expression" dxfId="609" priority="862" stopIfTrue="1">
      <formula>AND(AW40&gt;2)</formula>
    </cfRule>
  </conditionalFormatting>
  <conditionalFormatting sqref="AX42">
    <cfRule type="expression" dxfId="608" priority="784" stopIfTrue="1">
      <formula>AND(AW44&gt;0)</formula>
    </cfRule>
  </conditionalFormatting>
  <conditionalFormatting sqref="AX43">
    <cfRule type="expression" dxfId="607" priority="782" stopIfTrue="1">
      <formula>AND(AW44&gt;2)</formula>
    </cfRule>
  </conditionalFormatting>
  <conditionalFormatting sqref="AX46">
    <cfRule type="expression" dxfId="606" priority="704" stopIfTrue="1">
      <formula>AND(AW48&gt;0)</formula>
    </cfRule>
  </conditionalFormatting>
  <conditionalFormatting sqref="AX47">
    <cfRule type="expression" dxfId="605" priority="702" stopIfTrue="1">
      <formula>AND(AW48&gt;2)</formula>
    </cfRule>
  </conditionalFormatting>
  <conditionalFormatting sqref="AX50">
    <cfRule type="expression" dxfId="604" priority="624" stopIfTrue="1">
      <formula>AND(AW52&gt;0)</formula>
    </cfRule>
  </conditionalFormatting>
  <conditionalFormatting sqref="AX51">
    <cfRule type="expression" dxfId="603" priority="622" stopIfTrue="1">
      <formula>AND(AW52&gt;2)</formula>
    </cfRule>
  </conditionalFormatting>
  <conditionalFormatting sqref="AX54">
    <cfRule type="expression" dxfId="602" priority="436" stopIfTrue="1">
      <formula>AND(AW56&gt;0)</formula>
    </cfRule>
  </conditionalFormatting>
  <conditionalFormatting sqref="AX55">
    <cfRule type="expression" dxfId="601" priority="434" stopIfTrue="1">
      <formula>AND(AW56&gt;2)</formula>
    </cfRule>
  </conditionalFormatting>
  <conditionalFormatting sqref="AX58">
    <cfRule type="expression" dxfId="600" priority="356" stopIfTrue="1">
      <formula>AND(AW60&gt;0)</formula>
    </cfRule>
  </conditionalFormatting>
  <conditionalFormatting sqref="AX59">
    <cfRule type="expression" dxfId="599" priority="354" stopIfTrue="1">
      <formula>AND(AW60&gt;2)</formula>
    </cfRule>
  </conditionalFormatting>
  <conditionalFormatting sqref="AX62">
    <cfRule type="expression" dxfId="598" priority="116" stopIfTrue="1">
      <formula>AND(AW64&gt;0)</formula>
    </cfRule>
  </conditionalFormatting>
  <conditionalFormatting sqref="AX63">
    <cfRule type="expression" dxfId="597" priority="114" stopIfTrue="1">
      <formula>AND(AW64&gt;2)</formula>
    </cfRule>
  </conditionalFormatting>
  <conditionalFormatting sqref="AX66">
    <cfRule type="expression" dxfId="596" priority="196" stopIfTrue="1">
      <formula>AND(AW68&gt;0)</formula>
    </cfRule>
  </conditionalFormatting>
  <conditionalFormatting sqref="AX67">
    <cfRule type="expression" dxfId="595" priority="194" stopIfTrue="1">
      <formula>AND(AW68&gt;2)</formula>
    </cfRule>
  </conditionalFormatting>
  <conditionalFormatting sqref="AX70">
    <cfRule type="expression" dxfId="594" priority="276" stopIfTrue="1">
      <formula>AND(AW72&gt;0)</formula>
    </cfRule>
  </conditionalFormatting>
  <conditionalFormatting sqref="AX71">
    <cfRule type="expression" dxfId="593" priority="274" stopIfTrue="1">
      <formula>AND(AW72&gt;2)</formula>
    </cfRule>
  </conditionalFormatting>
  <conditionalFormatting sqref="AX74">
    <cfRule type="expression" dxfId="592" priority="36" stopIfTrue="1">
      <formula>AND(AW76&gt;0)</formula>
    </cfRule>
  </conditionalFormatting>
  <conditionalFormatting sqref="AX75">
    <cfRule type="expression" dxfId="591" priority="34" stopIfTrue="1">
      <formula>AND(AW76&gt;2)</formula>
    </cfRule>
  </conditionalFormatting>
  <conditionalFormatting sqref="AX78">
    <cfRule type="expression" dxfId="590" priority="524" stopIfTrue="1">
      <formula>AND(AW80&gt;0)</formula>
    </cfRule>
  </conditionalFormatting>
  <conditionalFormatting sqref="AX79">
    <cfRule type="expression" dxfId="589" priority="522" stopIfTrue="1">
      <formula>AND(AW80&gt;2)</formula>
    </cfRule>
  </conditionalFormatting>
  <conditionalFormatting sqref="AY14">
    <cfRule type="expression" dxfId="588" priority="1339" stopIfTrue="1">
      <formula>AND(AW16&gt;1)</formula>
    </cfRule>
  </conditionalFormatting>
  <conditionalFormatting sqref="AY15">
    <cfRule type="expression" dxfId="587" priority="1337" stopIfTrue="1">
      <formula>AND(AW16&gt;3)</formula>
    </cfRule>
  </conditionalFormatting>
  <conditionalFormatting sqref="AY18">
    <cfRule type="expression" dxfId="586" priority="1263" stopIfTrue="1">
      <formula>AND(AW20&gt;1)</formula>
    </cfRule>
  </conditionalFormatting>
  <conditionalFormatting sqref="AY19">
    <cfRule type="expression" dxfId="585" priority="1261" stopIfTrue="1">
      <formula>AND(AW20&gt;3)</formula>
    </cfRule>
  </conditionalFormatting>
  <conditionalFormatting sqref="AY22">
    <cfRule type="expression" dxfId="584" priority="1183" stopIfTrue="1">
      <formula>AND(AW24&gt;1)</formula>
    </cfRule>
  </conditionalFormatting>
  <conditionalFormatting sqref="AY23">
    <cfRule type="expression" dxfId="583" priority="1181" stopIfTrue="1">
      <formula>AND(AW24&gt;3)</formula>
    </cfRule>
  </conditionalFormatting>
  <conditionalFormatting sqref="AY26">
    <cfRule type="expression" dxfId="582" priority="1103" stopIfTrue="1">
      <formula>AND(AW28&gt;1)</formula>
    </cfRule>
  </conditionalFormatting>
  <conditionalFormatting sqref="AY27">
    <cfRule type="expression" dxfId="581" priority="1101" stopIfTrue="1">
      <formula>AND(AW28&gt;3)</formula>
    </cfRule>
  </conditionalFormatting>
  <conditionalFormatting sqref="AY30">
    <cfRule type="expression" dxfId="580" priority="1023" stopIfTrue="1">
      <formula>AND(AW32&gt;1)</formula>
    </cfRule>
  </conditionalFormatting>
  <conditionalFormatting sqref="AY31">
    <cfRule type="expression" dxfId="579" priority="1021" stopIfTrue="1">
      <formula>AND(AW32&gt;3)</formula>
    </cfRule>
  </conditionalFormatting>
  <conditionalFormatting sqref="AY34">
    <cfRule type="expression" dxfId="578" priority="943" stopIfTrue="1">
      <formula>AND(AW36&gt;1)</formula>
    </cfRule>
  </conditionalFormatting>
  <conditionalFormatting sqref="AY35">
    <cfRule type="expression" dxfId="577" priority="941" stopIfTrue="1">
      <formula>AND(AW36&gt;3)</formula>
    </cfRule>
  </conditionalFormatting>
  <conditionalFormatting sqref="AY38">
    <cfRule type="expression" dxfId="576" priority="863" stopIfTrue="1">
      <formula>AND(AW40&gt;1)</formula>
    </cfRule>
  </conditionalFormatting>
  <conditionalFormatting sqref="AY39">
    <cfRule type="expression" dxfId="575" priority="861" stopIfTrue="1">
      <formula>AND(AW40&gt;3)</formula>
    </cfRule>
  </conditionalFormatting>
  <conditionalFormatting sqref="AY42">
    <cfRule type="expression" dxfId="574" priority="783" stopIfTrue="1">
      <formula>AND(AW44&gt;1)</formula>
    </cfRule>
  </conditionalFormatting>
  <conditionalFormatting sqref="AY43">
    <cfRule type="expression" dxfId="573" priority="781" stopIfTrue="1">
      <formula>AND(AW44&gt;3)</formula>
    </cfRule>
  </conditionalFormatting>
  <conditionalFormatting sqref="AY46">
    <cfRule type="expression" dxfId="572" priority="703" stopIfTrue="1">
      <formula>AND(AW48&gt;1)</formula>
    </cfRule>
  </conditionalFormatting>
  <conditionalFormatting sqref="AY47">
    <cfRule type="expression" dxfId="571" priority="701" stopIfTrue="1">
      <formula>AND(AW48&gt;3)</formula>
    </cfRule>
  </conditionalFormatting>
  <conditionalFormatting sqref="AY50">
    <cfRule type="expression" dxfId="570" priority="623" stopIfTrue="1">
      <formula>AND(AW52&gt;1)</formula>
    </cfRule>
  </conditionalFormatting>
  <conditionalFormatting sqref="AY51">
    <cfRule type="expression" dxfId="569" priority="621" stopIfTrue="1">
      <formula>AND(AW52&gt;3)</formula>
    </cfRule>
  </conditionalFormatting>
  <conditionalFormatting sqref="AY54">
    <cfRule type="expression" dxfId="568" priority="435" stopIfTrue="1">
      <formula>AND(AW56&gt;1)</formula>
    </cfRule>
  </conditionalFormatting>
  <conditionalFormatting sqref="AY55">
    <cfRule type="expression" dxfId="567" priority="433" stopIfTrue="1">
      <formula>AND(AW56&gt;3)</formula>
    </cfRule>
  </conditionalFormatting>
  <conditionalFormatting sqref="AY58">
    <cfRule type="expression" dxfId="566" priority="355" stopIfTrue="1">
      <formula>AND(AW60&gt;1)</formula>
    </cfRule>
  </conditionalFormatting>
  <conditionalFormatting sqref="AY59">
    <cfRule type="expression" dxfId="565" priority="353" stopIfTrue="1">
      <formula>AND(AW60&gt;3)</formula>
    </cfRule>
  </conditionalFormatting>
  <conditionalFormatting sqref="AY62">
    <cfRule type="expression" dxfId="564" priority="115" stopIfTrue="1">
      <formula>AND(AW64&gt;1)</formula>
    </cfRule>
  </conditionalFormatting>
  <conditionalFormatting sqref="AY63">
    <cfRule type="expression" dxfId="563" priority="113" stopIfTrue="1">
      <formula>AND(AW64&gt;3)</formula>
    </cfRule>
  </conditionalFormatting>
  <conditionalFormatting sqref="AY66">
    <cfRule type="expression" dxfId="562" priority="195" stopIfTrue="1">
      <formula>AND(AW68&gt;1)</formula>
    </cfRule>
  </conditionalFormatting>
  <conditionalFormatting sqref="AY67">
    <cfRule type="expression" dxfId="561" priority="193" stopIfTrue="1">
      <formula>AND(AW68&gt;3)</formula>
    </cfRule>
  </conditionalFormatting>
  <conditionalFormatting sqref="AY70">
    <cfRule type="expression" dxfId="560" priority="275" stopIfTrue="1">
      <formula>AND(AW72&gt;1)</formula>
    </cfRule>
  </conditionalFormatting>
  <conditionalFormatting sqref="AY71">
    <cfRule type="expression" dxfId="559" priority="273" stopIfTrue="1">
      <formula>AND(AW72&gt;3)</formula>
    </cfRule>
  </conditionalFormatting>
  <conditionalFormatting sqref="AY74">
    <cfRule type="expression" dxfId="558" priority="35" stopIfTrue="1">
      <formula>AND(AW76&gt;1)</formula>
    </cfRule>
  </conditionalFormatting>
  <conditionalFormatting sqref="AY75">
    <cfRule type="expression" dxfId="557" priority="33" stopIfTrue="1">
      <formula>AND(AW76&gt;3)</formula>
    </cfRule>
  </conditionalFormatting>
  <conditionalFormatting sqref="AY78">
    <cfRule type="expression" dxfId="556" priority="523" stopIfTrue="1">
      <formula>AND(AW80&gt;1)</formula>
    </cfRule>
  </conditionalFormatting>
  <conditionalFormatting sqref="AY79">
    <cfRule type="expression" dxfId="555" priority="521" stopIfTrue="1">
      <formula>AND(AW80&gt;3)</formula>
    </cfRule>
  </conditionalFormatting>
  <conditionalFormatting sqref="BB6">
    <cfRule type="expression" dxfId="554" priority="576" stopIfTrue="1">
      <formula>AND(BA8&gt;0)</formula>
    </cfRule>
  </conditionalFormatting>
  <conditionalFormatting sqref="BB7">
    <cfRule type="expression" dxfId="553" priority="574" stopIfTrue="1">
      <formula>AND(BA8&gt;2)</formula>
    </cfRule>
  </conditionalFormatting>
  <conditionalFormatting sqref="BB14">
    <cfRule type="expression" dxfId="552" priority="1336" stopIfTrue="1">
      <formula>AND(BA16&gt;0)</formula>
    </cfRule>
  </conditionalFormatting>
  <conditionalFormatting sqref="BB15">
    <cfRule type="expression" dxfId="551" priority="1334" stopIfTrue="1">
      <formula>AND(BA16&gt;2)</formula>
    </cfRule>
  </conditionalFormatting>
  <conditionalFormatting sqref="BB18">
    <cfRule type="expression" dxfId="550" priority="1260" stopIfTrue="1">
      <formula>AND(BA20&gt;0)</formula>
    </cfRule>
  </conditionalFormatting>
  <conditionalFormatting sqref="BB19">
    <cfRule type="expression" dxfId="549" priority="1258" stopIfTrue="1">
      <formula>AND(BA20&gt;2)</formula>
    </cfRule>
  </conditionalFormatting>
  <conditionalFormatting sqref="BB22">
    <cfRule type="expression" dxfId="548" priority="1180" stopIfTrue="1">
      <formula>AND(BA24&gt;0)</formula>
    </cfRule>
  </conditionalFormatting>
  <conditionalFormatting sqref="BB23">
    <cfRule type="expression" dxfId="547" priority="1178" stopIfTrue="1">
      <formula>AND(BA24&gt;2)</formula>
    </cfRule>
  </conditionalFormatting>
  <conditionalFormatting sqref="BB26">
    <cfRule type="expression" dxfId="546" priority="1100" stopIfTrue="1">
      <formula>AND(BA28&gt;0)</formula>
    </cfRule>
  </conditionalFormatting>
  <conditionalFormatting sqref="BB27">
    <cfRule type="expression" dxfId="545" priority="1098" stopIfTrue="1">
      <formula>AND(BA28&gt;2)</formula>
    </cfRule>
  </conditionalFormatting>
  <conditionalFormatting sqref="BB30">
    <cfRule type="expression" dxfId="544" priority="1020" stopIfTrue="1">
      <formula>AND(BA32&gt;0)</formula>
    </cfRule>
  </conditionalFormatting>
  <conditionalFormatting sqref="BB31">
    <cfRule type="expression" dxfId="543" priority="1018" stopIfTrue="1">
      <formula>AND(BA32&gt;2)</formula>
    </cfRule>
  </conditionalFormatting>
  <conditionalFormatting sqref="BB34">
    <cfRule type="expression" dxfId="542" priority="940" stopIfTrue="1">
      <formula>AND(BA36&gt;0)</formula>
    </cfRule>
  </conditionalFormatting>
  <conditionalFormatting sqref="BB35">
    <cfRule type="expression" dxfId="541" priority="938" stopIfTrue="1">
      <formula>AND(BA36&gt;2)</formula>
    </cfRule>
  </conditionalFormatting>
  <conditionalFormatting sqref="BB38">
    <cfRule type="expression" dxfId="540" priority="860" stopIfTrue="1">
      <formula>AND(BA40&gt;0)</formula>
    </cfRule>
  </conditionalFormatting>
  <conditionalFormatting sqref="BB39">
    <cfRule type="expression" dxfId="539" priority="858" stopIfTrue="1">
      <formula>AND(BA40&gt;2)</formula>
    </cfRule>
  </conditionalFormatting>
  <conditionalFormatting sqref="BB42">
    <cfRule type="expression" dxfId="538" priority="780" stopIfTrue="1">
      <formula>AND(BA44&gt;0)</formula>
    </cfRule>
  </conditionalFormatting>
  <conditionalFormatting sqref="BB43">
    <cfRule type="expression" dxfId="537" priority="778" stopIfTrue="1">
      <formula>AND(BA44&gt;2)</formula>
    </cfRule>
  </conditionalFormatting>
  <conditionalFormatting sqref="BB46">
    <cfRule type="expression" dxfId="536" priority="700" stopIfTrue="1">
      <formula>AND(BA48&gt;0)</formula>
    </cfRule>
  </conditionalFormatting>
  <conditionalFormatting sqref="BB47">
    <cfRule type="expression" dxfId="535" priority="698" stopIfTrue="1">
      <formula>AND(BA48&gt;2)</formula>
    </cfRule>
  </conditionalFormatting>
  <conditionalFormatting sqref="BB50">
    <cfRule type="expression" dxfId="534" priority="620" stopIfTrue="1">
      <formula>AND(BA52&gt;0)</formula>
    </cfRule>
  </conditionalFormatting>
  <conditionalFormatting sqref="BB51">
    <cfRule type="expression" dxfId="533" priority="618" stopIfTrue="1">
      <formula>AND(BA52&gt;2)</formula>
    </cfRule>
  </conditionalFormatting>
  <conditionalFormatting sqref="BB54">
    <cfRule type="expression" dxfId="532" priority="432" stopIfTrue="1">
      <formula>AND(BA56&gt;0)</formula>
    </cfRule>
  </conditionalFormatting>
  <conditionalFormatting sqref="BB55">
    <cfRule type="expression" dxfId="531" priority="430" stopIfTrue="1">
      <formula>AND(BA56&gt;2)</formula>
    </cfRule>
  </conditionalFormatting>
  <conditionalFormatting sqref="BB58">
    <cfRule type="expression" dxfId="530" priority="352" stopIfTrue="1">
      <formula>AND(BA60&gt;0)</formula>
    </cfRule>
  </conditionalFormatting>
  <conditionalFormatting sqref="BB59">
    <cfRule type="expression" dxfId="529" priority="350" stopIfTrue="1">
      <formula>AND(BA60&gt;2)</formula>
    </cfRule>
  </conditionalFormatting>
  <conditionalFormatting sqref="BB62">
    <cfRule type="expression" dxfId="528" priority="112" stopIfTrue="1">
      <formula>AND(BA64&gt;0)</formula>
    </cfRule>
  </conditionalFormatting>
  <conditionalFormatting sqref="BB63">
    <cfRule type="expression" dxfId="527" priority="110" stopIfTrue="1">
      <formula>AND(BA64&gt;2)</formula>
    </cfRule>
  </conditionalFormatting>
  <conditionalFormatting sqref="BB66">
    <cfRule type="expression" dxfId="526" priority="192" stopIfTrue="1">
      <formula>AND(BA68&gt;0)</formula>
    </cfRule>
  </conditionalFormatting>
  <conditionalFormatting sqref="BB67">
    <cfRule type="expression" dxfId="525" priority="190" stopIfTrue="1">
      <formula>AND(BA68&gt;2)</formula>
    </cfRule>
  </conditionalFormatting>
  <conditionalFormatting sqref="BB70">
    <cfRule type="expression" dxfId="524" priority="272" stopIfTrue="1">
      <formula>AND(BA72&gt;0)</formula>
    </cfRule>
  </conditionalFormatting>
  <conditionalFormatting sqref="BB71">
    <cfRule type="expression" dxfId="523" priority="270" stopIfTrue="1">
      <formula>AND(BA72&gt;2)</formula>
    </cfRule>
  </conditionalFormatting>
  <conditionalFormatting sqref="BB74">
    <cfRule type="expression" dxfId="522" priority="32" stopIfTrue="1">
      <formula>AND(BA76&gt;0)</formula>
    </cfRule>
  </conditionalFormatting>
  <conditionalFormatting sqref="BB75">
    <cfRule type="expression" dxfId="521" priority="30" stopIfTrue="1">
      <formula>AND(BA76&gt;2)</formula>
    </cfRule>
  </conditionalFormatting>
  <conditionalFormatting sqref="BB78">
    <cfRule type="expression" dxfId="520" priority="520" stopIfTrue="1">
      <formula>AND(BA80&gt;0)</formula>
    </cfRule>
  </conditionalFormatting>
  <conditionalFormatting sqref="BB79">
    <cfRule type="expression" dxfId="519" priority="518" stopIfTrue="1">
      <formula>AND(BA80&gt;2)</formula>
    </cfRule>
  </conditionalFormatting>
  <conditionalFormatting sqref="BC6">
    <cfRule type="expression" dxfId="518" priority="575" stopIfTrue="1">
      <formula>AND(BA8&gt;1)</formula>
    </cfRule>
  </conditionalFormatting>
  <conditionalFormatting sqref="BC7">
    <cfRule type="expression" dxfId="517" priority="573" stopIfTrue="1">
      <formula>AND(BA8&gt;3)</formula>
    </cfRule>
  </conditionalFormatting>
  <conditionalFormatting sqref="BC14">
    <cfRule type="expression" dxfId="516" priority="1335" stopIfTrue="1">
      <formula>AND(BA16&gt;1)</formula>
    </cfRule>
  </conditionalFormatting>
  <conditionalFormatting sqref="BC15">
    <cfRule type="expression" dxfId="515" priority="1333" stopIfTrue="1">
      <formula>AND(BA16&gt;3)</formula>
    </cfRule>
  </conditionalFormatting>
  <conditionalFormatting sqref="BC18">
    <cfRule type="expression" dxfId="514" priority="1259" stopIfTrue="1">
      <formula>AND(BA20&gt;1)</formula>
    </cfRule>
  </conditionalFormatting>
  <conditionalFormatting sqref="BC19">
    <cfRule type="expression" dxfId="513" priority="1257" stopIfTrue="1">
      <formula>AND(BA20&gt;3)</formula>
    </cfRule>
  </conditionalFormatting>
  <conditionalFormatting sqref="BC22">
    <cfRule type="expression" dxfId="512" priority="1179" stopIfTrue="1">
      <formula>AND(BA24&gt;1)</formula>
    </cfRule>
  </conditionalFormatting>
  <conditionalFormatting sqref="BC23">
    <cfRule type="expression" dxfId="511" priority="1177" stopIfTrue="1">
      <formula>AND(BA24&gt;3)</formula>
    </cfRule>
  </conditionalFormatting>
  <conditionalFormatting sqref="BC26">
    <cfRule type="expression" dxfId="510" priority="1099" stopIfTrue="1">
      <formula>AND(BA28&gt;1)</formula>
    </cfRule>
  </conditionalFormatting>
  <conditionalFormatting sqref="BC27">
    <cfRule type="expression" dxfId="509" priority="1097" stopIfTrue="1">
      <formula>AND(BA28&gt;3)</formula>
    </cfRule>
  </conditionalFormatting>
  <conditionalFormatting sqref="BC30">
    <cfRule type="expression" dxfId="508" priority="1019" stopIfTrue="1">
      <formula>AND(BA32&gt;1)</formula>
    </cfRule>
  </conditionalFormatting>
  <conditionalFormatting sqref="BC31">
    <cfRule type="expression" dxfId="507" priority="1017" stopIfTrue="1">
      <formula>AND(BA32&gt;3)</formula>
    </cfRule>
  </conditionalFormatting>
  <conditionalFormatting sqref="BC34">
    <cfRule type="expression" dxfId="506" priority="939" stopIfTrue="1">
      <formula>AND(BA36&gt;1)</formula>
    </cfRule>
  </conditionalFormatting>
  <conditionalFormatting sqref="BC35">
    <cfRule type="expression" dxfId="505" priority="937" stopIfTrue="1">
      <formula>AND(BA36&gt;3)</formula>
    </cfRule>
  </conditionalFormatting>
  <conditionalFormatting sqref="BC38">
    <cfRule type="expression" dxfId="504" priority="859" stopIfTrue="1">
      <formula>AND(BA40&gt;1)</formula>
    </cfRule>
  </conditionalFormatting>
  <conditionalFormatting sqref="BC39">
    <cfRule type="expression" dxfId="503" priority="857" stopIfTrue="1">
      <formula>AND(BA40&gt;3)</formula>
    </cfRule>
  </conditionalFormatting>
  <conditionalFormatting sqref="BC42">
    <cfRule type="expression" dxfId="502" priority="779" stopIfTrue="1">
      <formula>AND(BA44&gt;1)</formula>
    </cfRule>
  </conditionalFormatting>
  <conditionalFormatting sqref="BC43">
    <cfRule type="expression" dxfId="501" priority="777" stopIfTrue="1">
      <formula>AND(BA44&gt;3)</formula>
    </cfRule>
  </conditionalFormatting>
  <conditionalFormatting sqref="BC46">
    <cfRule type="expression" dxfId="500" priority="699" stopIfTrue="1">
      <formula>AND(BA48&gt;1)</formula>
    </cfRule>
  </conditionalFormatting>
  <conditionalFormatting sqref="BC47">
    <cfRule type="expression" dxfId="499" priority="697" stopIfTrue="1">
      <formula>AND(BA48&gt;3)</formula>
    </cfRule>
  </conditionalFormatting>
  <conditionalFormatting sqref="BC50">
    <cfRule type="expression" dxfId="498" priority="619" stopIfTrue="1">
      <formula>AND(BA52&gt;1)</formula>
    </cfRule>
  </conditionalFormatting>
  <conditionalFormatting sqref="BC51">
    <cfRule type="expression" dxfId="497" priority="617" stopIfTrue="1">
      <formula>AND(BA52&gt;3)</formula>
    </cfRule>
  </conditionalFormatting>
  <conditionalFormatting sqref="BC54">
    <cfRule type="expression" dxfId="496" priority="431" stopIfTrue="1">
      <formula>AND(BA56&gt;1)</formula>
    </cfRule>
  </conditionalFormatting>
  <conditionalFormatting sqref="BC55">
    <cfRule type="expression" dxfId="495" priority="429" stopIfTrue="1">
      <formula>AND(BA56&gt;3)</formula>
    </cfRule>
  </conditionalFormatting>
  <conditionalFormatting sqref="BC58">
    <cfRule type="expression" dxfId="494" priority="351" stopIfTrue="1">
      <formula>AND(BA60&gt;1)</formula>
    </cfRule>
  </conditionalFormatting>
  <conditionalFormatting sqref="BC59">
    <cfRule type="expression" dxfId="493" priority="349" stopIfTrue="1">
      <formula>AND(BA60&gt;3)</formula>
    </cfRule>
  </conditionalFormatting>
  <conditionalFormatting sqref="BC62">
    <cfRule type="expression" dxfId="492" priority="111" stopIfTrue="1">
      <formula>AND(BA64&gt;1)</formula>
    </cfRule>
  </conditionalFormatting>
  <conditionalFormatting sqref="BC63">
    <cfRule type="expression" dxfId="491" priority="109" stopIfTrue="1">
      <formula>AND(BA64&gt;3)</formula>
    </cfRule>
  </conditionalFormatting>
  <conditionalFormatting sqref="BC66">
    <cfRule type="expression" dxfId="490" priority="191" stopIfTrue="1">
      <formula>AND(BA68&gt;1)</formula>
    </cfRule>
  </conditionalFormatting>
  <conditionalFormatting sqref="BC67">
    <cfRule type="expression" dxfId="489" priority="189" stopIfTrue="1">
      <formula>AND(BA68&gt;3)</formula>
    </cfRule>
  </conditionalFormatting>
  <conditionalFormatting sqref="BC70">
    <cfRule type="expression" dxfId="488" priority="271" stopIfTrue="1">
      <formula>AND(BA72&gt;1)</formula>
    </cfRule>
  </conditionalFormatting>
  <conditionalFormatting sqref="BC71">
    <cfRule type="expression" dxfId="487" priority="269" stopIfTrue="1">
      <formula>AND(BA72&gt;3)</formula>
    </cfRule>
  </conditionalFormatting>
  <conditionalFormatting sqref="BC74">
    <cfRule type="expression" dxfId="486" priority="31" stopIfTrue="1">
      <formula>AND(BA76&gt;1)</formula>
    </cfRule>
  </conditionalFormatting>
  <conditionalFormatting sqref="BC75">
    <cfRule type="expression" dxfId="485" priority="29" stopIfTrue="1">
      <formula>AND(BA76&gt;3)</formula>
    </cfRule>
  </conditionalFormatting>
  <conditionalFormatting sqref="BC78">
    <cfRule type="expression" dxfId="484" priority="519" stopIfTrue="1">
      <formula>AND(BA80&gt;1)</formula>
    </cfRule>
  </conditionalFormatting>
  <conditionalFormatting sqref="BC79">
    <cfRule type="expression" dxfId="483" priority="517" stopIfTrue="1">
      <formula>AND(BA80&gt;3)</formula>
    </cfRule>
  </conditionalFormatting>
  <conditionalFormatting sqref="BF14">
    <cfRule type="expression" dxfId="482" priority="1332" stopIfTrue="1">
      <formula>AND(BE16&gt;0)</formula>
    </cfRule>
  </conditionalFormatting>
  <conditionalFormatting sqref="BF15">
    <cfRule type="expression" dxfId="481" priority="1330" stopIfTrue="1">
      <formula>AND(BE16&gt;2)</formula>
    </cfRule>
  </conditionalFormatting>
  <conditionalFormatting sqref="BF18">
    <cfRule type="expression" dxfId="480" priority="1256" stopIfTrue="1">
      <formula>AND(BE20&gt;0)</formula>
    </cfRule>
  </conditionalFormatting>
  <conditionalFormatting sqref="BF19">
    <cfRule type="expression" dxfId="479" priority="1254" stopIfTrue="1">
      <formula>AND(BE20&gt;2)</formula>
    </cfRule>
  </conditionalFormatting>
  <conditionalFormatting sqref="BF22">
    <cfRule type="expression" dxfId="478" priority="1176" stopIfTrue="1">
      <formula>AND(BE24&gt;0)</formula>
    </cfRule>
  </conditionalFormatting>
  <conditionalFormatting sqref="BF23">
    <cfRule type="expression" dxfId="477" priority="1174" stopIfTrue="1">
      <formula>AND(BE24&gt;2)</formula>
    </cfRule>
  </conditionalFormatting>
  <conditionalFormatting sqref="BF26">
    <cfRule type="expression" dxfId="476" priority="1096" stopIfTrue="1">
      <formula>AND(BE28&gt;0)</formula>
    </cfRule>
  </conditionalFormatting>
  <conditionalFormatting sqref="BF27">
    <cfRule type="expression" dxfId="475" priority="1094" stopIfTrue="1">
      <formula>AND(BE28&gt;2)</formula>
    </cfRule>
  </conditionalFormatting>
  <conditionalFormatting sqref="BF30">
    <cfRule type="expression" dxfId="474" priority="1016" stopIfTrue="1">
      <formula>AND(BE32&gt;0)</formula>
    </cfRule>
  </conditionalFormatting>
  <conditionalFormatting sqref="BF31">
    <cfRule type="expression" dxfId="473" priority="1014" stopIfTrue="1">
      <formula>AND(BE32&gt;2)</formula>
    </cfRule>
  </conditionalFormatting>
  <conditionalFormatting sqref="BF34">
    <cfRule type="expression" dxfId="472" priority="936" stopIfTrue="1">
      <formula>AND(BE36&gt;0)</formula>
    </cfRule>
  </conditionalFormatting>
  <conditionalFormatting sqref="BF35">
    <cfRule type="expression" dxfId="471" priority="934" stopIfTrue="1">
      <formula>AND(BE36&gt;2)</formula>
    </cfRule>
  </conditionalFormatting>
  <conditionalFormatting sqref="BF38">
    <cfRule type="expression" dxfId="470" priority="856" stopIfTrue="1">
      <formula>AND(BE40&gt;0)</formula>
    </cfRule>
  </conditionalFormatting>
  <conditionalFormatting sqref="BF39">
    <cfRule type="expression" dxfId="469" priority="854" stopIfTrue="1">
      <formula>AND(BE40&gt;2)</formula>
    </cfRule>
  </conditionalFormatting>
  <conditionalFormatting sqref="BF42">
    <cfRule type="expression" dxfId="468" priority="776" stopIfTrue="1">
      <formula>AND(BE44&gt;0)</formula>
    </cfRule>
  </conditionalFormatting>
  <conditionalFormatting sqref="BF43">
    <cfRule type="expression" dxfId="467" priority="774" stopIfTrue="1">
      <formula>AND(BE44&gt;2)</formula>
    </cfRule>
  </conditionalFormatting>
  <conditionalFormatting sqref="BF46">
    <cfRule type="expression" dxfId="466" priority="696" stopIfTrue="1">
      <formula>AND(BE48&gt;0)</formula>
    </cfRule>
  </conditionalFormatting>
  <conditionalFormatting sqref="BF47">
    <cfRule type="expression" dxfId="465" priority="694" stopIfTrue="1">
      <formula>AND(BE48&gt;2)</formula>
    </cfRule>
  </conditionalFormatting>
  <conditionalFormatting sqref="BF50">
    <cfRule type="expression" dxfId="464" priority="616" stopIfTrue="1">
      <formula>AND(BE52&gt;0)</formula>
    </cfRule>
  </conditionalFormatting>
  <conditionalFormatting sqref="BF51">
    <cfRule type="expression" dxfId="463" priority="614" stopIfTrue="1">
      <formula>AND(BE52&gt;2)</formula>
    </cfRule>
  </conditionalFormatting>
  <conditionalFormatting sqref="BF54">
    <cfRule type="expression" dxfId="462" priority="428" stopIfTrue="1">
      <formula>AND(BE56&gt;0)</formula>
    </cfRule>
  </conditionalFormatting>
  <conditionalFormatting sqref="BF55">
    <cfRule type="expression" dxfId="461" priority="426" stopIfTrue="1">
      <formula>AND(BE56&gt;2)</formula>
    </cfRule>
  </conditionalFormatting>
  <conditionalFormatting sqref="BF58">
    <cfRule type="expression" dxfId="460" priority="348" stopIfTrue="1">
      <formula>AND(BE60&gt;0)</formula>
    </cfRule>
  </conditionalFormatting>
  <conditionalFormatting sqref="BF59">
    <cfRule type="expression" dxfId="459" priority="346" stopIfTrue="1">
      <formula>AND(BE60&gt;2)</formula>
    </cfRule>
  </conditionalFormatting>
  <conditionalFormatting sqref="BF62">
    <cfRule type="expression" dxfId="458" priority="108" stopIfTrue="1">
      <formula>AND(BE64&gt;0)</formula>
    </cfRule>
  </conditionalFormatting>
  <conditionalFormatting sqref="BF63">
    <cfRule type="expression" dxfId="457" priority="106" stopIfTrue="1">
      <formula>AND(BE64&gt;2)</formula>
    </cfRule>
  </conditionalFormatting>
  <conditionalFormatting sqref="BF66">
    <cfRule type="expression" dxfId="456" priority="188" stopIfTrue="1">
      <formula>AND(BE68&gt;0)</formula>
    </cfRule>
  </conditionalFormatting>
  <conditionalFormatting sqref="BF67">
    <cfRule type="expression" dxfId="455" priority="186" stopIfTrue="1">
      <formula>AND(BE68&gt;2)</formula>
    </cfRule>
  </conditionalFormatting>
  <conditionalFormatting sqref="BF70">
    <cfRule type="expression" dxfId="454" priority="268" stopIfTrue="1">
      <formula>AND(BE72&gt;0)</formula>
    </cfRule>
  </conditionalFormatting>
  <conditionalFormatting sqref="BF71">
    <cfRule type="expression" dxfId="453" priority="266" stopIfTrue="1">
      <formula>AND(BE72&gt;2)</formula>
    </cfRule>
  </conditionalFormatting>
  <conditionalFormatting sqref="BF74">
    <cfRule type="expression" dxfId="452" priority="28" stopIfTrue="1">
      <formula>AND(BE76&gt;0)</formula>
    </cfRule>
  </conditionalFormatting>
  <conditionalFormatting sqref="BF75">
    <cfRule type="expression" dxfId="451" priority="26" stopIfTrue="1">
      <formula>AND(BE76&gt;2)</formula>
    </cfRule>
  </conditionalFormatting>
  <conditionalFormatting sqref="BF78">
    <cfRule type="expression" dxfId="450" priority="516" stopIfTrue="1">
      <formula>AND(BE80&gt;0)</formula>
    </cfRule>
  </conditionalFormatting>
  <conditionalFormatting sqref="BF79">
    <cfRule type="expression" dxfId="449" priority="514" stopIfTrue="1">
      <formula>AND(BE80&gt;2)</formula>
    </cfRule>
  </conditionalFormatting>
  <conditionalFormatting sqref="BG14">
    <cfRule type="expression" dxfId="448" priority="1331" stopIfTrue="1">
      <formula>AND(BE16&gt;1)</formula>
    </cfRule>
  </conditionalFormatting>
  <conditionalFormatting sqref="BG15">
    <cfRule type="expression" dxfId="447" priority="1329" stopIfTrue="1">
      <formula>AND(BE16&gt;3)</formula>
    </cfRule>
  </conditionalFormatting>
  <conditionalFormatting sqref="BG18">
    <cfRule type="expression" dxfId="446" priority="1255" stopIfTrue="1">
      <formula>AND(BE20&gt;1)</formula>
    </cfRule>
  </conditionalFormatting>
  <conditionalFormatting sqref="BG19">
    <cfRule type="expression" dxfId="445" priority="1253" stopIfTrue="1">
      <formula>AND(BE20&gt;3)</formula>
    </cfRule>
  </conditionalFormatting>
  <conditionalFormatting sqref="BG22">
    <cfRule type="expression" dxfId="444" priority="1175" stopIfTrue="1">
      <formula>AND(BE24&gt;1)</formula>
    </cfRule>
  </conditionalFormatting>
  <conditionalFormatting sqref="BG23">
    <cfRule type="expression" dxfId="443" priority="1173" stopIfTrue="1">
      <formula>AND(BE24&gt;3)</formula>
    </cfRule>
  </conditionalFormatting>
  <conditionalFormatting sqref="BG26">
    <cfRule type="expression" dxfId="442" priority="1095" stopIfTrue="1">
      <formula>AND(BE28&gt;1)</formula>
    </cfRule>
  </conditionalFormatting>
  <conditionalFormatting sqref="BG27">
    <cfRule type="expression" dxfId="441" priority="1093" stopIfTrue="1">
      <formula>AND(BE28&gt;3)</formula>
    </cfRule>
  </conditionalFormatting>
  <conditionalFormatting sqref="BG30">
    <cfRule type="expression" dxfId="440" priority="1015" stopIfTrue="1">
      <formula>AND(BE32&gt;1)</formula>
    </cfRule>
  </conditionalFormatting>
  <conditionalFormatting sqref="BG31">
    <cfRule type="expression" dxfId="439" priority="1013" stopIfTrue="1">
      <formula>AND(BE32&gt;3)</formula>
    </cfRule>
  </conditionalFormatting>
  <conditionalFormatting sqref="BG34">
    <cfRule type="expression" dxfId="438" priority="935" stopIfTrue="1">
      <formula>AND(BE36&gt;1)</formula>
    </cfRule>
  </conditionalFormatting>
  <conditionalFormatting sqref="BG35">
    <cfRule type="expression" dxfId="437" priority="933" stopIfTrue="1">
      <formula>AND(BE36&gt;3)</formula>
    </cfRule>
  </conditionalFormatting>
  <conditionalFormatting sqref="BG38">
    <cfRule type="expression" dxfId="436" priority="855" stopIfTrue="1">
      <formula>AND(BE40&gt;1)</formula>
    </cfRule>
  </conditionalFormatting>
  <conditionalFormatting sqref="BG39">
    <cfRule type="expression" dxfId="435" priority="853" stopIfTrue="1">
      <formula>AND(BE40&gt;3)</formula>
    </cfRule>
  </conditionalFormatting>
  <conditionalFormatting sqref="BG42">
    <cfRule type="expression" dxfId="434" priority="775" stopIfTrue="1">
      <formula>AND(BE44&gt;1)</formula>
    </cfRule>
  </conditionalFormatting>
  <conditionalFormatting sqref="BG43">
    <cfRule type="expression" dxfId="433" priority="773" stopIfTrue="1">
      <formula>AND(BE44&gt;3)</formula>
    </cfRule>
  </conditionalFormatting>
  <conditionalFormatting sqref="BG46">
    <cfRule type="expression" dxfId="432" priority="695" stopIfTrue="1">
      <formula>AND(BE48&gt;1)</formula>
    </cfRule>
  </conditionalFormatting>
  <conditionalFormatting sqref="BG47">
    <cfRule type="expression" dxfId="431" priority="693" stopIfTrue="1">
      <formula>AND(BE48&gt;3)</formula>
    </cfRule>
  </conditionalFormatting>
  <conditionalFormatting sqref="BG50">
    <cfRule type="expression" dxfId="430" priority="615" stopIfTrue="1">
      <formula>AND(BE52&gt;1)</formula>
    </cfRule>
  </conditionalFormatting>
  <conditionalFormatting sqref="BG51">
    <cfRule type="expression" dxfId="429" priority="613" stopIfTrue="1">
      <formula>AND(BE52&gt;3)</formula>
    </cfRule>
  </conditionalFormatting>
  <conditionalFormatting sqref="BG54">
    <cfRule type="expression" dxfId="428" priority="427" stopIfTrue="1">
      <formula>AND(BE56&gt;1)</formula>
    </cfRule>
  </conditionalFormatting>
  <conditionalFormatting sqref="BG55">
    <cfRule type="expression" dxfId="427" priority="425" stopIfTrue="1">
      <formula>AND(BE56&gt;3)</formula>
    </cfRule>
  </conditionalFormatting>
  <conditionalFormatting sqref="BG58">
    <cfRule type="expression" dxfId="426" priority="347" stopIfTrue="1">
      <formula>AND(BE60&gt;1)</formula>
    </cfRule>
  </conditionalFormatting>
  <conditionalFormatting sqref="BG59">
    <cfRule type="expression" dxfId="425" priority="345" stopIfTrue="1">
      <formula>AND(BE60&gt;3)</formula>
    </cfRule>
  </conditionalFormatting>
  <conditionalFormatting sqref="BG62">
    <cfRule type="expression" dxfId="424" priority="107" stopIfTrue="1">
      <formula>AND(BE64&gt;1)</formula>
    </cfRule>
  </conditionalFormatting>
  <conditionalFormatting sqref="BG63">
    <cfRule type="expression" dxfId="423" priority="105" stopIfTrue="1">
      <formula>AND(BE64&gt;3)</formula>
    </cfRule>
  </conditionalFormatting>
  <conditionalFormatting sqref="BG66">
    <cfRule type="expression" dxfId="422" priority="187" stopIfTrue="1">
      <formula>AND(BE68&gt;1)</formula>
    </cfRule>
  </conditionalFormatting>
  <conditionalFormatting sqref="BG67">
    <cfRule type="expression" dxfId="421" priority="185" stopIfTrue="1">
      <formula>AND(BE68&gt;3)</formula>
    </cfRule>
  </conditionalFormatting>
  <conditionalFormatting sqref="BG70">
    <cfRule type="expression" dxfId="420" priority="267" stopIfTrue="1">
      <formula>AND(BE72&gt;1)</formula>
    </cfRule>
  </conditionalFormatting>
  <conditionalFormatting sqref="BG71">
    <cfRule type="expression" dxfId="419" priority="265" stopIfTrue="1">
      <formula>AND(BE72&gt;3)</formula>
    </cfRule>
  </conditionalFormatting>
  <conditionalFormatting sqref="BG74">
    <cfRule type="expression" dxfId="418" priority="27" stopIfTrue="1">
      <formula>AND(BE76&gt;1)</formula>
    </cfRule>
  </conditionalFormatting>
  <conditionalFormatting sqref="BG75">
    <cfRule type="expression" dxfId="417" priority="25" stopIfTrue="1">
      <formula>AND(BE76&gt;3)</formula>
    </cfRule>
  </conditionalFormatting>
  <conditionalFormatting sqref="BG78">
    <cfRule type="expression" dxfId="416" priority="515" stopIfTrue="1">
      <formula>AND(BE80&gt;1)</formula>
    </cfRule>
  </conditionalFormatting>
  <conditionalFormatting sqref="BG79">
    <cfRule type="expression" dxfId="415" priority="513" stopIfTrue="1">
      <formula>AND(BE80&gt;3)</formula>
    </cfRule>
  </conditionalFormatting>
  <conditionalFormatting sqref="BJ14">
    <cfRule type="expression" dxfId="414" priority="1328" stopIfTrue="1">
      <formula>AND(BI16&gt;0)</formula>
    </cfRule>
  </conditionalFormatting>
  <conditionalFormatting sqref="BJ15">
    <cfRule type="expression" dxfId="413" priority="1326" stopIfTrue="1">
      <formula>AND(BI16&gt;2)</formula>
    </cfRule>
  </conditionalFormatting>
  <conditionalFormatting sqref="BJ18">
    <cfRule type="expression" dxfId="412" priority="1252" stopIfTrue="1">
      <formula>AND(BI20&gt;0)</formula>
    </cfRule>
  </conditionalFormatting>
  <conditionalFormatting sqref="BJ19">
    <cfRule type="expression" dxfId="411" priority="1250" stopIfTrue="1">
      <formula>AND(BI20&gt;2)</formula>
    </cfRule>
  </conditionalFormatting>
  <conditionalFormatting sqref="BJ22">
    <cfRule type="expression" dxfId="410" priority="1172" stopIfTrue="1">
      <formula>AND(BI24&gt;0)</formula>
    </cfRule>
  </conditionalFormatting>
  <conditionalFormatting sqref="BJ23">
    <cfRule type="expression" dxfId="409" priority="1170" stopIfTrue="1">
      <formula>AND(BI24&gt;2)</formula>
    </cfRule>
  </conditionalFormatting>
  <conditionalFormatting sqref="BJ26">
    <cfRule type="expression" dxfId="408" priority="1092" stopIfTrue="1">
      <formula>AND(BI28&gt;0)</formula>
    </cfRule>
  </conditionalFormatting>
  <conditionalFormatting sqref="BJ27">
    <cfRule type="expression" dxfId="407" priority="1090" stopIfTrue="1">
      <formula>AND(BI28&gt;2)</formula>
    </cfRule>
  </conditionalFormatting>
  <conditionalFormatting sqref="BJ30">
    <cfRule type="expression" dxfId="406" priority="1012" stopIfTrue="1">
      <formula>AND(BI32&gt;0)</formula>
    </cfRule>
  </conditionalFormatting>
  <conditionalFormatting sqref="BJ31">
    <cfRule type="expression" dxfId="405" priority="1010" stopIfTrue="1">
      <formula>AND(BI32&gt;2)</formula>
    </cfRule>
  </conditionalFormatting>
  <conditionalFormatting sqref="BJ34">
    <cfRule type="expression" dxfId="404" priority="932" stopIfTrue="1">
      <formula>AND(BI36&gt;0)</formula>
    </cfRule>
  </conditionalFormatting>
  <conditionalFormatting sqref="BJ35">
    <cfRule type="expression" dxfId="403" priority="930" stopIfTrue="1">
      <formula>AND(BI36&gt;2)</formula>
    </cfRule>
  </conditionalFormatting>
  <conditionalFormatting sqref="BJ38">
    <cfRule type="expression" dxfId="402" priority="852" stopIfTrue="1">
      <formula>AND(BI40&gt;0)</formula>
    </cfRule>
  </conditionalFormatting>
  <conditionalFormatting sqref="BJ39">
    <cfRule type="expression" dxfId="401" priority="850" stopIfTrue="1">
      <formula>AND(BI40&gt;2)</formula>
    </cfRule>
  </conditionalFormatting>
  <conditionalFormatting sqref="BJ42">
    <cfRule type="expression" dxfId="400" priority="772" stopIfTrue="1">
      <formula>AND(BI44&gt;0)</formula>
    </cfRule>
  </conditionalFormatting>
  <conditionalFormatting sqref="BJ43">
    <cfRule type="expression" dxfId="399" priority="770" stopIfTrue="1">
      <formula>AND(BI44&gt;2)</formula>
    </cfRule>
  </conditionalFormatting>
  <conditionalFormatting sqref="BJ46">
    <cfRule type="expression" dxfId="398" priority="692" stopIfTrue="1">
      <formula>AND(BI48&gt;0)</formula>
    </cfRule>
  </conditionalFormatting>
  <conditionalFormatting sqref="BJ47">
    <cfRule type="expression" dxfId="397" priority="690" stopIfTrue="1">
      <formula>AND(BI48&gt;2)</formula>
    </cfRule>
  </conditionalFormatting>
  <conditionalFormatting sqref="BJ50">
    <cfRule type="expression" dxfId="396" priority="612" stopIfTrue="1">
      <formula>AND(BI52&gt;0)</formula>
    </cfRule>
  </conditionalFormatting>
  <conditionalFormatting sqref="BJ51">
    <cfRule type="expression" dxfId="395" priority="610" stopIfTrue="1">
      <formula>AND(BI52&gt;2)</formula>
    </cfRule>
  </conditionalFormatting>
  <conditionalFormatting sqref="BJ54">
    <cfRule type="expression" dxfId="394" priority="424" stopIfTrue="1">
      <formula>AND(BI56&gt;0)</formula>
    </cfRule>
  </conditionalFormatting>
  <conditionalFormatting sqref="BJ55">
    <cfRule type="expression" dxfId="393" priority="422" stopIfTrue="1">
      <formula>AND(BI56&gt;2)</formula>
    </cfRule>
  </conditionalFormatting>
  <conditionalFormatting sqref="BJ58">
    <cfRule type="expression" dxfId="392" priority="344" stopIfTrue="1">
      <formula>AND(BI60&gt;0)</formula>
    </cfRule>
  </conditionalFormatting>
  <conditionalFormatting sqref="BJ59">
    <cfRule type="expression" dxfId="391" priority="342" stopIfTrue="1">
      <formula>AND(BI60&gt;2)</formula>
    </cfRule>
  </conditionalFormatting>
  <conditionalFormatting sqref="BJ62">
    <cfRule type="expression" dxfId="390" priority="104" stopIfTrue="1">
      <formula>AND(BI64&gt;0)</formula>
    </cfRule>
  </conditionalFormatting>
  <conditionalFormatting sqref="BJ63">
    <cfRule type="expression" dxfId="389" priority="102" stopIfTrue="1">
      <formula>AND(BI64&gt;2)</formula>
    </cfRule>
  </conditionalFormatting>
  <conditionalFormatting sqref="BJ66">
    <cfRule type="expression" dxfId="388" priority="184" stopIfTrue="1">
      <formula>AND(BI68&gt;0)</formula>
    </cfRule>
  </conditionalFormatting>
  <conditionalFormatting sqref="BJ67">
    <cfRule type="expression" dxfId="387" priority="182" stopIfTrue="1">
      <formula>AND(BI68&gt;2)</formula>
    </cfRule>
  </conditionalFormatting>
  <conditionalFormatting sqref="BJ70">
    <cfRule type="expression" dxfId="386" priority="264" stopIfTrue="1">
      <formula>AND(BI72&gt;0)</formula>
    </cfRule>
  </conditionalFormatting>
  <conditionalFormatting sqref="BJ71">
    <cfRule type="expression" dxfId="385" priority="262" stopIfTrue="1">
      <formula>AND(BI72&gt;2)</formula>
    </cfRule>
  </conditionalFormatting>
  <conditionalFormatting sqref="BJ74">
    <cfRule type="expression" dxfId="384" priority="24" stopIfTrue="1">
      <formula>AND(BI76&gt;0)</formula>
    </cfRule>
  </conditionalFormatting>
  <conditionalFormatting sqref="BJ75">
    <cfRule type="expression" dxfId="383" priority="22" stopIfTrue="1">
      <formula>AND(BI76&gt;2)</formula>
    </cfRule>
  </conditionalFormatting>
  <conditionalFormatting sqref="BJ78">
    <cfRule type="expression" dxfId="382" priority="512" stopIfTrue="1">
      <formula>AND(BI80&gt;0)</formula>
    </cfRule>
  </conditionalFormatting>
  <conditionalFormatting sqref="BJ79">
    <cfRule type="expression" dxfId="381" priority="510" stopIfTrue="1">
      <formula>AND(BI80&gt;2)</formula>
    </cfRule>
  </conditionalFormatting>
  <conditionalFormatting sqref="BK14">
    <cfRule type="expression" dxfId="380" priority="1327" stopIfTrue="1">
      <formula>AND(BI16&gt;1)</formula>
    </cfRule>
  </conditionalFormatting>
  <conditionalFormatting sqref="BK15">
    <cfRule type="expression" dxfId="379" priority="1325" stopIfTrue="1">
      <formula>AND(BI16&gt;3)</formula>
    </cfRule>
  </conditionalFormatting>
  <conditionalFormatting sqref="BK18">
    <cfRule type="expression" dxfId="378" priority="1251" stopIfTrue="1">
      <formula>AND(BI20&gt;1)</formula>
    </cfRule>
  </conditionalFormatting>
  <conditionalFormatting sqref="BK19">
    <cfRule type="expression" dxfId="377" priority="1249" stopIfTrue="1">
      <formula>AND(BI20&gt;3)</formula>
    </cfRule>
  </conditionalFormatting>
  <conditionalFormatting sqref="BK22">
    <cfRule type="expression" dxfId="376" priority="1171" stopIfTrue="1">
      <formula>AND(BI24&gt;1)</formula>
    </cfRule>
  </conditionalFormatting>
  <conditionalFormatting sqref="BK23">
    <cfRule type="expression" dxfId="375" priority="1169" stopIfTrue="1">
      <formula>AND(BI24&gt;3)</formula>
    </cfRule>
  </conditionalFormatting>
  <conditionalFormatting sqref="BK26">
    <cfRule type="expression" dxfId="374" priority="1091" stopIfTrue="1">
      <formula>AND(BI28&gt;1)</formula>
    </cfRule>
  </conditionalFormatting>
  <conditionalFormatting sqref="BK27">
    <cfRule type="expression" dxfId="373" priority="1089" stopIfTrue="1">
      <formula>AND(BI28&gt;3)</formula>
    </cfRule>
  </conditionalFormatting>
  <conditionalFormatting sqref="BK30">
    <cfRule type="expression" dxfId="372" priority="1011" stopIfTrue="1">
      <formula>AND(BI32&gt;1)</formula>
    </cfRule>
  </conditionalFormatting>
  <conditionalFormatting sqref="BK31">
    <cfRule type="expression" dxfId="371" priority="1009" stopIfTrue="1">
      <formula>AND(BI32&gt;3)</formula>
    </cfRule>
  </conditionalFormatting>
  <conditionalFormatting sqref="BK34">
    <cfRule type="expression" dxfId="370" priority="931" stopIfTrue="1">
      <formula>AND(BI36&gt;1)</formula>
    </cfRule>
  </conditionalFormatting>
  <conditionalFormatting sqref="BK35">
    <cfRule type="expression" dxfId="369" priority="929" stopIfTrue="1">
      <formula>AND(BI36&gt;3)</formula>
    </cfRule>
  </conditionalFormatting>
  <conditionalFormatting sqref="BK38">
    <cfRule type="expression" dxfId="368" priority="851" stopIfTrue="1">
      <formula>AND(BI40&gt;1)</formula>
    </cfRule>
  </conditionalFormatting>
  <conditionalFormatting sqref="BK39">
    <cfRule type="expression" dxfId="367" priority="849" stopIfTrue="1">
      <formula>AND(BI40&gt;3)</formula>
    </cfRule>
  </conditionalFormatting>
  <conditionalFormatting sqref="BK42">
    <cfRule type="expression" dxfId="366" priority="771" stopIfTrue="1">
      <formula>AND(BI44&gt;1)</formula>
    </cfRule>
  </conditionalFormatting>
  <conditionalFormatting sqref="BK43">
    <cfRule type="expression" dxfId="365" priority="769" stopIfTrue="1">
      <formula>AND(BI44&gt;3)</formula>
    </cfRule>
  </conditionalFormatting>
  <conditionalFormatting sqref="BK46">
    <cfRule type="expression" dxfId="364" priority="691" stopIfTrue="1">
      <formula>AND(BI48&gt;1)</formula>
    </cfRule>
  </conditionalFormatting>
  <conditionalFormatting sqref="BK47">
    <cfRule type="expression" dxfId="363" priority="689" stopIfTrue="1">
      <formula>AND(BI48&gt;3)</formula>
    </cfRule>
  </conditionalFormatting>
  <conditionalFormatting sqref="BK50">
    <cfRule type="expression" dxfId="362" priority="611" stopIfTrue="1">
      <formula>AND(BI52&gt;1)</formula>
    </cfRule>
  </conditionalFormatting>
  <conditionalFormatting sqref="BK51">
    <cfRule type="expression" dxfId="361" priority="609" stopIfTrue="1">
      <formula>AND(BI52&gt;3)</formula>
    </cfRule>
  </conditionalFormatting>
  <conditionalFormatting sqref="BK54">
    <cfRule type="expression" dxfId="360" priority="423" stopIfTrue="1">
      <formula>AND(BI56&gt;1)</formula>
    </cfRule>
  </conditionalFormatting>
  <conditionalFormatting sqref="BK55">
    <cfRule type="expression" dxfId="359" priority="421" stopIfTrue="1">
      <formula>AND(BI56&gt;3)</formula>
    </cfRule>
  </conditionalFormatting>
  <conditionalFormatting sqref="BK58">
    <cfRule type="expression" dxfId="358" priority="343" stopIfTrue="1">
      <formula>AND(BI60&gt;1)</formula>
    </cfRule>
  </conditionalFormatting>
  <conditionalFormatting sqref="BK59">
    <cfRule type="expression" dxfId="357" priority="341" stopIfTrue="1">
      <formula>AND(BI60&gt;3)</formula>
    </cfRule>
  </conditionalFormatting>
  <conditionalFormatting sqref="BK62">
    <cfRule type="expression" dxfId="356" priority="103" stopIfTrue="1">
      <formula>AND(BI64&gt;1)</formula>
    </cfRule>
  </conditionalFormatting>
  <conditionalFormatting sqref="BK63">
    <cfRule type="expression" dxfId="355" priority="101" stopIfTrue="1">
      <formula>AND(BI64&gt;3)</formula>
    </cfRule>
  </conditionalFormatting>
  <conditionalFormatting sqref="BK66">
    <cfRule type="expression" dxfId="354" priority="183" stopIfTrue="1">
      <formula>AND(BI68&gt;1)</formula>
    </cfRule>
  </conditionalFormatting>
  <conditionalFormatting sqref="BK67">
    <cfRule type="expression" dxfId="353" priority="181" stopIfTrue="1">
      <formula>AND(BI68&gt;3)</formula>
    </cfRule>
  </conditionalFormatting>
  <conditionalFormatting sqref="BK70">
    <cfRule type="expression" dxfId="352" priority="263" stopIfTrue="1">
      <formula>AND(BI72&gt;1)</formula>
    </cfRule>
  </conditionalFormatting>
  <conditionalFormatting sqref="BK71">
    <cfRule type="expression" dxfId="351" priority="261" stopIfTrue="1">
      <formula>AND(BI72&gt;3)</formula>
    </cfRule>
  </conditionalFormatting>
  <conditionalFormatting sqref="BK74">
    <cfRule type="expression" dxfId="350" priority="23" stopIfTrue="1">
      <formula>AND(BI76&gt;1)</formula>
    </cfRule>
  </conditionalFormatting>
  <conditionalFormatting sqref="BK75">
    <cfRule type="expression" dxfId="349" priority="21" stopIfTrue="1">
      <formula>AND(BI76&gt;3)</formula>
    </cfRule>
  </conditionalFormatting>
  <conditionalFormatting sqref="BK78">
    <cfRule type="expression" dxfId="348" priority="511" stopIfTrue="1">
      <formula>AND(BI80&gt;1)</formula>
    </cfRule>
  </conditionalFormatting>
  <conditionalFormatting sqref="BK79">
    <cfRule type="expression" dxfId="347" priority="509" stopIfTrue="1">
      <formula>AND(BI80&gt;3)</formula>
    </cfRule>
  </conditionalFormatting>
  <conditionalFormatting sqref="BN14">
    <cfRule type="expression" dxfId="346" priority="1324" stopIfTrue="1">
      <formula>AND(BM16&gt;0)</formula>
    </cfRule>
  </conditionalFormatting>
  <conditionalFormatting sqref="BN15">
    <cfRule type="expression" dxfId="345" priority="1322" stopIfTrue="1">
      <formula>AND(BM16&gt;2)</formula>
    </cfRule>
  </conditionalFormatting>
  <conditionalFormatting sqref="BN18">
    <cfRule type="expression" dxfId="344" priority="1248" stopIfTrue="1">
      <formula>AND(BM20&gt;0)</formula>
    </cfRule>
  </conditionalFormatting>
  <conditionalFormatting sqref="BN19">
    <cfRule type="expression" dxfId="343" priority="1246" stopIfTrue="1">
      <formula>AND(BM20&gt;2)</formula>
    </cfRule>
  </conditionalFormatting>
  <conditionalFormatting sqref="BN22">
    <cfRule type="expression" dxfId="342" priority="1168" stopIfTrue="1">
      <formula>AND(BM24&gt;0)</formula>
    </cfRule>
  </conditionalFormatting>
  <conditionalFormatting sqref="BN23">
    <cfRule type="expression" dxfId="341" priority="1166" stopIfTrue="1">
      <formula>AND(BM24&gt;2)</formula>
    </cfRule>
  </conditionalFormatting>
  <conditionalFormatting sqref="BN26">
    <cfRule type="expression" dxfId="340" priority="1088" stopIfTrue="1">
      <formula>AND(BM28&gt;0)</formula>
    </cfRule>
  </conditionalFormatting>
  <conditionalFormatting sqref="BN27">
    <cfRule type="expression" dxfId="339" priority="1086" stopIfTrue="1">
      <formula>AND(BM28&gt;2)</formula>
    </cfRule>
  </conditionalFormatting>
  <conditionalFormatting sqref="BN30">
    <cfRule type="expression" dxfId="338" priority="1008" stopIfTrue="1">
      <formula>AND(BM32&gt;0)</formula>
    </cfRule>
  </conditionalFormatting>
  <conditionalFormatting sqref="BN31">
    <cfRule type="expression" dxfId="337" priority="1006" stopIfTrue="1">
      <formula>AND(BM32&gt;2)</formula>
    </cfRule>
  </conditionalFormatting>
  <conditionalFormatting sqref="BN34">
    <cfRule type="expression" dxfId="336" priority="928" stopIfTrue="1">
      <formula>AND(BM36&gt;0)</formula>
    </cfRule>
  </conditionalFormatting>
  <conditionalFormatting sqref="BN35">
    <cfRule type="expression" dxfId="335" priority="926" stopIfTrue="1">
      <formula>AND(BM36&gt;2)</formula>
    </cfRule>
  </conditionalFormatting>
  <conditionalFormatting sqref="BN38">
    <cfRule type="expression" dxfId="334" priority="848" stopIfTrue="1">
      <formula>AND(BM40&gt;0)</formula>
    </cfRule>
  </conditionalFormatting>
  <conditionalFormatting sqref="BN39">
    <cfRule type="expression" dxfId="333" priority="846" stopIfTrue="1">
      <formula>AND(BM40&gt;2)</formula>
    </cfRule>
  </conditionalFormatting>
  <conditionalFormatting sqref="BN42">
    <cfRule type="expression" dxfId="332" priority="768" stopIfTrue="1">
      <formula>AND(BM44&gt;0)</formula>
    </cfRule>
  </conditionalFormatting>
  <conditionalFormatting sqref="BN43">
    <cfRule type="expression" dxfId="331" priority="766" stopIfTrue="1">
      <formula>AND(BM44&gt;2)</formula>
    </cfRule>
  </conditionalFormatting>
  <conditionalFormatting sqref="BN46">
    <cfRule type="expression" dxfId="330" priority="688" stopIfTrue="1">
      <formula>AND(BM48&gt;0)</formula>
    </cfRule>
  </conditionalFormatting>
  <conditionalFormatting sqref="BN47">
    <cfRule type="expression" dxfId="329" priority="686" stopIfTrue="1">
      <formula>AND(BM48&gt;2)</formula>
    </cfRule>
  </conditionalFormatting>
  <conditionalFormatting sqref="BN50">
    <cfRule type="expression" dxfId="328" priority="608" stopIfTrue="1">
      <formula>AND(BM52&gt;0)</formula>
    </cfRule>
  </conditionalFormatting>
  <conditionalFormatting sqref="BN51">
    <cfRule type="expression" dxfId="327" priority="606" stopIfTrue="1">
      <formula>AND(BM52&gt;2)</formula>
    </cfRule>
  </conditionalFormatting>
  <conditionalFormatting sqref="BN54">
    <cfRule type="expression" dxfId="326" priority="420" stopIfTrue="1">
      <formula>AND(BM56&gt;0)</formula>
    </cfRule>
  </conditionalFormatting>
  <conditionalFormatting sqref="BN55">
    <cfRule type="expression" dxfId="325" priority="418" stopIfTrue="1">
      <formula>AND(BM56&gt;2)</formula>
    </cfRule>
  </conditionalFormatting>
  <conditionalFormatting sqref="BN58">
    <cfRule type="expression" dxfId="324" priority="340" stopIfTrue="1">
      <formula>AND(BM60&gt;0)</formula>
    </cfRule>
  </conditionalFormatting>
  <conditionalFormatting sqref="BN59">
    <cfRule type="expression" dxfId="323" priority="338" stopIfTrue="1">
      <formula>AND(BM60&gt;2)</formula>
    </cfRule>
  </conditionalFormatting>
  <conditionalFormatting sqref="BN62">
    <cfRule type="expression" dxfId="322" priority="100" stopIfTrue="1">
      <formula>AND(BM64&gt;0)</formula>
    </cfRule>
  </conditionalFormatting>
  <conditionalFormatting sqref="BN63">
    <cfRule type="expression" dxfId="321" priority="98" stopIfTrue="1">
      <formula>AND(BM64&gt;2)</formula>
    </cfRule>
  </conditionalFormatting>
  <conditionalFormatting sqref="BN66">
    <cfRule type="expression" dxfId="320" priority="180" stopIfTrue="1">
      <formula>AND(BM68&gt;0)</formula>
    </cfRule>
  </conditionalFormatting>
  <conditionalFormatting sqref="BN67">
    <cfRule type="expression" dxfId="319" priority="178" stopIfTrue="1">
      <formula>AND(BM68&gt;2)</formula>
    </cfRule>
  </conditionalFormatting>
  <conditionalFormatting sqref="BN70">
    <cfRule type="expression" dxfId="318" priority="260" stopIfTrue="1">
      <formula>AND(BM72&gt;0)</formula>
    </cfRule>
  </conditionalFormatting>
  <conditionalFormatting sqref="BN71">
    <cfRule type="expression" dxfId="317" priority="258" stopIfTrue="1">
      <formula>AND(BM72&gt;2)</formula>
    </cfRule>
  </conditionalFormatting>
  <conditionalFormatting sqref="BN74">
    <cfRule type="expression" dxfId="316" priority="20" stopIfTrue="1">
      <formula>AND(BM76&gt;0)</formula>
    </cfRule>
  </conditionalFormatting>
  <conditionalFormatting sqref="BN75">
    <cfRule type="expression" dxfId="315" priority="18" stopIfTrue="1">
      <formula>AND(BM76&gt;2)</formula>
    </cfRule>
  </conditionalFormatting>
  <conditionalFormatting sqref="BN78">
    <cfRule type="expression" dxfId="314" priority="508" stopIfTrue="1">
      <formula>AND(BM80&gt;0)</formula>
    </cfRule>
  </conditionalFormatting>
  <conditionalFormatting sqref="BN79">
    <cfRule type="expression" dxfId="313" priority="506" stopIfTrue="1">
      <formula>AND(BM80&gt;2)</formula>
    </cfRule>
  </conditionalFormatting>
  <conditionalFormatting sqref="BO14">
    <cfRule type="expression" dxfId="312" priority="1323" stopIfTrue="1">
      <formula>AND(BM16&gt;1)</formula>
    </cfRule>
  </conditionalFormatting>
  <conditionalFormatting sqref="BO15">
    <cfRule type="expression" dxfId="311" priority="1321" stopIfTrue="1">
      <formula>AND(BM16&gt;3)</formula>
    </cfRule>
  </conditionalFormatting>
  <conditionalFormatting sqref="BO18">
    <cfRule type="expression" dxfId="310" priority="1247" stopIfTrue="1">
      <formula>AND(BM20&gt;1)</formula>
    </cfRule>
  </conditionalFormatting>
  <conditionalFormatting sqref="BO19">
    <cfRule type="expression" dxfId="309" priority="1245" stopIfTrue="1">
      <formula>AND(BM20&gt;3)</formula>
    </cfRule>
  </conditionalFormatting>
  <conditionalFormatting sqref="BO22">
    <cfRule type="expression" dxfId="308" priority="1167" stopIfTrue="1">
      <formula>AND(BM24&gt;1)</formula>
    </cfRule>
  </conditionalFormatting>
  <conditionalFormatting sqref="BO23">
    <cfRule type="expression" dxfId="307" priority="1165" stopIfTrue="1">
      <formula>AND(BM24&gt;3)</formula>
    </cfRule>
  </conditionalFormatting>
  <conditionalFormatting sqref="BO26">
    <cfRule type="expression" dxfId="306" priority="1087" stopIfTrue="1">
      <formula>AND(BM28&gt;1)</formula>
    </cfRule>
  </conditionalFormatting>
  <conditionalFormatting sqref="BO27">
    <cfRule type="expression" dxfId="305" priority="1085" stopIfTrue="1">
      <formula>AND(BM28&gt;3)</formula>
    </cfRule>
  </conditionalFormatting>
  <conditionalFormatting sqref="BO30">
    <cfRule type="expression" dxfId="304" priority="1007" stopIfTrue="1">
      <formula>AND(BM32&gt;1)</formula>
    </cfRule>
  </conditionalFormatting>
  <conditionalFormatting sqref="BO31">
    <cfRule type="expression" dxfId="303" priority="1005" stopIfTrue="1">
      <formula>AND(BM32&gt;3)</formula>
    </cfRule>
  </conditionalFormatting>
  <conditionalFormatting sqref="BO34">
    <cfRule type="expression" dxfId="302" priority="927" stopIfTrue="1">
      <formula>AND(BM36&gt;1)</formula>
    </cfRule>
  </conditionalFormatting>
  <conditionalFormatting sqref="BO35">
    <cfRule type="expression" dxfId="301" priority="925" stopIfTrue="1">
      <formula>AND(BM36&gt;3)</formula>
    </cfRule>
  </conditionalFormatting>
  <conditionalFormatting sqref="BO38">
    <cfRule type="expression" dxfId="300" priority="847" stopIfTrue="1">
      <formula>AND(BM40&gt;1)</formula>
    </cfRule>
  </conditionalFormatting>
  <conditionalFormatting sqref="BO39">
    <cfRule type="expression" dxfId="299" priority="845" stopIfTrue="1">
      <formula>AND(BM40&gt;3)</formula>
    </cfRule>
  </conditionalFormatting>
  <conditionalFormatting sqref="BO42">
    <cfRule type="expression" dxfId="298" priority="767" stopIfTrue="1">
      <formula>AND(BM44&gt;1)</formula>
    </cfRule>
  </conditionalFormatting>
  <conditionalFormatting sqref="BO43">
    <cfRule type="expression" dxfId="297" priority="765" stopIfTrue="1">
      <formula>AND(BM44&gt;3)</formula>
    </cfRule>
  </conditionalFormatting>
  <conditionalFormatting sqref="BO46">
    <cfRule type="expression" dxfId="296" priority="687" stopIfTrue="1">
      <formula>AND(BM48&gt;1)</formula>
    </cfRule>
  </conditionalFormatting>
  <conditionalFormatting sqref="BO47">
    <cfRule type="expression" dxfId="295" priority="685" stopIfTrue="1">
      <formula>AND(BM48&gt;3)</formula>
    </cfRule>
  </conditionalFormatting>
  <conditionalFormatting sqref="BO50">
    <cfRule type="expression" dxfId="294" priority="607" stopIfTrue="1">
      <formula>AND(BM52&gt;1)</formula>
    </cfRule>
  </conditionalFormatting>
  <conditionalFormatting sqref="BO51">
    <cfRule type="expression" dxfId="293" priority="605" stopIfTrue="1">
      <formula>AND(BM52&gt;3)</formula>
    </cfRule>
  </conditionalFormatting>
  <conditionalFormatting sqref="BO54">
    <cfRule type="expression" dxfId="292" priority="419" stopIfTrue="1">
      <formula>AND(BM56&gt;1)</formula>
    </cfRule>
  </conditionalFormatting>
  <conditionalFormatting sqref="BO55">
    <cfRule type="expression" dxfId="291" priority="417" stopIfTrue="1">
      <formula>AND(BM56&gt;3)</formula>
    </cfRule>
  </conditionalFormatting>
  <conditionalFormatting sqref="BO58">
    <cfRule type="expression" dxfId="290" priority="339" stopIfTrue="1">
      <formula>AND(BM60&gt;1)</formula>
    </cfRule>
  </conditionalFormatting>
  <conditionalFormatting sqref="BO59">
    <cfRule type="expression" dxfId="289" priority="337" stopIfTrue="1">
      <formula>AND(BM60&gt;3)</formula>
    </cfRule>
  </conditionalFormatting>
  <conditionalFormatting sqref="BO62">
    <cfRule type="expression" dxfId="288" priority="99" stopIfTrue="1">
      <formula>AND(BM64&gt;1)</formula>
    </cfRule>
  </conditionalFormatting>
  <conditionalFormatting sqref="BO63">
    <cfRule type="expression" dxfId="287" priority="97" stopIfTrue="1">
      <formula>AND(BM64&gt;3)</formula>
    </cfRule>
  </conditionalFormatting>
  <conditionalFormatting sqref="BO66">
    <cfRule type="expression" dxfId="286" priority="179" stopIfTrue="1">
      <formula>AND(BM68&gt;1)</formula>
    </cfRule>
  </conditionalFormatting>
  <conditionalFormatting sqref="BO67">
    <cfRule type="expression" dxfId="285" priority="177" stopIfTrue="1">
      <formula>AND(BM68&gt;3)</formula>
    </cfRule>
  </conditionalFormatting>
  <conditionalFormatting sqref="BO70">
    <cfRule type="expression" dxfId="284" priority="259" stopIfTrue="1">
      <formula>AND(BM72&gt;1)</formula>
    </cfRule>
  </conditionalFormatting>
  <conditionalFormatting sqref="BO71">
    <cfRule type="expression" dxfId="283" priority="257" stopIfTrue="1">
      <formula>AND(BM72&gt;3)</formula>
    </cfRule>
  </conditionalFormatting>
  <conditionalFormatting sqref="BO74">
    <cfRule type="expression" dxfId="282" priority="19" stopIfTrue="1">
      <formula>AND(BM76&gt;1)</formula>
    </cfRule>
  </conditionalFormatting>
  <conditionalFormatting sqref="BO75">
    <cfRule type="expression" dxfId="281" priority="17" stopIfTrue="1">
      <formula>AND(BM76&gt;3)</formula>
    </cfRule>
  </conditionalFormatting>
  <conditionalFormatting sqref="BO78">
    <cfRule type="expression" dxfId="280" priority="507" stopIfTrue="1">
      <formula>AND(BM80&gt;1)</formula>
    </cfRule>
  </conditionalFormatting>
  <conditionalFormatting sqref="BO79">
    <cfRule type="expression" dxfId="279" priority="505" stopIfTrue="1">
      <formula>AND(BM80&gt;3)</formula>
    </cfRule>
  </conditionalFormatting>
  <conditionalFormatting sqref="BR6">
    <cfRule type="expression" dxfId="278" priority="572" stopIfTrue="1">
      <formula>AND(BQ8&gt;0)</formula>
    </cfRule>
  </conditionalFormatting>
  <conditionalFormatting sqref="BR7">
    <cfRule type="expression" dxfId="277" priority="570" stopIfTrue="1">
      <formula>AND(BQ8&gt;2)</formula>
    </cfRule>
  </conditionalFormatting>
  <conditionalFormatting sqref="BR14">
    <cfRule type="expression" dxfId="276" priority="1320" stopIfTrue="1">
      <formula>AND(BQ16&gt;0)</formula>
    </cfRule>
  </conditionalFormatting>
  <conditionalFormatting sqref="BR15">
    <cfRule type="expression" dxfId="275" priority="1318" stopIfTrue="1">
      <formula>AND(BQ16&gt;2)</formula>
    </cfRule>
  </conditionalFormatting>
  <conditionalFormatting sqref="BR18">
    <cfRule type="expression" dxfId="274" priority="1244" stopIfTrue="1">
      <formula>AND(BQ20&gt;0)</formula>
    </cfRule>
  </conditionalFormatting>
  <conditionalFormatting sqref="BR19">
    <cfRule type="expression" dxfId="273" priority="1242" stopIfTrue="1">
      <formula>AND(BQ20&gt;2)</formula>
    </cfRule>
  </conditionalFormatting>
  <conditionalFormatting sqref="BR22">
    <cfRule type="expression" dxfId="272" priority="1164" stopIfTrue="1">
      <formula>AND(BQ24&gt;0)</formula>
    </cfRule>
  </conditionalFormatting>
  <conditionalFormatting sqref="BR23">
    <cfRule type="expression" dxfId="271" priority="1162" stopIfTrue="1">
      <formula>AND(BQ24&gt;2)</formula>
    </cfRule>
  </conditionalFormatting>
  <conditionalFormatting sqref="BR26">
    <cfRule type="expression" dxfId="270" priority="1084" stopIfTrue="1">
      <formula>AND(BQ28&gt;0)</formula>
    </cfRule>
  </conditionalFormatting>
  <conditionalFormatting sqref="BR27">
    <cfRule type="expression" dxfId="269" priority="1082" stopIfTrue="1">
      <formula>AND(BQ28&gt;2)</formula>
    </cfRule>
  </conditionalFormatting>
  <conditionalFormatting sqref="BR30">
    <cfRule type="expression" dxfId="268" priority="1004" stopIfTrue="1">
      <formula>AND(BQ32&gt;0)</formula>
    </cfRule>
  </conditionalFormatting>
  <conditionalFormatting sqref="BR31">
    <cfRule type="expression" dxfId="267" priority="1002" stopIfTrue="1">
      <formula>AND(BQ32&gt;2)</formula>
    </cfRule>
  </conditionalFormatting>
  <conditionalFormatting sqref="BR34">
    <cfRule type="expression" dxfId="266" priority="924" stopIfTrue="1">
      <formula>AND(BQ36&gt;0)</formula>
    </cfRule>
  </conditionalFormatting>
  <conditionalFormatting sqref="BR35">
    <cfRule type="expression" dxfId="265" priority="922" stopIfTrue="1">
      <formula>AND(BQ36&gt;2)</formula>
    </cfRule>
  </conditionalFormatting>
  <conditionalFormatting sqref="BR38">
    <cfRule type="expression" dxfId="264" priority="844" stopIfTrue="1">
      <formula>AND(BQ40&gt;0)</formula>
    </cfRule>
  </conditionalFormatting>
  <conditionalFormatting sqref="BR39">
    <cfRule type="expression" dxfId="263" priority="842" stopIfTrue="1">
      <formula>AND(BQ40&gt;2)</formula>
    </cfRule>
  </conditionalFormatting>
  <conditionalFormatting sqref="BR42">
    <cfRule type="expression" dxfId="262" priority="764" stopIfTrue="1">
      <formula>AND(BQ44&gt;0)</formula>
    </cfRule>
  </conditionalFormatting>
  <conditionalFormatting sqref="BR43">
    <cfRule type="expression" dxfId="261" priority="762" stopIfTrue="1">
      <formula>AND(BQ44&gt;2)</formula>
    </cfRule>
  </conditionalFormatting>
  <conditionalFormatting sqref="BR46">
    <cfRule type="expression" dxfId="260" priority="684" stopIfTrue="1">
      <formula>AND(BQ48&gt;0)</formula>
    </cfRule>
  </conditionalFormatting>
  <conditionalFormatting sqref="BR47">
    <cfRule type="expression" dxfId="259" priority="682" stopIfTrue="1">
      <formula>AND(BQ48&gt;2)</formula>
    </cfRule>
  </conditionalFormatting>
  <conditionalFormatting sqref="BR50">
    <cfRule type="expression" dxfId="258" priority="604" stopIfTrue="1">
      <formula>AND(BQ52&gt;0)</formula>
    </cfRule>
  </conditionalFormatting>
  <conditionalFormatting sqref="BR51">
    <cfRule type="expression" dxfId="257" priority="602" stopIfTrue="1">
      <formula>AND(BQ52&gt;2)</formula>
    </cfRule>
  </conditionalFormatting>
  <conditionalFormatting sqref="BR54">
    <cfRule type="expression" dxfId="256" priority="416" stopIfTrue="1">
      <formula>AND(BQ56&gt;0)</formula>
    </cfRule>
  </conditionalFormatting>
  <conditionalFormatting sqref="BR55">
    <cfRule type="expression" dxfId="255" priority="414" stopIfTrue="1">
      <formula>AND(BQ56&gt;2)</formula>
    </cfRule>
  </conditionalFormatting>
  <conditionalFormatting sqref="BR58">
    <cfRule type="expression" dxfId="254" priority="336" stopIfTrue="1">
      <formula>AND(BQ60&gt;0)</formula>
    </cfRule>
  </conditionalFormatting>
  <conditionalFormatting sqref="BR59">
    <cfRule type="expression" dxfId="253" priority="334" stopIfTrue="1">
      <formula>AND(BQ60&gt;2)</formula>
    </cfRule>
  </conditionalFormatting>
  <conditionalFormatting sqref="BR62">
    <cfRule type="expression" dxfId="252" priority="96" stopIfTrue="1">
      <formula>AND(BQ64&gt;0)</formula>
    </cfRule>
  </conditionalFormatting>
  <conditionalFormatting sqref="BR63">
    <cfRule type="expression" dxfId="251" priority="94" stopIfTrue="1">
      <formula>AND(BQ64&gt;2)</formula>
    </cfRule>
  </conditionalFormatting>
  <conditionalFormatting sqref="BR66">
    <cfRule type="expression" dxfId="250" priority="176" stopIfTrue="1">
      <formula>AND(BQ68&gt;0)</formula>
    </cfRule>
  </conditionalFormatting>
  <conditionalFormatting sqref="BR67">
    <cfRule type="expression" dxfId="249" priority="174" stopIfTrue="1">
      <formula>AND(BQ68&gt;2)</formula>
    </cfRule>
  </conditionalFormatting>
  <conditionalFormatting sqref="BR70">
    <cfRule type="expression" dxfId="248" priority="256" stopIfTrue="1">
      <formula>AND(BQ72&gt;0)</formula>
    </cfRule>
  </conditionalFormatting>
  <conditionalFormatting sqref="BR71">
    <cfRule type="expression" dxfId="247" priority="254" stopIfTrue="1">
      <formula>AND(BQ72&gt;2)</formula>
    </cfRule>
  </conditionalFormatting>
  <conditionalFormatting sqref="BR74">
    <cfRule type="expression" dxfId="246" priority="16" stopIfTrue="1">
      <formula>AND(BQ76&gt;0)</formula>
    </cfRule>
  </conditionalFormatting>
  <conditionalFormatting sqref="BR75">
    <cfRule type="expression" dxfId="245" priority="14" stopIfTrue="1">
      <formula>AND(BQ76&gt;2)</formula>
    </cfRule>
  </conditionalFormatting>
  <conditionalFormatting sqref="BR78">
    <cfRule type="expression" dxfId="244" priority="504" stopIfTrue="1">
      <formula>AND(BQ80&gt;0)</formula>
    </cfRule>
  </conditionalFormatting>
  <conditionalFormatting sqref="BR79">
    <cfRule type="expression" dxfId="243" priority="502" stopIfTrue="1">
      <formula>AND(BQ80&gt;2)</formula>
    </cfRule>
  </conditionalFormatting>
  <conditionalFormatting sqref="BS6">
    <cfRule type="expression" dxfId="242" priority="571" stopIfTrue="1">
      <formula>AND(BQ8&gt;1)</formula>
    </cfRule>
  </conditionalFormatting>
  <conditionalFormatting sqref="BS7">
    <cfRule type="expression" dxfId="241" priority="569" stopIfTrue="1">
      <formula>AND(BQ8&gt;3)</formula>
    </cfRule>
  </conditionalFormatting>
  <conditionalFormatting sqref="BS14">
    <cfRule type="expression" dxfId="240" priority="1319" stopIfTrue="1">
      <formula>AND(BQ16&gt;1)</formula>
    </cfRule>
  </conditionalFormatting>
  <conditionalFormatting sqref="BS15">
    <cfRule type="expression" dxfId="239" priority="1317" stopIfTrue="1">
      <formula>AND(BQ16&gt;3)</formula>
    </cfRule>
  </conditionalFormatting>
  <conditionalFormatting sqref="BS18">
    <cfRule type="expression" dxfId="238" priority="1243" stopIfTrue="1">
      <formula>AND(BQ20&gt;1)</formula>
    </cfRule>
  </conditionalFormatting>
  <conditionalFormatting sqref="BS19">
    <cfRule type="expression" dxfId="237" priority="1241" stopIfTrue="1">
      <formula>AND(BQ20&gt;3)</formula>
    </cfRule>
  </conditionalFormatting>
  <conditionalFormatting sqref="BS22">
    <cfRule type="expression" dxfId="236" priority="1163" stopIfTrue="1">
      <formula>AND(BQ24&gt;1)</formula>
    </cfRule>
  </conditionalFormatting>
  <conditionalFormatting sqref="BS23">
    <cfRule type="expression" dxfId="235" priority="1161" stopIfTrue="1">
      <formula>AND(BQ24&gt;3)</formula>
    </cfRule>
  </conditionalFormatting>
  <conditionalFormatting sqref="BS26">
    <cfRule type="expression" dxfId="234" priority="1083" stopIfTrue="1">
      <formula>AND(BQ28&gt;1)</formula>
    </cfRule>
  </conditionalFormatting>
  <conditionalFormatting sqref="BS27">
    <cfRule type="expression" dxfId="233" priority="1081" stopIfTrue="1">
      <formula>AND(BQ28&gt;3)</formula>
    </cfRule>
  </conditionalFormatting>
  <conditionalFormatting sqref="BS30">
    <cfRule type="expression" dxfId="232" priority="1003" stopIfTrue="1">
      <formula>AND(BQ32&gt;1)</formula>
    </cfRule>
  </conditionalFormatting>
  <conditionalFormatting sqref="BS31">
    <cfRule type="expression" dxfId="231" priority="1001" stopIfTrue="1">
      <formula>AND(BQ32&gt;3)</formula>
    </cfRule>
  </conditionalFormatting>
  <conditionalFormatting sqref="BS34">
    <cfRule type="expression" dxfId="230" priority="923" stopIfTrue="1">
      <formula>AND(BQ36&gt;1)</formula>
    </cfRule>
  </conditionalFormatting>
  <conditionalFormatting sqref="BS35">
    <cfRule type="expression" dxfId="229" priority="921" stopIfTrue="1">
      <formula>AND(BQ36&gt;3)</formula>
    </cfRule>
  </conditionalFormatting>
  <conditionalFormatting sqref="BS38">
    <cfRule type="expression" dxfId="228" priority="843" stopIfTrue="1">
      <formula>AND(BQ40&gt;1)</formula>
    </cfRule>
  </conditionalFormatting>
  <conditionalFormatting sqref="BS39">
    <cfRule type="expression" dxfId="227" priority="841" stopIfTrue="1">
      <formula>AND(BQ40&gt;3)</formula>
    </cfRule>
  </conditionalFormatting>
  <conditionalFormatting sqref="BS42">
    <cfRule type="expression" dxfId="226" priority="763" stopIfTrue="1">
      <formula>AND(BQ44&gt;1)</formula>
    </cfRule>
  </conditionalFormatting>
  <conditionalFormatting sqref="BS43">
    <cfRule type="expression" dxfId="225" priority="761" stopIfTrue="1">
      <formula>AND(BQ44&gt;3)</formula>
    </cfRule>
  </conditionalFormatting>
  <conditionalFormatting sqref="BS46">
    <cfRule type="expression" dxfId="224" priority="683" stopIfTrue="1">
      <formula>AND(BQ48&gt;1)</formula>
    </cfRule>
  </conditionalFormatting>
  <conditionalFormatting sqref="BS47">
    <cfRule type="expression" dxfId="223" priority="681" stopIfTrue="1">
      <formula>AND(BQ48&gt;3)</formula>
    </cfRule>
  </conditionalFormatting>
  <conditionalFormatting sqref="BS50">
    <cfRule type="expression" dxfId="222" priority="603" stopIfTrue="1">
      <formula>AND(BQ52&gt;1)</formula>
    </cfRule>
  </conditionalFormatting>
  <conditionalFormatting sqref="BS51">
    <cfRule type="expression" dxfId="221" priority="601" stopIfTrue="1">
      <formula>AND(BQ52&gt;3)</formula>
    </cfRule>
  </conditionalFormatting>
  <conditionalFormatting sqref="BS54">
    <cfRule type="expression" dxfId="220" priority="415" stopIfTrue="1">
      <formula>AND(BQ56&gt;1)</formula>
    </cfRule>
  </conditionalFormatting>
  <conditionalFormatting sqref="BS55">
    <cfRule type="expression" dxfId="219" priority="413" stopIfTrue="1">
      <formula>AND(BQ56&gt;3)</formula>
    </cfRule>
  </conditionalFormatting>
  <conditionalFormatting sqref="BS58">
    <cfRule type="expression" dxfId="218" priority="335" stopIfTrue="1">
      <formula>AND(BQ60&gt;1)</formula>
    </cfRule>
  </conditionalFormatting>
  <conditionalFormatting sqref="BS59">
    <cfRule type="expression" dxfId="217" priority="333" stopIfTrue="1">
      <formula>AND(BQ60&gt;3)</formula>
    </cfRule>
  </conditionalFormatting>
  <conditionalFormatting sqref="BS62">
    <cfRule type="expression" dxfId="216" priority="95" stopIfTrue="1">
      <formula>AND(BQ64&gt;1)</formula>
    </cfRule>
  </conditionalFormatting>
  <conditionalFormatting sqref="BS63">
    <cfRule type="expression" dxfId="215" priority="93" stopIfTrue="1">
      <formula>AND(BQ64&gt;3)</formula>
    </cfRule>
  </conditionalFormatting>
  <conditionalFormatting sqref="BS66">
    <cfRule type="expression" dxfId="214" priority="175" stopIfTrue="1">
      <formula>AND(BQ68&gt;1)</formula>
    </cfRule>
  </conditionalFormatting>
  <conditionalFormatting sqref="BS67">
    <cfRule type="expression" dxfId="213" priority="173" stopIfTrue="1">
      <formula>AND(BQ68&gt;3)</formula>
    </cfRule>
  </conditionalFormatting>
  <conditionalFormatting sqref="BS70">
    <cfRule type="expression" dxfId="212" priority="255" stopIfTrue="1">
      <formula>AND(BQ72&gt;1)</formula>
    </cfRule>
  </conditionalFormatting>
  <conditionalFormatting sqref="BS71">
    <cfRule type="expression" dxfId="211" priority="253" stopIfTrue="1">
      <formula>AND(BQ72&gt;3)</formula>
    </cfRule>
  </conditionalFormatting>
  <conditionalFormatting sqref="BS74">
    <cfRule type="expression" dxfId="210" priority="15" stopIfTrue="1">
      <formula>AND(BQ76&gt;1)</formula>
    </cfRule>
  </conditionalFormatting>
  <conditionalFormatting sqref="BS75">
    <cfRule type="expression" dxfId="209" priority="13" stopIfTrue="1">
      <formula>AND(BQ76&gt;3)</formula>
    </cfRule>
  </conditionalFormatting>
  <conditionalFormatting sqref="BS78">
    <cfRule type="expression" dxfId="208" priority="503" stopIfTrue="1">
      <formula>AND(BQ80&gt;1)</formula>
    </cfRule>
  </conditionalFormatting>
  <conditionalFormatting sqref="BS79">
    <cfRule type="expression" dxfId="207" priority="501" stopIfTrue="1">
      <formula>AND(BQ80&gt;3)</formula>
    </cfRule>
  </conditionalFormatting>
  <conditionalFormatting sqref="BV14">
    <cfRule type="expression" dxfId="206" priority="1316" stopIfTrue="1">
      <formula>AND(BU16&gt;0)</formula>
    </cfRule>
  </conditionalFormatting>
  <conditionalFormatting sqref="BV15">
    <cfRule type="expression" dxfId="205" priority="1314" stopIfTrue="1">
      <formula>AND(BU16&gt;2)</formula>
    </cfRule>
  </conditionalFormatting>
  <conditionalFormatting sqref="BV18">
    <cfRule type="expression" dxfId="204" priority="1240" stopIfTrue="1">
      <formula>AND(BU20&gt;0)</formula>
    </cfRule>
  </conditionalFormatting>
  <conditionalFormatting sqref="BV19">
    <cfRule type="expression" dxfId="203" priority="1238" stopIfTrue="1">
      <formula>AND(BU20&gt;2)</formula>
    </cfRule>
  </conditionalFormatting>
  <conditionalFormatting sqref="BV22">
    <cfRule type="expression" dxfId="202" priority="1160" stopIfTrue="1">
      <formula>AND(BU24&gt;0)</formula>
    </cfRule>
  </conditionalFormatting>
  <conditionalFormatting sqref="BV23">
    <cfRule type="expression" dxfId="201" priority="1158" stopIfTrue="1">
      <formula>AND(BU24&gt;2)</formula>
    </cfRule>
  </conditionalFormatting>
  <conditionalFormatting sqref="BV26">
    <cfRule type="expression" dxfId="200" priority="1080" stopIfTrue="1">
      <formula>AND(BU28&gt;0)</formula>
    </cfRule>
  </conditionalFormatting>
  <conditionalFormatting sqref="BV27">
    <cfRule type="expression" dxfId="199" priority="1078" stopIfTrue="1">
      <formula>AND(BU28&gt;2)</formula>
    </cfRule>
  </conditionalFormatting>
  <conditionalFormatting sqref="BV30">
    <cfRule type="expression" dxfId="198" priority="1000" stopIfTrue="1">
      <formula>AND(BU32&gt;0)</formula>
    </cfRule>
  </conditionalFormatting>
  <conditionalFormatting sqref="BV31">
    <cfRule type="expression" dxfId="197" priority="998" stopIfTrue="1">
      <formula>AND(BU32&gt;2)</formula>
    </cfRule>
  </conditionalFormatting>
  <conditionalFormatting sqref="BV34">
    <cfRule type="expression" dxfId="196" priority="920" stopIfTrue="1">
      <formula>AND(BU36&gt;0)</formula>
    </cfRule>
  </conditionalFormatting>
  <conditionalFormatting sqref="BV35">
    <cfRule type="expression" dxfId="195" priority="918" stopIfTrue="1">
      <formula>AND(BU36&gt;2)</formula>
    </cfRule>
  </conditionalFormatting>
  <conditionalFormatting sqref="BV38">
    <cfRule type="expression" dxfId="194" priority="840" stopIfTrue="1">
      <formula>AND(BU40&gt;0)</formula>
    </cfRule>
  </conditionalFormatting>
  <conditionalFormatting sqref="BV39">
    <cfRule type="expression" dxfId="193" priority="838" stopIfTrue="1">
      <formula>AND(BU40&gt;2)</formula>
    </cfRule>
  </conditionalFormatting>
  <conditionalFormatting sqref="BV42">
    <cfRule type="expression" dxfId="192" priority="760" stopIfTrue="1">
      <formula>AND(BU44&gt;0)</formula>
    </cfRule>
  </conditionalFormatting>
  <conditionalFormatting sqref="BV43">
    <cfRule type="expression" dxfId="191" priority="758" stopIfTrue="1">
      <formula>AND(BU44&gt;2)</formula>
    </cfRule>
  </conditionalFormatting>
  <conditionalFormatting sqref="BV46">
    <cfRule type="expression" dxfId="190" priority="680" stopIfTrue="1">
      <formula>AND(BU48&gt;0)</formula>
    </cfRule>
  </conditionalFormatting>
  <conditionalFormatting sqref="BV47">
    <cfRule type="expression" dxfId="189" priority="678" stopIfTrue="1">
      <formula>AND(BU48&gt;2)</formula>
    </cfRule>
  </conditionalFormatting>
  <conditionalFormatting sqref="BV50">
    <cfRule type="expression" dxfId="188" priority="600" stopIfTrue="1">
      <formula>AND(BU52&gt;0)</formula>
    </cfRule>
  </conditionalFormatting>
  <conditionalFormatting sqref="BV51">
    <cfRule type="expression" dxfId="187" priority="598" stopIfTrue="1">
      <formula>AND(BU52&gt;2)</formula>
    </cfRule>
  </conditionalFormatting>
  <conditionalFormatting sqref="BV54">
    <cfRule type="expression" dxfId="186" priority="412" stopIfTrue="1">
      <formula>AND(BU56&gt;0)</formula>
    </cfRule>
  </conditionalFormatting>
  <conditionalFormatting sqref="BV55">
    <cfRule type="expression" dxfId="185" priority="410" stopIfTrue="1">
      <formula>AND(BU56&gt;2)</formula>
    </cfRule>
  </conditionalFormatting>
  <conditionalFormatting sqref="BV58">
    <cfRule type="expression" dxfId="184" priority="332" stopIfTrue="1">
      <formula>AND(BU60&gt;0)</formula>
    </cfRule>
  </conditionalFormatting>
  <conditionalFormatting sqref="BV59">
    <cfRule type="expression" dxfId="183" priority="330" stopIfTrue="1">
      <formula>AND(BU60&gt;2)</formula>
    </cfRule>
  </conditionalFormatting>
  <conditionalFormatting sqref="BV62">
    <cfRule type="expression" dxfId="182" priority="92" stopIfTrue="1">
      <formula>AND(BU64&gt;0)</formula>
    </cfRule>
  </conditionalFormatting>
  <conditionalFormatting sqref="BV63">
    <cfRule type="expression" dxfId="181" priority="90" stopIfTrue="1">
      <formula>AND(BU64&gt;2)</formula>
    </cfRule>
  </conditionalFormatting>
  <conditionalFormatting sqref="BV66">
    <cfRule type="expression" dxfId="180" priority="172" stopIfTrue="1">
      <formula>AND(BU68&gt;0)</formula>
    </cfRule>
  </conditionalFormatting>
  <conditionalFormatting sqref="BV67">
    <cfRule type="expression" dxfId="179" priority="170" stopIfTrue="1">
      <formula>AND(BU68&gt;2)</formula>
    </cfRule>
  </conditionalFormatting>
  <conditionalFormatting sqref="BV70">
    <cfRule type="expression" dxfId="178" priority="252" stopIfTrue="1">
      <formula>AND(BU72&gt;0)</formula>
    </cfRule>
  </conditionalFormatting>
  <conditionalFormatting sqref="BV71">
    <cfRule type="expression" dxfId="177" priority="250" stopIfTrue="1">
      <formula>AND(BU72&gt;2)</formula>
    </cfRule>
  </conditionalFormatting>
  <conditionalFormatting sqref="BV74">
    <cfRule type="expression" dxfId="176" priority="12" stopIfTrue="1">
      <formula>AND(BU76&gt;0)</formula>
    </cfRule>
  </conditionalFormatting>
  <conditionalFormatting sqref="BV75">
    <cfRule type="expression" dxfId="175" priority="10" stopIfTrue="1">
      <formula>AND(BU76&gt;2)</formula>
    </cfRule>
  </conditionalFormatting>
  <conditionalFormatting sqref="BV78">
    <cfRule type="expression" dxfId="174" priority="500" stopIfTrue="1">
      <formula>AND(BU80&gt;0)</formula>
    </cfRule>
  </conditionalFormatting>
  <conditionalFormatting sqref="BV79">
    <cfRule type="expression" dxfId="173" priority="498" stopIfTrue="1">
      <formula>AND(BU80&gt;2)</formula>
    </cfRule>
  </conditionalFormatting>
  <conditionalFormatting sqref="BW14">
    <cfRule type="expression" dxfId="172" priority="1315" stopIfTrue="1">
      <formula>AND(BU16&gt;1)</formula>
    </cfRule>
  </conditionalFormatting>
  <conditionalFormatting sqref="BW15">
    <cfRule type="expression" dxfId="171" priority="1313" stopIfTrue="1">
      <formula>AND(BU16&gt;3)</formula>
    </cfRule>
  </conditionalFormatting>
  <conditionalFormatting sqref="BW18">
    <cfRule type="expression" dxfId="170" priority="1239" stopIfTrue="1">
      <formula>AND(BU20&gt;1)</formula>
    </cfRule>
  </conditionalFormatting>
  <conditionalFormatting sqref="BW19">
    <cfRule type="expression" dxfId="169" priority="1237" stopIfTrue="1">
      <formula>AND(BU20&gt;3)</formula>
    </cfRule>
  </conditionalFormatting>
  <conditionalFormatting sqref="BW22">
    <cfRule type="expression" dxfId="168" priority="1159" stopIfTrue="1">
      <formula>AND(BU24&gt;1)</formula>
    </cfRule>
  </conditionalFormatting>
  <conditionalFormatting sqref="BW23">
    <cfRule type="expression" dxfId="167" priority="1157" stopIfTrue="1">
      <formula>AND(BU24&gt;3)</formula>
    </cfRule>
  </conditionalFormatting>
  <conditionalFormatting sqref="BW26">
    <cfRule type="expression" dxfId="166" priority="1079" stopIfTrue="1">
      <formula>AND(BU28&gt;1)</formula>
    </cfRule>
  </conditionalFormatting>
  <conditionalFormatting sqref="BW27">
    <cfRule type="expression" dxfId="165" priority="1077" stopIfTrue="1">
      <formula>AND(BU28&gt;3)</formula>
    </cfRule>
  </conditionalFormatting>
  <conditionalFormatting sqref="BW30">
    <cfRule type="expression" dxfId="164" priority="999" stopIfTrue="1">
      <formula>AND(BU32&gt;1)</formula>
    </cfRule>
  </conditionalFormatting>
  <conditionalFormatting sqref="BW31">
    <cfRule type="expression" dxfId="163" priority="997" stopIfTrue="1">
      <formula>AND(BU32&gt;3)</formula>
    </cfRule>
  </conditionalFormatting>
  <conditionalFormatting sqref="BW34">
    <cfRule type="expression" dxfId="162" priority="919" stopIfTrue="1">
      <formula>AND(BU36&gt;1)</formula>
    </cfRule>
  </conditionalFormatting>
  <conditionalFormatting sqref="BW35">
    <cfRule type="expression" dxfId="161" priority="917" stopIfTrue="1">
      <formula>AND(BU36&gt;3)</formula>
    </cfRule>
  </conditionalFormatting>
  <conditionalFormatting sqref="BW38">
    <cfRule type="expression" dxfId="160" priority="839" stopIfTrue="1">
      <formula>AND(BU40&gt;1)</formula>
    </cfRule>
  </conditionalFormatting>
  <conditionalFormatting sqref="BW39">
    <cfRule type="expression" dxfId="159" priority="837" stopIfTrue="1">
      <formula>AND(BU40&gt;3)</formula>
    </cfRule>
  </conditionalFormatting>
  <conditionalFormatting sqref="BW42">
    <cfRule type="expression" dxfId="158" priority="759" stopIfTrue="1">
      <formula>AND(BU44&gt;1)</formula>
    </cfRule>
  </conditionalFormatting>
  <conditionalFormatting sqref="BW43">
    <cfRule type="expression" dxfId="157" priority="757" stopIfTrue="1">
      <formula>AND(BU44&gt;3)</formula>
    </cfRule>
  </conditionalFormatting>
  <conditionalFormatting sqref="BW46">
    <cfRule type="expression" dxfId="156" priority="679" stopIfTrue="1">
      <formula>AND(BU48&gt;1)</formula>
    </cfRule>
  </conditionalFormatting>
  <conditionalFormatting sqref="BW47">
    <cfRule type="expression" dxfId="155" priority="677" stopIfTrue="1">
      <formula>AND(BU48&gt;3)</formula>
    </cfRule>
  </conditionalFormatting>
  <conditionalFormatting sqref="BW50">
    <cfRule type="expression" dxfId="154" priority="599" stopIfTrue="1">
      <formula>AND(BU52&gt;1)</formula>
    </cfRule>
  </conditionalFormatting>
  <conditionalFormatting sqref="BW51">
    <cfRule type="expression" dxfId="153" priority="597" stopIfTrue="1">
      <formula>AND(BU52&gt;3)</formula>
    </cfRule>
  </conditionalFormatting>
  <conditionalFormatting sqref="BW54">
    <cfRule type="expression" dxfId="152" priority="411" stopIfTrue="1">
      <formula>AND(BU56&gt;1)</formula>
    </cfRule>
  </conditionalFormatting>
  <conditionalFormatting sqref="BW55">
    <cfRule type="expression" dxfId="151" priority="409" stopIfTrue="1">
      <formula>AND(BU56&gt;3)</formula>
    </cfRule>
  </conditionalFormatting>
  <conditionalFormatting sqref="BW58">
    <cfRule type="expression" dxfId="150" priority="331" stopIfTrue="1">
      <formula>AND(BU60&gt;1)</formula>
    </cfRule>
  </conditionalFormatting>
  <conditionalFormatting sqref="BW59">
    <cfRule type="expression" dxfId="149" priority="329" stopIfTrue="1">
      <formula>AND(BU60&gt;3)</formula>
    </cfRule>
  </conditionalFormatting>
  <conditionalFormatting sqref="BW62">
    <cfRule type="expression" dxfId="148" priority="91" stopIfTrue="1">
      <formula>AND(BU64&gt;1)</formula>
    </cfRule>
  </conditionalFormatting>
  <conditionalFormatting sqref="BW63">
    <cfRule type="expression" dxfId="147" priority="89" stopIfTrue="1">
      <formula>AND(BU64&gt;3)</formula>
    </cfRule>
  </conditionalFormatting>
  <conditionalFormatting sqref="BW66">
    <cfRule type="expression" dxfId="146" priority="171" stopIfTrue="1">
      <formula>AND(BU68&gt;1)</formula>
    </cfRule>
  </conditionalFormatting>
  <conditionalFormatting sqref="BW67">
    <cfRule type="expression" dxfId="145" priority="169" stopIfTrue="1">
      <formula>AND(BU68&gt;3)</formula>
    </cfRule>
  </conditionalFormatting>
  <conditionalFormatting sqref="BW70">
    <cfRule type="expression" dxfId="144" priority="251" stopIfTrue="1">
      <formula>AND(BU72&gt;1)</formula>
    </cfRule>
  </conditionalFormatting>
  <conditionalFormatting sqref="BW71">
    <cfRule type="expression" dxfId="143" priority="249" stopIfTrue="1">
      <formula>AND(BU72&gt;3)</formula>
    </cfRule>
  </conditionalFormatting>
  <conditionalFormatting sqref="BW74">
    <cfRule type="expression" dxfId="142" priority="11" stopIfTrue="1">
      <formula>AND(BU76&gt;1)</formula>
    </cfRule>
  </conditionalFormatting>
  <conditionalFormatting sqref="BW75">
    <cfRule type="expression" dxfId="141" priority="9" stopIfTrue="1">
      <formula>AND(BU76&gt;3)</formula>
    </cfRule>
  </conditionalFormatting>
  <conditionalFormatting sqref="BW78">
    <cfRule type="expression" dxfId="140" priority="499" stopIfTrue="1">
      <formula>AND(BU80&gt;1)</formula>
    </cfRule>
  </conditionalFormatting>
  <conditionalFormatting sqref="BW79">
    <cfRule type="expression" dxfId="139" priority="497" stopIfTrue="1">
      <formula>AND(BU80&gt;3)</formula>
    </cfRule>
  </conditionalFormatting>
  <conditionalFormatting sqref="BZ14">
    <cfRule type="expression" dxfId="138" priority="1312" stopIfTrue="1">
      <formula>AND(BY16&gt;0)</formula>
    </cfRule>
  </conditionalFormatting>
  <conditionalFormatting sqref="BZ15">
    <cfRule type="expression" dxfId="137" priority="1310" stopIfTrue="1">
      <formula>AND(BY16&gt;2)</formula>
    </cfRule>
  </conditionalFormatting>
  <conditionalFormatting sqref="BZ18">
    <cfRule type="expression" dxfId="136" priority="1236" stopIfTrue="1">
      <formula>AND(BY20&gt;0)</formula>
    </cfRule>
  </conditionalFormatting>
  <conditionalFormatting sqref="BZ19">
    <cfRule type="expression" dxfId="135" priority="1234" stopIfTrue="1">
      <formula>AND(BY20&gt;2)</formula>
    </cfRule>
  </conditionalFormatting>
  <conditionalFormatting sqref="BZ22">
    <cfRule type="expression" dxfId="134" priority="1156" stopIfTrue="1">
      <formula>AND(BY24&gt;0)</formula>
    </cfRule>
  </conditionalFormatting>
  <conditionalFormatting sqref="BZ23">
    <cfRule type="expression" dxfId="133" priority="1154" stopIfTrue="1">
      <formula>AND(BY24&gt;2)</formula>
    </cfRule>
  </conditionalFormatting>
  <conditionalFormatting sqref="BZ26">
    <cfRule type="expression" dxfId="132" priority="1076" stopIfTrue="1">
      <formula>AND(BY28&gt;0)</formula>
    </cfRule>
  </conditionalFormatting>
  <conditionalFormatting sqref="BZ27">
    <cfRule type="expression" dxfId="131" priority="1074" stopIfTrue="1">
      <formula>AND(BY28&gt;2)</formula>
    </cfRule>
  </conditionalFormatting>
  <conditionalFormatting sqref="BZ30">
    <cfRule type="expression" dxfId="130" priority="996" stopIfTrue="1">
      <formula>AND(BY32&gt;0)</formula>
    </cfRule>
  </conditionalFormatting>
  <conditionalFormatting sqref="BZ31">
    <cfRule type="expression" dxfId="129" priority="994" stopIfTrue="1">
      <formula>AND(BY32&gt;2)</formula>
    </cfRule>
  </conditionalFormatting>
  <conditionalFormatting sqref="BZ34">
    <cfRule type="expression" dxfId="128" priority="916" stopIfTrue="1">
      <formula>AND(BY36&gt;0)</formula>
    </cfRule>
  </conditionalFormatting>
  <conditionalFormatting sqref="BZ35">
    <cfRule type="expression" dxfId="127" priority="914" stopIfTrue="1">
      <formula>AND(BY36&gt;2)</formula>
    </cfRule>
  </conditionalFormatting>
  <conditionalFormatting sqref="BZ38">
    <cfRule type="expression" dxfId="126" priority="836" stopIfTrue="1">
      <formula>AND(BY40&gt;0)</formula>
    </cfRule>
  </conditionalFormatting>
  <conditionalFormatting sqref="BZ39">
    <cfRule type="expression" dxfId="125" priority="834" stopIfTrue="1">
      <formula>AND(BY40&gt;2)</formula>
    </cfRule>
  </conditionalFormatting>
  <conditionalFormatting sqref="BZ42">
    <cfRule type="expression" dxfId="124" priority="756" stopIfTrue="1">
      <formula>AND(BY44&gt;0)</formula>
    </cfRule>
  </conditionalFormatting>
  <conditionalFormatting sqref="BZ43">
    <cfRule type="expression" dxfId="123" priority="754" stopIfTrue="1">
      <formula>AND(BY44&gt;2)</formula>
    </cfRule>
  </conditionalFormatting>
  <conditionalFormatting sqref="BZ46">
    <cfRule type="expression" dxfId="122" priority="676" stopIfTrue="1">
      <formula>AND(BY48&gt;0)</formula>
    </cfRule>
  </conditionalFormatting>
  <conditionalFormatting sqref="BZ47">
    <cfRule type="expression" dxfId="121" priority="674" stopIfTrue="1">
      <formula>AND(BY48&gt;2)</formula>
    </cfRule>
  </conditionalFormatting>
  <conditionalFormatting sqref="BZ50">
    <cfRule type="expression" dxfId="120" priority="596" stopIfTrue="1">
      <formula>AND(BY52&gt;0)</formula>
    </cfRule>
  </conditionalFormatting>
  <conditionalFormatting sqref="BZ51">
    <cfRule type="expression" dxfId="119" priority="594" stopIfTrue="1">
      <formula>AND(BY52&gt;2)</formula>
    </cfRule>
  </conditionalFormatting>
  <conditionalFormatting sqref="BZ54">
    <cfRule type="expression" dxfId="118" priority="408" stopIfTrue="1">
      <formula>AND(BY56&gt;0)</formula>
    </cfRule>
  </conditionalFormatting>
  <conditionalFormatting sqref="BZ55">
    <cfRule type="expression" dxfId="117" priority="406" stopIfTrue="1">
      <formula>AND(BY56&gt;2)</formula>
    </cfRule>
  </conditionalFormatting>
  <conditionalFormatting sqref="BZ58">
    <cfRule type="expression" dxfId="116" priority="328" stopIfTrue="1">
      <formula>AND(BY60&gt;0)</formula>
    </cfRule>
  </conditionalFormatting>
  <conditionalFormatting sqref="BZ59">
    <cfRule type="expression" dxfId="115" priority="326" stopIfTrue="1">
      <formula>AND(BY60&gt;2)</formula>
    </cfRule>
  </conditionalFormatting>
  <conditionalFormatting sqref="BZ62">
    <cfRule type="expression" dxfId="114" priority="88" stopIfTrue="1">
      <formula>AND(BY64&gt;0)</formula>
    </cfRule>
  </conditionalFormatting>
  <conditionalFormatting sqref="BZ63">
    <cfRule type="expression" dxfId="113" priority="86" stopIfTrue="1">
      <formula>AND(BY64&gt;2)</formula>
    </cfRule>
  </conditionalFormatting>
  <conditionalFormatting sqref="BZ66">
    <cfRule type="expression" dxfId="112" priority="168" stopIfTrue="1">
      <formula>AND(BY68&gt;0)</formula>
    </cfRule>
  </conditionalFormatting>
  <conditionalFormatting sqref="BZ67">
    <cfRule type="expression" dxfId="111" priority="166" stopIfTrue="1">
      <formula>AND(BY68&gt;2)</formula>
    </cfRule>
  </conditionalFormatting>
  <conditionalFormatting sqref="BZ70">
    <cfRule type="expression" dxfId="110" priority="248" stopIfTrue="1">
      <formula>AND(BY72&gt;0)</formula>
    </cfRule>
  </conditionalFormatting>
  <conditionalFormatting sqref="BZ71">
    <cfRule type="expression" dxfId="109" priority="246" stopIfTrue="1">
      <formula>AND(BY72&gt;2)</formula>
    </cfRule>
  </conditionalFormatting>
  <conditionalFormatting sqref="BZ74">
    <cfRule type="expression" dxfId="108" priority="8" stopIfTrue="1">
      <formula>AND(BY76&gt;0)</formula>
    </cfRule>
  </conditionalFormatting>
  <conditionalFormatting sqref="BZ75">
    <cfRule type="expression" dxfId="107" priority="6" stopIfTrue="1">
      <formula>AND(BY76&gt;2)</formula>
    </cfRule>
  </conditionalFormatting>
  <conditionalFormatting sqref="BZ78">
    <cfRule type="expression" dxfId="106" priority="496" stopIfTrue="1">
      <formula>AND(BY80&gt;0)</formula>
    </cfRule>
  </conditionalFormatting>
  <conditionalFormatting sqref="BZ79">
    <cfRule type="expression" dxfId="105" priority="494" stopIfTrue="1">
      <formula>AND(BY80&gt;2)</formula>
    </cfRule>
  </conditionalFormatting>
  <conditionalFormatting sqref="CA14">
    <cfRule type="expression" dxfId="104" priority="1311" stopIfTrue="1">
      <formula>AND(BY16&gt;1)</formula>
    </cfRule>
  </conditionalFormatting>
  <conditionalFormatting sqref="CA15">
    <cfRule type="expression" dxfId="103" priority="1309" stopIfTrue="1">
      <formula>AND(BY16&gt;3)</formula>
    </cfRule>
  </conditionalFormatting>
  <conditionalFormatting sqref="CA18">
    <cfRule type="expression" dxfId="102" priority="1235" stopIfTrue="1">
      <formula>AND(BY20&gt;1)</formula>
    </cfRule>
  </conditionalFormatting>
  <conditionalFormatting sqref="CA19">
    <cfRule type="expression" dxfId="101" priority="1233" stopIfTrue="1">
      <formula>AND(BY20&gt;3)</formula>
    </cfRule>
  </conditionalFormatting>
  <conditionalFormatting sqref="CA22">
    <cfRule type="expression" dxfId="100" priority="1155" stopIfTrue="1">
      <formula>AND(BY24&gt;1)</formula>
    </cfRule>
  </conditionalFormatting>
  <conditionalFormatting sqref="CA23">
    <cfRule type="expression" dxfId="99" priority="1153" stopIfTrue="1">
      <formula>AND(BY24&gt;3)</formula>
    </cfRule>
  </conditionalFormatting>
  <conditionalFormatting sqref="CA26">
    <cfRule type="expression" dxfId="98" priority="1075" stopIfTrue="1">
      <formula>AND(BY28&gt;1)</formula>
    </cfRule>
  </conditionalFormatting>
  <conditionalFormatting sqref="CA27">
    <cfRule type="expression" dxfId="97" priority="1073" stopIfTrue="1">
      <formula>AND(BY28&gt;3)</formula>
    </cfRule>
  </conditionalFormatting>
  <conditionalFormatting sqref="CA30">
    <cfRule type="expression" dxfId="96" priority="995" stopIfTrue="1">
      <formula>AND(BY32&gt;1)</formula>
    </cfRule>
  </conditionalFormatting>
  <conditionalFormatting sqref="CA31">
    <cfRule type="expression" dxfId="95" priority="993" stopIfTrue="1">
      <formula>AND(BY32&gt;3)</formula>
    </cfRule>
  </conditionalFormatting>
  <conditionalFormatting sqref="CA34">
    <cfRule type="expression" dxfId="94" priority="915" stopIfTrue="1">
      <formula>AND(BY36&gt;1)</formula>
    </cfRule>
  </conditionalFormatting>
  <conditionalFormatting sqref="CA35">
    <cfRule type="expression" dxfId="93" priority="913" stopIfTrue="1">
      <formula>AND(BY36&gt;3)</formula>
    </cfRule>
  </conditionalFormatting>
  <conditionalFormatting sqref="CA38">
    <cfRule type="expression" dxfId="92" priority="835" stopIfTrue="1">
      <formula>AND(BY40&gt;1)</formula>
    </cfRule>
  </conditionalFormatting>
  <conditionalFormatting sqref="CA39">
    <cfRule type="expression" dxfId="91" priority="833" stopIfTrue="1">
      <formula>AND(BY40&gt;3)</formula>
    </cfRule>
  </conditionalFormatting>
  <conditionalFormatting sqref="CA42">
    <cfRule type="expression" dxfId="90" priority="755" stopIfTrue="1">
      <formula>AND(BY44&gt;1)</formula>
    </cfRule>
  </conditionalFormatting>
  <conditionalFormatting sqref="CA43">
    <cfRule type="expression" dxfId="89" priority="753" stopIfTrue="1">
      <formula>AND(BY44&gt;3)</formula>
    </cfRule>
  </conditionalFormatting>
  <conditionalFormatting sqref="CA46">
    <cfRule type="expression" dxfId="88" priority="675" stopIfTrue="1">
      <formula>AND(BY48&gt;1)</formula>
    </cfRule>
  </conditionalFormatting>
  <conditionalFormatting sqref="CA47">
    <cfRule type="expression" dxfId="87" priority="673" stopIfTrue="1">
      <formula>AND(BY48&gt;3)</formula>
    </cfRule>
  </conditionalFormatting>
  <conditionalFormatting sqref="CA50">
    <cfRule type="expression" dxfId="86" priority="595" stopIfTrue="1">
      <formula>AND(BY52&gt;1)</formula>
    </cfRule>
  </conditionalFormatting>
  <conditionalFormatting sqref="CA51">
    <cfRule type="expression" dxfId="85" priority="593" stopIfTrue="1">
      <formula>AND(BY52&gt;3)</formula>
    </cfRule>
  </conditionalFormatting>
  <conditionalFormatting sqref="CA54">
    <cfRule type="expression" dxfId="84" priority="407" stopIfTrue="1">
      <formula>AND(BY56&gt;1)</formula>
    </cfRule>
  </conditionalFormatting>
  <conditionalFormatting sqref="CA55">
    <cfRule type="expression" dxfId="83" priority="405" stopIfTrue="1">
      <formula>AND(BY56&gt;3)</formula>
    </cfRule>
  </conditionalFormatting>
  <conditionalFormatting sqref="CA58">
    <cfRule type="expression" dxfId="82" priority="327" stopIfTrue="1">
      <formula>AND(BY60&gt;1)</formula>
    </cfRule>
  </conditionalFormatting>
  <conditionalFormatting sqref="CA59">
    <cfRule type="expression" dxfId="81" priority="325" stopIfTrue="1">
      <formula>AND(BY60&gt;3)</formula>
    </cfRule>
  </conditionalFormatting>
  <conditionalFormatting sqref="CA62">
    <cfRule type="expression" dxfId="80" priority="87" stopIfTrue="1">
      <formula>AND(BY64&gt;1)</formula>
    </cfRule>
  </conditionalFormatting>
  <conditionalFormatting sqref="CA63">
    <cfRule type="expression" dxfId="79" priority="85" stopIfTrue="1">
      <formula>AND(BY64&gt;3)</formula>
    </cfRule>
  </conditionalFormatting>
  <conditionalFormatting sqref="CA66">
    <cfRule type="expression" dxfId="78" priority="167" stopIfTrue="1">
      <formula>AND(BY68&gt;1)</formula>
    </cfRule>
  </conditionalFormatting>
  <conditionalFormatting sqref="CA67">
    <cfRule type="expression" dxfId="77" priority="165" stopIfTrue="1">
      <formula>AND(BY68&gt;3)</formula>
    </cfRule>
  </conditionalFormatting>
  <conditionalFormatting sqref="CA70">
    <cfRule type="expression" dxfId="76" priority="247" stopIfTrue="1">
      <formula>AND(BY72&gt;1)</formula>
    </cfRule>
  </conditionalFormatting>
  <conditionalFormatting sqref="CA71">
    <cfRule type="expression" dxfId="75" priority="245" stopIfTrue="1">
      <formula>AND(BY72&gt;3)</formula>
    </cfRule>
  </conditionalFormatting>
  <conditionalFormatting sqref="CA74">
    <cfRule type="expression" dxfId="74" priority="7" stopIfTrue="1">
      <formula>AND(BY76&gt;1)</formula>
    </cfRule>
  </conditionalFormatting>
  <conditionalFormatting sqref="CA75">
    <cfRule type="expression" dxfId="73" priority="5" stopIfTrue="1">
      <formula>AND(BY76&gt;3)</formula>
    </cfRule>
  </conditionalFormatting>
  <conditionalFormatting sqref="CA78">
    <cfRule type="expression" dxfId="72" priority="495" stopIfTrue="1">
      <formula>AND(BY80&gt;1)</formula>
    </cfRule>
  </conditionalFormatting>
  <conditionalFormatting sqref="CA79">
    <cfRule type="expression" dxfId="71" priority="493" stopIfTrue="1">
      <formula>AND(BY80&gt;3)</formula>
    </cfRule>
  </conditionalFormatting>
  <conditionalFormatting sqref="CD14">
    <cfRule type="expression" dxfId="70" priority="1308" stopIfTrue="1">
      <formula>AND(CC16&gt;0)</formula>
    </cfRule>
  </conditionalFormatting>
  <conditionalFormatting sqref="CD15">
    <cfRule type="expression" dxfId="69" priority="1306" stopIfTrue="1">
      <formula>AND(CC16&gt;2)</formula>
    </cfRule>
  </conditionalFormatting>
  <conditionalFormatting sqref="CD18">
    <cfRule type="expression" dxfId="68" priority="1232" stopIfTrue="1">
      <formula>AND(CC20&gt;0)</formula>
    </cfRule>
  </conditionalFormatting>
  <conditionalFormatting sqref="CD19">
    <cfRule type="expression" dxfId="67" priority="1230" stopIfTrue="1">
      <formula>AND(CC20&gt;2)</formula>
    </cfRule>
  </conditionalFormatting>
  <conditionalFormatting sqref="CD22">
    <cfRule type="expression" dxfId="66" priority="1152" stopIfTrue="1">
      <formula>AND(CC24&gt;0)</formula>
    </cfRule>
  </conditionalFormatting>
  <conditionalFormatting sqref="CD23">
    <cfRule type="expression" dxfId="65" priority="1150" stopIfTrue="1">
      <formula>AND(CC24&gt;2)</formula>
    </cfRule>
  </conditionalFormatting>
  <conditionalFormatting sqref="CD26">
    <cfRule type="expression" dxfId="64" priority="1072" stopIfTrue="1">
      <formula>AND(CC28&gt;0)</formula>
    </cfRule>
  </conditionalFormatting>
  <conditionalFormatting sqref="CD27">
    <cfRule type="expression" dxfId="63" priority="1070" stopIfTrue="1">
      <formula>AND(CC28&gt;2)</formula>
    </cfRule>
  </conditionalFormatting>
  <conditionalFormatting sqref="CD30">
    <cfRule type="expression" dxfId="62" priority="992" stopIfTrue="1">
      <formula>AND(CC32&gt;0)</formula>
    </cfRule>
  </conditionalFormatting>
  <conditionalFormatting sqref="CD31">
    <cfRule type="expression" dxfId="61" priority="990" stopIfTrue="1">
      <formula>AND(CC32&gt;2)</formula>
    </cfRule>
  </conditionalFormatting>
  <conditionalFormatting sqref="CD34">
    <cfRule type="expression" dxfId="60" priority="912" stopIfTrue="1">
      <formula>AND(CC36&gt;0)</formula>
    </cfRule>
  </conditionalFormatting>
  <conditionalFormatting sqref="CD35">
    <cfRule type="expression" dxfId="59" priority="910" stopIfTrue="1">
      <formula>AND(CC36&gt;2)</formula>
    </cfRule>
  </conditionalFormatting>
  <conditionalFormatting sqref="CD38">
    <cfRule type="expression" dxfId="58" priority="832" stopIfTrue="1">
      <formula>AND(CC40&gt;0)</formula>
    </cfRule>
  </conditionalFormatting>
  <conditionalFormatting sqref="CD39">
    <cfRule type="expression" dxfId="57" priority="830" stopIfTrue="1">
      <formula>AND(CC40&gt;2)</formula>
    </cfRule>
  </conditionalFormatting>
  <conditionalFormatting sqref="CD42">
    <cfRule type="expression" dxfId="56" priority="752" stopIfTrue="1">
      <formula>AND(CC44&gt;0)</formula>
    </cfRule>
  </conditionalFormatting>
  <conditionalFormatting sqref="CD43">
    <cfRule type="expression" dxfId="55" priority="750" stopIfTrue="1">
      <formula>AND(CC44&gt;2)</formula>
    </cfRule>
  </conditionalFormatting>
  <conditionalFormatting sqref="CD46">
    <cfRule type="expression" dxfId="54" priority="672" stopIfTrue="1">
      <formula>AND(CC48&gt;0)</formula>
    </cfRule>
  </conditionalFormatting>
  <conditionalFormatting sqref="CD47">
    <cfRule type="expression" dxfId="53" priority="670" stopIfTrue="1">
      <formula>AND(CC48&gt;2)</formula>
    </cfRule>
  </conditionalFormatting>
  <conditionalFormatting sqref="CD50">
    <cfRule type="expression" dxfId="52" priority="592" stopIfTrue="1">
      <formula>AND(CC52&gt;0)</formula>
    </cfRule>
  </conditionalFormatting>
  <conditionalFormatting sqref="CD51">
    <cfRule type="expression" dxfId="51" priority="590" stopIfTrue="1">
      <formula>AND(CC52&gt;2)</formula>
    </cfRule>
  </conditionalFormatting>
  <conditionalFormatting sqref="CD54">
    <cfRule type="expression" dxfId="50" priority="404" stopIfTrue="1">
      <formula>AND(CC56&gt;0)</formula>
    </cfRule>
  </conditionalFormatting>
  <conditionalFormatting sqref="CD55">
    <cfRule type="expression" dxfId="49" priority="402" stopIfTrue="1">
      <formula>AND(CC56&gt;2)</formula>
    </cfRule>
  </conditionalFormatting>
  <conditionalFormatting sqref="CD58">
    <cfRule type="expression" dxfId="48" priority="324" stopIfTrue="1">
      <formula>AND(CC60&gt;0)</formula>
    </cfRule>
  </conditionalFormatting>
  <conditionalFormatting sqref="CD59">
    <cfRule type="expression" dxfId="47" priority="322" stopIfTrue="1">
      <formula>AND(CC60&gt;2)</formula>
    </cfRule>
  </conditionalFormatting>
  <conditionalFormatting sqref="CD62">
    <cfRule type="expression" dxfId="46" priority="84" stopIfTrue="1">
      <formula>AND(CC64&gt;0)</formula>
    </cfRule>
  </conditionalFormatting>
  <conditionalFormatting sqref="CD63">
    <cfRule type="expression" dxfId="45" priority="82" stopIfTrue="1">
      <formula>AND(CC64&gt;2)</formula>
    </cfRule>
  </conditionalFormatting>
  <conditionalFormatting sqref="CD66">
    <cfRule type="expression" dxfId="44" priority="164" stopIfTrue="1">
      <formula>AND(CC68&gt;0)</formula>
    </cfRule>
  </conditionalFormatting>
  <conditionalFormatting sqref="CD67">
    <cfRule type="expression" dxfId="43" priority="162" stopIfTrue="1">
      <formula>AND(CC68&gt;2)</formula>
    </cfRule>
  </conditionalFormatting>
  <conditionalFormatting sqref="CD70">
    <cfRule type="expression" dxfId="42" priority="244" stopIfTrue="1">
      <formula>AND(CC72&gt;0)</formula>
    </cfRule>
  </conditionalFormatting>
  <conditionalFormatting sqref="CD71">
    <cfRule type="expression" dxfId="41" priority="242" stopIfTrue="1">
      <formula>AND(CC72&gt;2)</formula>
    </cfRule>
  </conditionalFormatting>
  <conditionalFormatting sqref="CD74">
    <cfRule type="expression" dxfId="40" priority="4" stopIfTrue="1">
      <formula>AND(CC76&gt;0)</formula>
    </cfRule>
  </conditionalFormatting>
  <conditionalFormatting sqref="CD75">
    <cfRule type="expression" dxfId="39" priority="2" stopIfTrue="1">
      <formula>AND(CC76&gt;2)</formula>
    </cfRule>
  </conditionalFormatting>
  <conditionalFormatting sqref="CD78">
    <cfRule type="expression" dxfId="38" priority="492" stopIfTrue="1">
      <formula>AND(CC80&gt;0)</formula>
    </cfRule>
  </conditionalFormatting>
  <conditionalFormatting sqref="CD79">
    <cfRule type="expression" dxfId="37" priority="490" stopIfTrue="1">
      <formula>AND(CC80&gt;2)</formula>
    </cfRule>
  </conditionalFormatting>
  <conditionalFormatting sqref="CE14">
    <cfRule type="expression" dxfId="36" priority="1307" stopIfTrue="1">
      <formula>AND(CC16&gt;1)</formula>
    </cfRule>
  </conditionalFormatting>
  <conditionalFormatting sqref="CE15">
    <cfRule type="expression" dxfId="35" priority="1305" stopIfTrue="1">
      <formula>AND(CC16&gt;3)</formula>
    </cfRule>
  </conditionalFormatting>
  <conditionalFormatting sqref="CE18">
    <cfRule type="expression" dxfId="34" priority="1231" stopIfTrue="1">
      <formula>AND(CC20&gt;1)</formula>
    </cfRule>
  </conditionalFormatting>
  <conditionalFormatting sqref="CE19">
    <cfRule type="expression" dxfId="33" priority="1229" stopIfTrue="1">
      <formula>AND(CC20&gt;3)</formula>
    </cfRule>
  </conditionalFormatting>
  <conditionalFormatting sqref="CE22">
    <cfRule type="expression" dxfId="32" priority="1151" stopIfTrue="1">
      <formula>AND(CC24&gt;1)</formula>
    </cfRule>
  </conditionalFormatting>
  <conditionalFormatting sqref="CE23">
    <cfRule type="expression" dxfId="31" priority="1149" stopIfTrue="1">
      <formula>AND(CC24&gt;3)</formula>
    </cfRule>
  </conditionalFormatting>
  <conditionalFormatting sqref="CE26">
    <cfRule type="expression" dxfId="30" priority="1071" stopIfTrue="1">
      <formula>AND(CC28&gt;1)</formula>
    </cfRule>
  </conditionalFormatting>
  <conditionalFormatting sqref="CE27">
    <cfRule type="expression" dxfId="29" priority="1069" stopIfTrue="1">
      <formula>AND(CC28&gt;3)</formula>
    </cfRule>
  </conditionalFormatting>
  <conditionalFormatting sqref="CE30">
    <cfRule type="expression" dxfId="28" priority="991" stopIfTrue="1">
      <formula>AND(CC32&gt;1)</formula>
    </cfRule>
  </conditionalFormatting>
  <conditionalFormatting sqref="CE31">
    <cfRule type="expression" dxfId="27" priority="989" stopIfTrue="1">
      <formula>AND(CC32&gt;3)</formula>
    </cfRule>
  </conditionalFormatting>
  <conditionalFormatting sqref="CE34">
    <cfRule type="expression" dxfId="26" priority="911" stopIfTrue="1">
      <formula>AND(CC36&gt;1)</formula>
    </cfRule>
  </conditionalFormatting>
  <conditionalFormatting sqref="CE35">
    <cfRule type="expression" dxfId="25" priority="909" stopIfTrue="1">
      <formula>AND(CC36&gt;3)</formula>
    </cfRule>
  </conditionalFormatting>
  <conditionalFormatting sqref="CE38">
    <cfRule type="expression" dxfId="24" priority="831" stopIfTrue="1">
      <formula>AND(CC40&gt;1)</formula>
    </cfRule>
  </conditionalFormatting>
  <conditionalFormatting sqref="CE39">
    <cfRule type="expression" dxfId="23" priority="829" stopIfTrue="1">
      <formula>AND(CC40&gt;3)</formula>
    </cfRule>
  </conditionalFormatting>
  <conditionalFormatting sqref="CE42">
    <cfRule type="expression" dxfId="22" priority="751" stopIfTrue="1">
      <formula>AND(CC44&gt;1)</formula>
    </cfRule>
  </conditionalFormatting>
  <conditionalFormatting sqref="CE43">
    <cfRule type="expression" dxfId="21" priority="749" stopIfTrue="1">
      <formula>AND(CC44&gt;3)</formula>
    </cfRule>
  </conditionalFormatting>
  <conditionalFormatting sqref="CE46">
    <cfRule type="expression" dxfId="20" priority="671" stopIfTrue="1">
      <formula>AND(CC48&gt;1)</formula>
    </cfRule>
  </conditionalFormatting>
  <conditionalFormatting sqref="CE47">
    <cfRule type="expression" dxfId="19" priority="669" stopIfTrue="1">
      <formula>AND(CC48&gt;3)</formula>
    </cfRule>
  </conditionalFormatting>
  <conditionalFormatting sqref="CE50">
    <cfRule type="expression" dxfId="18" priority="591" stopIfTrue="1">
      <formula>AND(CC52&gt;1)</formula>
    </cfRule>
  </conditionalFormatting>
  <conditionalFormatting sqref="CE51">
    <cfRule type="expression" dxfId="17" priority="589" stopIfTrue="1">
      <formula>AND(CC52&gt;3)</formula>
    </cfRule>
  </conditionalFormatting>
  <conditionalFormatting sqref="CE54">
    <cfRule type="expression" dxfId="16" priority="403" stopIfTrue="1">
      <formula>AND(CC56&gt;1)</formula>
    </cfRule>
  </conditionalFormatting>
  <conditionalFormatting sqref="CE55">
    <cfRule type="expression" dxfId="15" priority="401" stopIfTrue="1">
      <formula>AND(CC56&gt;3)</formula>
    </cfRule>
  </conditionalFormatting>
  <conditionalFormatting sqref="CE58">
    <cfRule type="expression" dxfId="14" priority="323" stopIfTrue="1">
      <formula>AND(CC60&gt;1)</formula>
    </cfRule>
  </conditionalFormatting>
  <conditionalFormatting sqref="CE59">
    <cfRule type="expression" dxfId="13" priority="321" stopIfTrue="1">
      <formula>AND(CC60&gt;3)</formula>
    </cfRule>
  </conditionalFormatting>
  <conditionalFormatting sqref="CE62">
    <cfRule type="expression" dxfId="12" priority="83" stopIfTrue="1">
      <formula>AND(CC64&gt;1)</formula>
    </cfRule>
  </conditionalFormatting>
  <conditionalFormatting sqref="CE63">
    <cfRule type="expression" dxfId="11" priority="81" stopIfTrue="1">
      <formula>AND(CC64&gt;3)</formula>
    </cfRule>
  </conditionalFormatting>
  <conditionalFormatting sqref="CE66">
    <cfRule type="expression" dxfId="10" priority="163" stopIfTrue="1">
      <formula>AND(CC68&gt;1)</formula>
    </cfRule>
  </conditionalFormatting>
  <conditionalFormatting sqref="CE67">
    <cfRule type="expression" dxfId="9" priority="161" stopIfTrue="1">
      <formula>AND(CC68&gt;3)</formula>
    </cfRule>
  </conditionalFormatting>
  <conditionalFormatting sqref="CE70">
    <cfRule type="expression" dxfId="8" priority="243" stopIfTrue="1">
      <formula>AND(CC72&gt;1)</formula>
    </cfRule>
  </conditionalFormatting>
  <conditionalFormatting sqref="CE71">
    <cfRule type="expression" dxfId="7" priority="241" stopIfTrue="1">
      <formula>AND(CC72&gt;3)</formula>
    </cfRule>
  </conditionalFormatting>
  <conditionalFormatting sqref="CE74">
    <cfRule type="expression" dxfId="6" priority="3" stopIfTrue="1">
      <formula>AND(CC76&gt;1)</formula>
    </cfRule>
  </conditionalFormatting>
  <conditionalFormatting sqref="CE75">
    <cfRule type="expression" dxfId="5" priority="1" stopIfTrue="1">
      <formula>AND(CC76&gt;3)</formula>
    </cfRule>
  </conditionalFormatting>
  <conditionalFormatting sqref="CE78">
    <cfRule type="expression" dxfId="4" priority="491" stopIfTrue="1">
      <formula>AND(CC80&gt;1)</formula>
    </cfRule>
  </conditionalFormatting>
  <conditionalFormatting sqref="CE79">
    <cfRule type="expression" dxfId="3" priority="489" stopIfTrue="1">
      <formula>AND(CC80&gt;3)</formula>
    </cfRule>
  </conditionalFormatting>
  <conditionalFormatting sqref="CJ13:CJ80">
    <cfRule type="cellIs" dxfId="2" priority="486" operator="equal">
      <formula>1</formula>
    </cfRule>
    <cfRule type="cellIs" dxfId="1" priority="487" operator="equal">
      <formula>2</formula>
    </cfRule>
    <cfRule type="cellIs" dxfId="0" priority="488" operator="equal">
      <formula>3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3EAF9745DEBB4BA9D907C03643FB7A" ma:contentTypeVersion="7" ma:contentTypeDescription="Crear nuevo documento." ma:contentTypeScope="" ma:versionID="67cf3e2dcdfa59c6f4b171543a1f2c59">
  <xsd:schema xmlns:xsd="http://www.w3.org/2001/XMLSchema" xmlns:xs="http://www.w3.org/2001/XMLSchema" xmlns:p="http://schemas.microsoft.com/office/2006/metadata/properties" xmlns:ns2="3ebc4755-f08e-47c5-ad60-3ea58cd281a4" targetNamespace="http://schemas.microsoft.com/office/2006/metadata/properties" ma:root="true" ma:fieldsID="f1fd1c4375ed3f6c7f769698ee9abbee" ns2:_="">
    <xsd:import namespace="3ebc4755-f08e-47c5-ad60-3ea58cd281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c4755-f08e-47c5-ad60-3ea58cd28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A0A2C7-2597-4BF7-BD2D-8F427E5821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C6A298-D9EA-463F-8B0D-08CADDA4D9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A82BE-D680-444C-B4FA-CCF8411E7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c4755-f08e-47c5-ad60-3ea58cd28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tipo</vt:lpstr>
      <vt:lpstr>'Matriz tipo'!Área_de_impresión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Henrique Ferri</dc:creator>
  <cp:keywords/>
  <dc:description/>
  <cp:lastModifiedBy>Jose Henrique Ferri</cp:lastModifiedBy>
  <cp:revision/>
  <cp:lastPrinted>2026-02-12T11:24:23Z</cp:lastPrinted>
  <dcterms:created xsi:type="dcterms:W3CDTF">2024-09-17T09:34:10Z</dcterms:created>
  <dcterms:modified xsi:type="dcterms:W3CDTF">2026-04-17T09:17:28Z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0x010100E83EAF9745DEBB4BA9D907C03643FB7A</vt:lpwstr>
  </property>
</Properties>
</file>