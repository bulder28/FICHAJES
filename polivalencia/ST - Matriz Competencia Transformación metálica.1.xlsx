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SVF\Produccion\04. Matriz de Competencia\"/>
    </mc:Choice>
  </mc:AlternateContent>
  <xr:revisionPtr revIDLastSave="0" documentId="13_ncr:1_{0ECABF13-2DBC-479F-A8B1-2F76130D7F42}" xr6:coauthVersionLast="47" xr6:coauthVersionMax="47" xr10:uidLastSave="{00000000-0000-0000-0000-000000000000}"/>
  <bookViews>
    <workbookView xWindow="-120" yWindow="-120" windowWidth="29040" windowHeight="15720" tabRatio="597" xr2:uid="{F6FF2B5B-190C-4481-B865-E5B4C5DBB1C3}"/>
  </bookViews>
  <sheets>
    <sheet name="Mar26 Matriz trans Metálica T2" sheetId="7" r:id="rId1"/>
    <sheet name="Mar26 Matriz trans Metálica T1 " sheetId="6" r:id="rId2"/>
    <sheet name="Mar25 Matriz trans Metálica" sheetId="3" r:id="rId3"/>
    <sheet name="Sep25 Matriz trans Metálica" sheetId="5" r:id="rId4"/>
  </sheets>
  <definedNames>
    <definedName name="_xlnm.Print_Area" localSheetId="2">'Mar25 Matriz trans Metálica'!$A$1:$DY$65</definedName>
    <definedName name="_xlnm.Print_Area" localSheetId="1">'Mar26 Matriz trans Metálica T1 '!$A$1:$BI$65</definedName>
    <definedName name="_xlnm.Print_Area" localSheetId="0">'Mar26 Matriz trans Metálica T2'!$A$1:$BE$65</definedName>
    <definedName name="_xlnm.Print_Area" localSheetId="3">'Sep25 Matriz trans Metálica'!$A$1:$CK$65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61" i="7" l="1"/>
  <c r="AW61" i="7"/>
  <c r="AU61" i="7"/>
  <c r="AS61" i="7"/>
  <c r="AQ61" i="7"/>
  <c r="AO61" i="7"/>
  <c r="AM61" i="7"/>
  <c r="AK61" i="7"/>
  <c r="AI61" i="7"/>
  <c r="AG61" i="7"/>
  <c r="AE61" i="7"/>
  <c r="AC61" i="7"/>
  <c r="AA61" i="7"/>
  <c r="Y61" i="7"/>
  <c r="W61" i="7"/>
  <c r="U61" i="7"/>
  <c r="S61" i="7"/>
  <c r="Q61" i="7"/>
  <c r="O61" i="7"/>
  <c r="M61" i="7"/>
  <c r="K61" i="7"/>
  <c r="I61" i="7"/>
  <c r="G61" i="7"/>
  <c r="E61" i="7"/>
  <c r="BC59" i="7"/>
  <c r="BB59" i="7"/>
  <c r="BC58" i="7"/>
  <c r="BD57" i="7" s="1"/>
  <c r="BC55" i="7"/>
  <c r="BB55" i="7"/>
  <c r="BC54" i="7"/>
  <c r="BD53" i="7" s="1"/>
  <c r="BC51" i="7"/>
  <c r="BB51" i="7"/>
  <c r="BC50" i="7"/>
  <c r="BD49" i="7" s="1"/>
  <c r="BC47" i="7"/>
  <c r="BB47" i="7"/>
  <c r="BC46" i="7"/>
  <c r="BD45" i="7" s="1"/>
  <c r="BC43" i="7"/>
  <c r="BB43" i="7"/>
  <c r="BC42" i="7"/>
  <c r="BD41" i="7" s="1"/>
  <c r="BC39" i="7"/>
  <c r="BB39" i="7"/>
  <c r="BC38" i="7"/>
  <c r="BD37" i="7" s="1"/>
  <c r="BC35" i="7"/>
  <c r="BB35" i="7"/>
  <c r="BC34" i="7"/>
  <c r="BD33" i="7" s="1"/>
  <c r="BC31" i="7"/>
  <c r="BB31" i="7"/>
  <c r="BC30" i="7"/>
  <c r="BD29" i="7" s="1"/>
  <c r="BC27" i="7"/>
  <c r="BB27" i="7"/>
  <c r="BC26" i="7"/>
  <c r="BD25" i="7" s="1"/>
  <c r="BC23" i="7"/>
  <c r="BB23" i="7"/>
  <c r="BC22" i="7"/>
  <c r="BD21" i="7" s="1"/>
  <c r="BC19" i="7"/>
  <c r="BB19" i="7"/>
  <c r="BC18" i="7"/>
  <c r="BD17" i="7" s="1"/>
  <c r="BC15" i="7"/>
  <c r="BB15" i="7"/>
  <c r="BC14" i="7"/>
  <c r="BD13" i="7" s="1"/>
  <c r="BC61" i="6"/>
  <c r="BA61" i="6"/>
  <c r="AY61" i="6"/>
  <c r="AW61" i="6"/>
  <c r="AU61" i="6"/>
  <c r="AS61" i="6"/>
  <c r="AS62" i="6" s="1"/>
  <c r="AQ61" i="6"/>
  <c r="AO61" i="6"/>
  <c r="AM61" i="6"/>
  <c r="AK61" i="6"/>
  <c r="AI61" i="6"/>
  <c r="AG61" i="6"/>
  <c r="AE61" i="6"/>
  <c r="AC61" i="6"/>
  <c r="AA61" i="6"/>
  <c r="Y61" i="6"/>
  <c r="W61" i="6"/>
  <c r="U61" i="6"/>
  <c r="S61" i="6"/>
  <c r="Q61" i="6"/>
  <c r="O61" i="6"/>
  <c r="M61" i="6"/>
  <c r="K61" i="6"/>
  <c r="I62" i="6" s="1"/>
  <c r="I61" i="6"/>
  <c r="G61" i="6"/>
  <c r="E61" i="6"/>
  <c r="BG59" i="6"/>
  <c r="BF59" i="6"/>
  <c r="BG58" i="6"/>
  <c r="BH57" i="6" s="1"/>
  <c r="BG55" i="6"/>
  <c r="BF55" i="6"/>
  <c r="BG54" i="6"/>
  <c r="BH53" i="6" s="1"/>
  <c r="BG51" i="6"/>
  <c r="BF51" i="6"/>
  <c r="BG50" i="6"/>
  <c r="BH49" i="6" s="1"/>
  <c r="BG47" i="6"/>
  <c r="BF47" i="6"/>
  <c r="BG46" i="6"/>
  <c r="BH45" i="6" s="1"/>
  <c r="BG43" i="6"/>
  <c r="BF43" i="6"/>
  <c r="BG42" i="6"/>
  <c r="BH41" i="6" s="1"/>
  <c r="BG39" i="6"/>
  <c r="BF39" i="6"/>
  <c r="BG38" i="6"/>
  <c r="BH37" i="6" s="1"/>
  <c r="BG35" i="6"/>
  <c r="BF35" i="6"/>
  <c r="BG34" i="6"/>
  <c r="BH33" i="6" s="1"/>
  <c r="BG31" i="6"/>
  <c r="BF31" i="6"/>
  <c r="BG30" i="6"/>
  <c r="BH29" i="6" s="1"/>
  <c r="BG27" i="6"/>
  <c r="BF27" i="6"/>
  <c r="BG26" i="6"/>
  <c r="BH25" i="6" s="1"/>
  <c r="BG23" i="6"/>
  <c r="BF23" i="6"/>
  <c r="BG22" i="6"/>
  <c r="BH21" i="6" s="1"/>
  <c r="BG19" i="6"/>
  <c r="BF19" i="6"/>
  <c r="BG18" i="6"/>
  <c r="BH17" i="6" s="1"/>
  <c r="BG15" i="6"/>
  <c r="BF15" i="6"/>
  <c r="BG14" i="6"/>
  <c r="BH13" i="6" s="1"/>
  <c r="Q62" i="5"/>
  <c r="S61" i="5"/>
  <c r="Q61" i="5"/>
  <c r="CE61" i="5"/>
  <c r="CC61" i="5"/>
  <c r="CA61" i="5"/>
  <c r="BY61" i="5"/>
  <c r="BY62" i="5" s="1"/>
  <c r="BW61" i="5"/>
  <c r="BU61" i="5"/>
  <c r="BU62" i="5" s="1"/>
  <c r="BS61" i="5"/>
  <c r="BQ61" i="5"/>
  <c r="BO61" i="5"/>
  <c r="BM61" i="5"/>
  <c r="BM62" i="5" s="1"/>
  <c r="BK61" i="5"/>
  <c r="BI61" i="5"/>
  <c r="BG61" i="5"/>
  <c r="BE61" i="5"/>
  <c r="BC61" i="5"/>
  <c r="BA61" i="5"/>
  <c r="BA62" i="5" s="1"/>
  <c r="AY61" i="5"/>
  <c r="AW61" i="5"/>
  <c r="AU61" i="5"/>
  <c r="AS61" i="5"/>
  <c r="AQ61" i="5"/>
  <c r="AO61" i="5"/>
  <c r="AO62" i="5" s="1"/>
  <c r="AM61" i="5"/>
  <c r="AK61" i="5"/>
  <c r="AI61" i="5"/>
  <c r="AG61" i="5"/>
  <c r="AG62" i="5" s="1"/>
  <c r="AE61" i="5"/>
  <c r="AC61" i="5"/>
  <c r="AA61" i="5"/>
  <c r="Y61" i="5"/>
  <c r="W61" i="5"/>
  <c r="U61" i="5"/>
  <c r="U62" i="5" s="1"/>
  <c r="O61" i="5"/>
  <c r="M61" i="5"/>
  <c r="K61" i="5"/>
  <c r="I61" i="5"/>
  <c r="G61" i="5"/>
  <c r="E61" i="5"/>
  <c r="E62" i="5" s="1"/>
  <c r="CI59" i="5"/>
  <c r="CH59" i="5"/>
  <c r="CI58" i="5"/>
  <c r="CJ57" i="5"/>
  <c r="CI55" i="5"/>
  <c r="CH55" i="5"/>
  <c r="CI54" i="5"/>
  <c r="CJ53" i="5" s="1"/>
  <c r="CI51" i="5"/>
  <c r="CH51" i="5"/>
  <c r="CI50" i="5"/>
  <c r="CJ49" i="5" s="1"/>
  <c r="CI47" i="5"/>
  <c r="CH47" i="5"/>
  <c r="CI46" i="5"/>
  <c r="CJ45" i="5" s="1"/>
  <c r="CI43" i="5"/>
  <c r="CH43" i="5"/>
  <c r="CI42" i="5"/>
  <c r="CJ41" i="5" s="1"/>
  <c r="CI39" i="5"/>
  <c r="CH39" i="5"/>
  <c r="CI38" i="5"/>
  <c r="CJ37" i="5" s="1"/>
  <c r="CI35" i="5"/>
  <c r="CH35" i="5"/>
  <c r="CI34" i="5"/>
  <c r="CJ33" i="5" s="1"/>
  <c r="CI31" i="5"/>
  <c r="CH31" i="5"/>
  <c r="CI30" i="5"/>
  <c r="CJ29" i="5" s="1"/>
  <c r="CI27" i="5"/>
  <c r="CH27" i="5"/>
  <c r="CI26" i="5"/>
  <c r="CJ25" i="5"/>
  <c r="CI23" i="5"/>
  <c r="CH23" i="5"/>
  <c r="CI22" i="5"/>
  <c r="CJ21" i="5" s="1"/>
  <c r="CI19" i="5"/>
  <c r="CH19" i="5"/>
  <c r="CI18" i="5"/>
  <c r="CJ17" i="5"/>
  <c r="CI15" i="5"/>
  <c r="CH15" i="5"/>
  <c r="CI14" i="5"/>
  <c r="CJ13" i="5" s="1"/>
  <c r="DO61" i="3"/>
  <c r="DM61" i="3"/>
  <c r="DM62" i="3" s="1"/>
  <c r="DW58" i="3"/>
  <c r="DW54" i="3"/>
  <c r="DW50" i="3"/>
  <c r="DW46" i="3"/>
  <c r="DW42" i="3"/>
  <c r="DW38" i="3"/>
  <c r="DW34" i="3"/>
  <c r="DW30" i="3"/>
  <c r="DW26" i="3"/>
  <c r="DW22" i="3"/>
  <c r="DW18" i="3"/>
  <c r="DW14" i="3"/>
  <c r="Y62" i="6" l="1"/>
  <c r="M62" i="6"/>
  <c r="Q62" i="6"/>
  <c r="AC62" i="6"/>
  <c r="AW62" i="6"/>
  <c r="E62" i="6"/>
  <c r="AK62" i="6"/>
  <c r="BA62" i="6"/>
  <c r="AG62" i="6"/>
  <c r="U62" i="6"/>
  <c r="AO62" i="6"/>
  <c r="E62" i="7"/>
  <c r="U62" i="7"/>
  <c r="AO62" i="7"/>
  <c r="Q62" i="7"/>
  <c r="AC62" i="7"/>
  <c r="I62" i="7"/>
  <c r="Y62" i="7"/>
  <c r="AK62" i="7"/>
  <c r="AS62" i="7"/>
  <c r="AW62" i="7"/>
  <c r="M62" i="7"/>
  <c r="AG62" i="7"/>
  <c r="AC62" i="5"/>
  <c r="AS62" i="5"/>
  <c r="M62" i="5"/>
  <c r="AW62" i="5"/>
  <c r="CC62" i="5"/>
  <c r="BE62" i="5"/>
  <c r="AK62" i="5"/>
  <c r="BQ62" i="5"/>
  <c r="I62" i="5"/>
  <c r="BI62" i="5"/>
  <c r="Y62" i="5"/>
  <c r="CJ62" i="5"/>
  <c r="DS61" i="3"/>
  <c r="DQ61" i="3"/>
  <c r="DK61" i="3"/>
  <c r="DI61" i="3"/>
  <c r="DI62" i="3" s="1"/>
  <c r="DG61" i="3"/>
  <c r="DE61" i="3"/>
  <c r="DE62" i="3" s="1"/>
  <c r="DC61" i="3"/>
  <c r="DA61" i="3"/>
  <c r="CY61" i="3"/>
  <c r="CW61" i="3"/>
  <c r="CW62" i="3" s="1"/>
  <c r="CU61" i="3"/>
  <c r="CS61" i="3"/>
  <c r="CQ61" i="3"/>
  <c r="CO61" i="3"/>
  <c r="CM61" i="3"/>
  <c r="CK61" i="3"/>
  <c r="CI61" i="3"/>
  <c r="CG61" i="3"/>
  <c r="CE61" i="3"/>
  <c r="CC61" i="3"/>
  <c r="CA61" i="3"/>
  <c r="BY61" i="3"/>
  <c r="BY62" i="3" s="1"/>
  <c r="BW61" i="3"/>
  <c r="BU61" i="3"/>
  <c r="BU62" i="3" s="1"/>
  <c r="BS61" i="3"/>
  <c r="BQ61" i="3"/>
  <c r="BO61" i="3"/>
  <c r="BM61" i="3"/>
  <c r="BK61" i="3"/>
  <c r="BI61" i="3"/>
  <c r="BG61" i="3"/>
  <c r="BE61" i="3"/>
  <c r="BC61" i="3"/>
  <c r="BA61" i="3"/>
  <c r="AY61" i="3"/>
  <c r="AW61" i="3"/>
  <c r="AW62" i="3" s="1"/>
  <c r="AU61" i="3"/>
  <c r="AS61" i="3"/>
  <c r="AS62" i="3" s="1"/>
  <c r="AQ61" i="3"/>
  <c r="AO61" i="3"/>
  <c r="AO62" i="3" s="1"/>
  <c r="AM61" i="3"/>
  <c r="AK61" i="3"/>
  <c r="AI61" i="3"/>
  <c r="AG61" i="3"/>
  <c r="AE61" i="3"/>
  <c r="AC61" i="3"/>
  <c r="AA61" i="3"/>
  <c r="Y61" i="3"/>
  <c r="W61" i="3"/>
  <c r="U61" i="3"/>
  <c r="S61" i="3"/>
  <c r="Q61" i="3"/>
  <c r="O61" i="3"/>
  <c r="M61" i="3"/>
  <c r="K61" i="3"/>
  <c r="I61" i="3"/>
  <c r="G61" i="3"/>
  <c r="E61" i="3"/>
  <c r="DW59" i="3"/>
  <c r="DV59" i="3"/>
  <c r="DX57" i="3"/>
  <c r="DW55" i="3"/>
  <c r="DV55" i="3"/>
  <c r="DX53" i="3"/>
  <c r="DW51" i="3"/>
  <c r="DV51" i="3"/>
  <c r="DX49" i="3"/>
  <c r="DW47" i="3"/>
  <c r="DV47" i="3"/>
  <c r="DX45" i="3"/>
  <c r="DW43" i="3"/>
  <c r="DV43" i="3"/>
  <c r="DX41" i="3"/>
  <c r="DW39" i="3"/>
  <c r="DV39" i="3"/>
  <c r="DX37" i="3"/>
  <c r="DW35" i="3"/>
  <c r="DV35" i="3"/>
  <c r="DX33" i="3"/>
  <c r="DW31" i="3"/>
  <c r="DV31" i="3"/>
  <c r="DX29" i="3"/>
  <c r="DW27" i="3"/>
  <c r="DV27" i="3"/>
  <c r="DX25" i="3"/>
  <c r="DW23" i="3"/>
  <c r="DV23" i="3"/>
  <c r="DX21" i="3"/>
  <c r="DW19" i="3"/>
  <c r="DV19" i="3"/>
  <c r="DX17" i="3"/>
  <c r="DW15" i="3"/>
  <c r="DV15" i="3"/>
  <c r="DX13" i="3"/>
  <c r="BH62" i="6" l="1"/>
  <c r="BD62" i="7"/>
  <c r="BI62" i="3"/>
  <c r="DA62" i="3"/>
  <c r="E62" i="3"/>
  <c r="U62" i="3"/>
  <c r="CC62" i="3"/>
  <c r="I62" i="3"/>
  <c r="BQ62" i="3"/>
  <c r="BA62" i="3"/>
  <c r="CO62" i="3"/>
  <c r="CK62" i="3"/>
  <c r="BE62" i="3"/>
  <c r="CS62" i="3"/>
  <c r="AG62" i="3"/>
  <c r="AC62" i="3"/>
  <c r="DQ62" i="3"/>
  <c r="Q62" i="3"/>
  <c r="CG62" i="3"/>
  <c r="M62" i="3"/>
  <c r="BM62" i="3"/>
  <c r="AK62" i="3"/>
  <c r="Y62" i="3"/>
  <c r="DX62" i="3" l="1"/>
</calcChain>
</file>

<file path=xl/sharedStrings.xml><?xml version="1.0" encoding="utf-8"?>
<sst xmlns="http://schemas.openxmlformats.org/spreadsheetml/2006/main" count="206" uniqueCount="66">
  <si>
    <t>Actualizado:</t>
  </si>
  <si>
    <t>Próxima actualización:</t>
  </si>
  <si>
    <t>Responsable</t>
  </si>
  <si>
    <t>Gregorio Martínez</t>
  </si>
  <si>
    <t>Legenda</t>
  </si>
  <si>
    <t>Status de Polivalencia</t>
  </si>
  <si>
    <t>Fecha de actualización</t>
  </si>
  <si>
    <t>Sin entrenamiento</t>
  </si>
  <si>
    <t>En entrenamiento (básico)</t>
  </si>
  <si>
    <t>Necesita supervisión</t>
  </si>
  <si>
    <t>Cualificado</t>
  </si>
  <si>
    <t>Experto, puede enseñar / supervisar</t>
  </si>
  <si>
    <t>Ok</t>
  </si>
  <si>
    <t>Multiplicar la cualificación</t>
  </si>
  <si>
    <t>Crear plan de formación</t>
  </si>
  <si>
    <t># Personas</t>
  </si>
  <si>
    <t>Habilidades</t>
  </si>
  <si>
    <t>Nombre</t>
  </si>
  <si>
    <t>Objetivo</t>
  </si>
  <si>
    <t>Actual</t>
  </si>
  <si>
    <t>Status</t>
  </si>
  <si>
    <t xml:space="preserve">AGUILERA GALLEGO, JONATHAN </t>
  </si>
  <si>
    <t>ARICAPA GUEVARA, JOHN FREDY</t>
  </si>
  <si>
    <t xml:space="preserve">BAYON GOMEZ, ANTONIO </t>
  </si>
  <si>
    <t>BLANCO RODRIGUEZ, EMILIO</t>
  </si>
  <si>
    <t>CESPEDES ROSALES, JESSICA</t>
  </si>
  <si>
    <t>CUEVO TORREZ, RONNY</t>
  </si>
  <si>
    <t xml:space="preserve">DONAS, DANIEL </t>
  </si>
  <si>
    <t>ESTEVEZ MARTIN, FELIX</t>
  </si>
  <si>
    <t xml:space="preserve">FERNANDEZ PELLITERO, PABLO JOSE </t>
  </si>
  <si>
    <t xml:space="preserve">FLORES RUIZ, MIGUEL ANGEL </t>
  </si>
  <si>
    <t xml:space="preserve">GARCIA RUZ, ALVARO </t>
  </si>
  <si>
    <t>GARCIA SANCHEZ, OLIVER</t>
  </si>
  <si>
    <t>GARCIA SOTELO, JOSE LUIS</t>
  </si>
  <si>
    <t>GONZALEZ CARRAT CALVO PARRA, BERNARDO</t>
  </si>
  <si>
    <t xml:space="preserve">GONZALEZ DE LA FUENTE, GONZALO </t>
  </si>
  <si>
    <t>LUQUE PULIDO, ANTONIO</t>
  </si>
  <si>
    <t>MANZANO MARTOS, ANTONIO</t>
  </si>
  <si>
    <t>MARTIN CARMONA, IVAN</t>
  </si>
  <si>
    <t>MORENO GONZALEZ, ALBERTO</t>
  </si>
  <si>
    <t>NAVARRO CORRAL, ANTONIO</t>
  </si>
  <si>
    <t>NAVARRO MAESTRO MUÑOZ, RAFAEL</t>
  </si>
  <si>
    <t>PAVON PUERTAS, GUSTAVO</t>
  </si>
  <si>
    <t>PEREZ RUIZ, ALEJANDRO</t>
  </si>
  <si>
    <t>PUEBLA ESPINOSA, JOSE</t>
  </si>
  <si>
    <t>RAMOS JUAREZ, IVAN</t>
  </si>
  <si>
    <t xml:space="preserve">TORREJON, MIGUEL ANGEL </t>
  </si>
  <si>
    <t>VAZQUEZ PEREZ, CARLOS</t>
  </si>
  <si>
    <t xml:space="preserve">VERA NAVARRO, ELOY </t>
  </si>
  <si>
    <t xml:space="preserve">VILLAYANDRE ESTEBAN, PABLO </t>
  </si>
  <si>
    <t>PUNZONADORA: CHROMA 30</t>
  </si>
  <si>
    <t>PUNZONADORA: PRIMAPOWER</t>
  </si>
  <si>
    <t>PUNZONADORA: TRUMPF 3000</t>
  </si>
  <si>
    <t>PLEGADORA: TRUBEND 7030</t>
  </si>
  <si>
    <t>PLEGADORA: AMADA</t>
  </si>
  <si>
    <t>PLEGADORA: AXIAL 144</t>
  </si>
  <si>
    <t>PLEGADORA: AXIAL 133</t>
  </si>
  <si>
    <t>PINTURA LÍQUIDA</t>
  </si>
  <si>
    <t>PINTURA EN POLVO</t>
  </si>
  <si>
    <t>SOLDADURA TIG</t>
  </si>
  <si>
    <t>SOLDADURA MIG</t>
  </si>
  <si>
    <t>CORTE DE PERFIL</t>
  </si>
  <si>
    <t>Grado de Polivalencia</t>
  </si>
  <si>
    <t xml:space="preserve">Polivalencia </t>
  </si>
  <si>
    <t>Leyenda</t>
  </si>
  <si>
    <t>PLEGADORA: AXIAL 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</si>
</sst>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4"/>
      <color theme="1"/>
      <name val="Aptos Narrow"/>
      <family val="2"/>
      <scheme val="minor"/>
    </font>
    <font>
      <b/>
      <sz val="14"/>
      <name val="Arial"/>
      <family val="2"/>
    </font>
    <font>
      <b/>
      <sz val="12"/>
      <name val="Arial"/>
      <family val="2"/>
    </font>
    <font>
      <b/>
      <u/>
      <sz val="10"/>
      <name val="Arial"/>
      <family val="2"/>
    </font>
    <font>
      <b/>
      <sz val="11"/>
      <name val="Arial"/>
      <family val="2"/>
    </font>
    <font>
      <sz val="11"/>
      <name val="Arial"/>
      <family val="2"/>
    </font>
    <font>
      <sz val="10"/>
      <color indexed="50"/>
      <name val="Arial"/>
      <family val="2"/>
    </font>
    <font>
      <sz val="10"/>
      <name val="Arial"/>
      <family val="2"/>
    </font>
    <font>
      <b/>
      <sz val="10"/>
      <name val="Arial"/>
      <family val="2"/>
    </font>
    <font>
      <sz val="14"/>
      <color theme="4" tint="-0.249977111117893"/>
      <name val="Wingdings 3"/>
      <family val="1"/>
      <charset val="2"/>
    </font>
    <font>
      <b/>
      <sz val="16"/>
      <name val="Arial"/>
      <family val="2"/>
    </font>
    <font>
      <sz val="9"/>
      <name val="Arial"/>
      <family val="2"/>
    </font>
    <font>
      <sz val="10"/>
      <color theme="0" tint="-0.14999847407452621"/>
      <name val="Arial"/>
      <family val="2"/>
    </font>
    <font>
      <b/>
      <sz val="11"/>
      <color rgb="FFFF0000"/>
      <name val="Arial"/>
      <family val="2"/>
    </font>
    <font>
      <sz val="10"/>
      <color rgb="FFFF0000"/>
      <name val="Arial"/>
      <family val="2"/>
    </font>
    <font>
      <sz val="10"/>
      <color theme="0"/>
      <name val="Arial"/>
      <family val="2"/>
    </font>
    <font>
      <sz val="12"/>
      <name val="Arial"/>
      <family val="2"/>
    </font>
    <font>
      <sz val="8"/>
      <color theme="0"/>
      <name val="Arial"/>
      <family val="2"/>
    </font>
    <font>
      <sz val="8"/>
      <name val="Arial"/>
      <family val="2"/>
    </font>
    <font>
      <sz val="16"/>
      <color theme="1"/>
      <name val="Aptos Narrow"/>
      <family val="2"/>
      <scheme val="minor"/>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rgb="FFFFFFCC"/>
        <bgColor indexed="64"/>
      </patternFill>
    </fill>
    <fill>
      <patternFill patternType="solid">
        <fgColor theme="5" tint="0.39997558519241921"/>
        <bgColor indexed="64"/>
      </patternFill>
    </fill>
    <fill>
      <patternFill patternType="solid">
        <fgColor rgb="FF00CC00"/>
        <bgColor indexed="64"/>
      </patternFill>
    </fill>
  </fills>
  <borders count="2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4" tint="0.39988402966399123"/>
      </left>
      <right style="thin">
        <color theme="4" tint="0.39988402966399123"/>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4" tint="0.39979247413556324"/>
      </right>
      <top/>
      <bottom/>
      <diagonal/>
    </border>
    <border>
      <left style="thin">
        <color theme="0" tint="-0.499984740745262"/>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4" tint="0.39988402966399123"/>
      </left>
      <right style="thin">
        <color theme="4" tint="0.39979247413556324"/>
      </right>
      <top/>
      <bottom/>
      <diagonal/>
    </border>
    <border>
      <left/>
      <right/>
      <top style="thin">
        <color theme="4" tint="0.39979247413556324"/>
      </top>
      <bottom/>
      <diagonal/>
    </border>
    <border>
      <left style="thin">
        <color theme="0" tint="-0.499984740745262"/>
      </left>
      <right style="thin">
        <color theme="0" tint="-0.499984740745262"/>
      </right>
      <top style="thin">
        <color theme="0" tint="-0.499984740745262"/>
      </top>
      <bottom/>
      <diagonal/>
    </border>
    <border>
      <left style="thin">
        <color theme="4" tint="0.39988402966399123"/>
      </left>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indexed="64"/>
      </bottom>
      <diagonal/>
    </border>
    <border>
      <left style="thin">
        <color theme="0" tint="-0.499984740745262"/>
      </left>
      <right style="thin">
        <color theme="0" tint="-0.499984740745262"/>
      </right>
      <top style="thin">
        <color indexed="64"/>
      </top>
      <bottom style="thin">
        <color theme="0" tint="-0.499984740745262"/>
      </bottom>
      <diagonal/>
    </border>
    <border>
      <left/>
      <right style="thin">
        <color theme="4" tint="0.39988402966399123"/>
      </right>
      <top/>
      <bottom/>
      <diagonal/>
    </border>
  </borders>
  <cellStyleXfs count="3">
    <xf numFmtId="0" fontId="0" fillId="0" borderId="0"/>
    <xf numFmtId="9" fontId="1" fillId="0" borderId="0" applyFont="0" applyFill="0" applyBorder="0" applyAlignment="0" applyProtection="0"/>
    <xf numFmtId="0" fontId="9" fillId="0" borderId="0"/>
  </cellStyleXfs>
  <cellXfs count="152">
    <xf numFmtId="0" fontId="0" fillId="0" borderId="0" xfId="0"/>
    <xf numFmtId="0" fontId="0" fillId="2" borderId="0" xfId="0" applyFill="1"/>
    <xf numFmtId="49" fontId="0" fillId="0" borderId="0" xfId="0" applyNumberFormat="1"/>
    <xf numFmtId="0" fontId="2" fillId="0" borderId="0" xfId="0" applyFont="1" applyAlignment="1">
      <alignment horizontal="right"/>
    </xf>
    <xf numFmtId="17" fontId="2" fillId="0" borderId="0" xfId="0" quotePrefix="1" applyNumberFormat="1" applyFont="1"/>
    <xf numFmtId="0" fontId="0" fillId="0" borderId="0" xfId="0" applyAlignment="1">
      <alignment horizontal="center"/>
    </xf>
    <xf numFmtId="0" fontId="2" fillId="0" borderId="0" xfId="0" applyFont="1" applyAlignment="1">
      <alignment horizontal="right" vertical="top"/>
    </xf>
    <xf numFmtId="17" fontId="2" fillId="0" borderId="0" xfId="0" quotePrefix="1" applyNumberFormat="1" applyFont="1" applyAlignment="1">
      <alignment vertical="top"/>
    </xf>
    <xf numFmtId="0" fontId="4" fillId="2" borderId="0" xfId="0" applyFont="1" applyFill="1" applyAlignment="1">
      <alignment horizontal="center" vertical="center"/>
    </xf>
    <xf numFmtId="0" fontId="4" fillId="0" borderId="2" xfId="0" applyFont="1" applyBorder="1" applyAlignment="1">
      <alignment vertical="center"/>
    </xf>
    <xf numFmtId="0" fontId="5" fillId="0" borderId="0" xfId="0" applyFont="1" applyAlignment="1">
      <alignment horizontal="right"/>
    </xf>
    <xf numFmtId="0" fontId="0" fillId="2" borderId="0" xfId="0" applyFill="1" applyAlignment="1">
      <alignment vertical="center"/>
    </xf>
    <xf numFmtId="14" fontId="6" fillId="2" borderId="0" xfId="0" applyNumberFormat="1" applyFont="1" applyFill="1" applyAlignment="1">
      <alignment horizontal="center" vertical="center"/>
    </xf>
    <xf numFmtId="0" fontId="0" fillId="0" borderId="3" xfId="0" applyBorder="1"/>
    <xf numFmtId="0" fontId="0" fillId="0" borderId="4" xfId="0" applyBorder="1"/>
    <xf numFmtId="0" fontId="0" fillId="0" borderId="5" xfId="0" applyBorder="1"/>
    <xf numFmtId="0" fontId="7" fillId="2" borderId="6" xfId="0" applyFont="1" applyFill="1" applyBorder="1" applyAlignment="1">
      <alignment horizontal="center" vertical="center"/>
    </xf>
    <xf numFmtId="0" fontId="0" fillId="0" borderId="7" xfId="0" applyBorder="1"/>
    <xf numFmtId="0" fontId="8" fillId="0" borderId="8" xfId="0" applyFont="1" applyBorder="1"/>
    <xf numFmtId="0" fontId="0" fillId="0" borderId="9" xfId="0" applyBorder="1"/>
    <xf numFmtId="0" fontId="0" fillId="0" borderId="0" xfId="0" applyAlignment="1">
      <alignment horizontal="center" vertical="center"/>
    </xf>
    <xf numFmtId="0" fontId="7" fillId="2" borderId="13" xfId="0" applyFont="1" applyFill="1" applyBorder="1" applyAlignment="1">
      <alignment horizontal="center" vertical="center"/>
    </xf>
    <xf numFmtId="0" fontId="10" fillId="2" borderId="0" xfId="0" applyFont="1" applyFill="1" applyAlignment="1">
      <alignment horizontal="left"/>
    </xf>
    <xf numFmtId="0" fontId="11" fillId="0" borderId="14" xfId="0" applyFont="1" applyBorder="1" applyAlignment="1">
      <alignment vertical="center"/>
    </xf>
    <xf numFmtId="0" fontId="10" fillId="0" borderId="0" xfId="0" applyFont="1" applyAlignment="1">
      <alignment horizontal="center"/>
    </xf>
    <xf numFmtId="0" fontId="0" fillId="2" borderId="0" xfId="0" applyFill="1" applyAlignment="1">
      <alignment horizontal="center" vertical="center" wrapText="1"/>
    </xf>
    <xf numFmtId="0" fontId="0" fillId="0" borderId="0" xfId="0" applyAlignment="1">
      <alignment horizontal="center" vertical="center" wrapText="1"/>
    </xf>
    <xf numFmtId="0" fontId="6" fillId="2" borderId="16" xfId="0" applyFont="1" applyFill="1" applyBorder="1" applyAlignment="1">
      <alignment horizontal="center" vertical="center" wrapText="1"/>
    </xf>
    <xf numFmtId="0" fontId="0" fillId="0" borderId="3" xfId="0" applyBorder="1" applyProtection="1">
      <protection locked="0"/>
    </xf>
    <xf numFmtId="0" fontId="0" fillId="0" borderId="4" xfId="0" applyBorder="1" applyProtection="1">
      <protection locked="0"/>
    </xf>
    <xf numFmtId="0" fontId="0" fillId="0" borderId="5" xfId="0" applyBorder="1" applyProtection="1">
      <protection locked="0"/>
    </xf>
    <xf numFmtId="49" fontId="0" fillId="2" borderId="15" xfId="0" applyNumberFormat="1" applyFill="1" applyBorder="1" applyAlignment="1">
      <alignment horizontal="center" vertical="center" wrapText="1"/>
    </xf>
    <xf numFmtId="49" fontId="0" fillId="2" borderId="3" xfId="0" applyNumberFormat="1" applyFill="1" applyBorder="1" applyAlignment="1">
      <alignment horizontal="center" vertical="center" wrapText="1"/>
    </xf>
    <xf numFmtId="0" fontId="0" fillId="0" borderId="7" xfId="0" applyBorder="1" applyProtection="1">
      <protection locked="0"/>
    </xf>
    <xf numFmtId="0" fontId="8" fillId="0" borderId="8" xfId="0" applyFont="1" applyBorder="1" applyProtection="1">
      <protection locked="0"/>
    </xf>
    <xf numFmtId="0" fontId="0" fillId="0" borderId="9" xfId="0" applyBorder="1" applyProtection="1">
      <protection locked="0"/>
    </xf>
    <xf numFmtId="0" fontId="7" fillId="2" borderId="17" xfId="0" applyFont="1" applyFill="1" applyBorder="1" applyAlignment="1" applyProtection="1">
      <alignment horizontal="center" vertical="center" wrapText="1"/>
      <protection locked="0"/>
    </xf>
    <xf numFmtId="1" fontId="7" fillId="2" borderId="7" xfId="0" applyNumberFormat="1" applyFont="1" applyFill="1" applyBorder="1" applyAlignment="1">
      <alignment horizontal="center" vertical="center" wrapText="1"/>
    </xf>
    <xf numFmtId="0" fontId="14" fillId="2" borderId="0" xfId="0" applyFont="1" applyFill="1" applyAlignment="1">
      <alignment horizontal="center"/>
    </xf>
    <xf numFmtId="0" fontId="15" fillId="2" borderId="16" xfId="0" applyFont="1" applyFill="1" applyBorder="1" applyAlignment="1">
      <alignment horizontal="center" vertical="center" wrapText="1"/>
    </xf>
    <xf numFmtId="0" fontId="16" fillId="2" borderId="0" xfId="0" applyFont="1" applyFill="1" applyAlignment="1">
      <alignment horizontal="center"/>
    </xf>
    <xf numFmtId="0" fontId="16" fillId="0" borderId="0" xfId="0" applyFont="1" applyAlignment="1">
      <alignment horizontal="center" vertical="center"/>
    </xf>
    <xf numFmtId="0" fontId="16" fillId="0" borderId="0" xfId="0" applyFont="1"/>
    <xf numFmtId="0" fontId="17" fillId="0" borderId="0" xfId="0" applyFont="1"/>
    <xf numFmtId="0" fontId="17" fillId="2" borderId="0" xfId="0" applyFont="1" applyFill="1"/>
    <xf numFmtId="0" fontId="17" fillId="2" borderId="0" xfId="0" applyFont="1" applyFill="1" applyAlignment="1">
      <alignment horizontal="center"/>
    </xf>
    <xf numFmtId="0" fontId="19" fillId="2" borderId="0" xfId="0" applyFont="1" applyFill="1" applyAlignment="1">
      <alignment horizontal="center"/>
    </xf>
    <xf numFmtId="0" fontId="4" fillId="2" borderId="0" xfId="0" applyFont="1" applyFill="1" applyAlignment="1">
      <alignment horizontal="center" vertical="center" wrapText="1"/>
    </xf>
    <xf numFmtId="9" fontId="20" fillId="2" borderId="0" xfId="0" applyNumberFormat="1" applyFont="1" applyFill="1" applyAlignment="1">
      <alignment horizontal="center" vertical="center"/>
    </xf>
    <xf numFmtId="0" fontId="9" fillId="0" borderId="10" xfId="0" applyFont="1" applyBorder="1"/>
    <xf numFmtId="0" fontId="9" fillId="0" borderId="11" xfId="0" applyFont="1" applyBorder="1"/>
    <xf numFmtId="0" fontId="9" fillId="0" borderId="12" xfId="0" applyFont="1" applyBorder="1"/>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7" xfId="0" applyBorder="1" applyAlignment="1">
      <alignment vertical="center"/>
    </xf>
    <xf numFmtId="0" fontId="8" fillId="0" borderId="8" xfId="0" applyFont="1" applyBorder="1" applyAlignment="1">
      <alignment vertical="center"/>
    </xf>
    <xf numFmtId="0" fontId="0" fillId="0" borderId="9" xfId="0" applyBorder="1" applyAlignment="1">
      <alignment vertical="center"/>
    </xf>
    <xf numFmtId="0" fontId="4" fillId="0" borderId="21" xfId="0" applyFont="1" applyBorder="1" applyAlignment="1">
      <alignment vertical="center"/>
    </xf>
    <xf numFmtId="49" fontId="4" fillId="0" borderId="3" xfId="0" applyNumberFormat="1" applyFont="1" applyBorder="1" applyAlignment="1">
      <alignment horizontal="right" vertical="center"/>
    </xf>
    <xf numFmtId="49" fontId="4" fillId="0" borderId="4" xfId="0" applyNumberFormat="1" applyFont="1" applyBorder="1" applyAlignment="1">
      <alignment horizontal="right" vertical="center"/>
    </xf>
    <xf numFmtId="49" fontId="4" fillId="0" borderId="10" xfId="0" applyNumberFormat="1" applyFont="1" applyBorder="1" applyAlignment="1">
      <alignment horizontal="right" vertical="center"/>
    </xf>
    <xf numFmtId="49" fontId="4" fillId="0" borderId="11" xfId="0" applyNumberFormat="1" applyFont="1" applyBorder="1" applyAlignment="1">
      <alignment horizontal="right" vertical="center"/>
    </xf>
    <xf numFmtId="9" fontId="18" fillId="0" borderId="5" xfId="1" applyFont="1" applyBorder="1" applyAlignment="1">
      <alignment horizontal="center" vertical="center"/>
    </xf>
    <xf numFmtId="9" fontId="18" fillId="0" borderId="12" xfId="1" applyFont="1" applyBorder="1" applyAlignment="1">
      <alignment horizontal="center" vertical="center"/>
    </xf>
    <xf numFmtId="9" fontId="18" fillId="0" borderId="19" xfId="0" applyNumberFormat="1" applyFont="1" applyBorder="1" applyAlignment="1">
      <alignment horizontal="center" vertical="center"/>
    </xf>
    <xf numFmtId="9" fontId="18" fillId="0" borderId="20" xfId="0" applyNumberFormat="1" applyFont="1" applyBorder="1" applyAlignment="1">
      <alignment horizontal="center" vertical="center"/>
    </xf>
    <xf numFmtId="0" fontId="17" fillId="0" borderId="0" xfId="0" applyFont="1" applyAlignment="1">
      <alignment horizontal="center"/>
    </xf>
    <xf numFmtId="0" fontId="3" fillId="3" borderId="1" xfId="0" applyFont="1" applyFill="1" applyBorder="1" applyAlignment="1">
      <alignment horizontal="center" vertical="center" wrapText="1"/>
    </xf>
    <xf numFmtId="0" fontId="14" fillId="0" borderId="10" xfId="0" applyFont="1" applyBorder="1" applyAlignment="1" applyProtection="1">
      <alignment horizontal="center"/>
      <protection locked="0"/>
    </xf>
    <xf numFmtId="0" fontId="14" fillId="0" borderId="11" xfId="0" applyFont="1" applyBorder="1" applyAlignment="1" applyProtection="1">
      <alignment horizontal="center"/>
      <protection locked="0"/>
    </xf>
    <xf numFmtId="0" fontId="14" fillId="0" borderId="12" xfId="0" applyFont="1" applyBorder="1" applyAlignment="1" applyProtection="1">
      <alignment horizontal="center"/>
      <protection locked="0"/>
    </xf>
    <xf numFmtId="0" fontId="3" fillId="0" borderId="3" xfId="0" applyFont="1" applyBorder="1" applyAlignment="1" applyProtection="1">
      <alignment horizontal="center" vertical="center" wrapText="1"/>
      <protection locked="0"/>
    </xf>
    <xf numFmtId="0" fontId="3" fillId="0" borderId="5" xfId="0" applyFont="1" applyBorder="1" applyAlignment="1" applyProtection="1">
      <alignment horizontal="center" vertical="center" wrapText="1"/>
      <protection locked="0"/>
    </xf>
    <xf numFmtId="0" fontId="3" fillId="0" borderId="7" xfId="0" applyFont="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12" xfId="0" applyFont="1" applyBorder="1" applyAlignment="1" applyProtection="1">
      <alignment horizontal="center" vertical="center" wrapText="1"/>
      <protection locked="0"/>
    </xf>
    <xf numFmtId="0" fontId="0" fillId="0" borderId="15"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13" fillId="2" borderId="17" xfId="0" applyFont="1" applyFill="1" applyBorder="1" applyAlignment="1">
      <alignment horizontal="center" vertical="center" wrapText="1"/>
    </xf>
    <xf numFmtId="0" fontId="13" fillId="2" borderId="18"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pplyProtection="1">
      <alignment horizontal="center" vertical="center" wrapText="1"/>
      <protection locked="0"/>
    </xf>
    <xf numFmtId="0" fontId="9" fillId="0" borderId="1" xfId="0" applyFont="1" applyBorder="1" applyAlignment="1" applyProtection="1">
      <alignment horizontal="center" vertical="center" wrapText="1"/>
      <protection locked="0"/>
    </xf>
    <xf numFmtId="0" fontId="9" fillId="0" borderId="15" xfId="0" applyFont="1" applyBorder="1" applyAlignment="1" applyProtection="1">
      <alignment horizontal="center" vertical="center" wrapText="1"/>
      <protection locked="0"/>
    </xf>
    <xf numFmtId="0" fontId="9" fillId="0" borderId="3" xfId="0" applyFont="1" applyBorder="1" applyAlignment="1" applyProtection="1">
      <alignment horizontal="center" vertical="center" wrapText="1"/>
      <protection locked="0"/>
    </xf>
    <xf numFmtId="0" fontId="9" fillId="0" borderId="4" xfId="0" applyFont="1" applyBorder="1" applyAlignment="1" applyProtection="1">
      <alignment horizontal="center" vertical="center" wrapText="1"/>
      <protection locked="0"/>
    </xf>
    <xf numFmtId="0" fontId="9" fillId="0" borderId="5" xfId="0" applyFont="1" applyBorder="1" applyAlignment="1" applyProtection="1">
      <alignment horizontal="center" vertical="center" wrapText="1"/>
      <protection locked="0"/>
    </xf>
    <xf numFmtId="0" fontId="9" fillId="0" borderId="10" xfId="0" applyFont="1" applyBorder="1" applyAlignment="1" applyProtection="1">
      <alignment horizontal="center" vertical="center" wrapText="1"/>
      <protection locked="0"/>
    </xf>
    <xf numFmtId="0" fontId="9" fillId="0" borderId="11" xfId="0" applyFont="1" applyBorder="1" applyAlignment="1" applyProtection="1">
      <alignment horizontal="center" vertical="center" wrapText="1"/>
      <protection locked="0"/>
    </xf>
    <xf numFmtId="0" fontId="9" fillId="0" borderId="12" xfId="0" applyFont="1" applyBorder="1" applyAlignment="1" applyProtection="1">
      <alignment horizontal="center" vertical="center" wrapText="1"/>
      <protection locked="0"/>
    </xf>
    <xf numFmtId="0" fontId="3" fillId="3" borderId="15" xfId="0" applyFont="1" applyFill="1" applyBorder="1" applyAlignment="1">
      <alignment horizontal="center" vertical="center" wrapText="1"/>
    </xf>
    <xf numFmtId="0" fontId="3" fillId="3" borderId="17"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9" fillId="0" borderId="12" xfId="0" applyFont="1" applyBorder="1" applyAlignment="1">
      <alignment horizontal="center" vertical="center"/>
    </xf>
    <xf numFmtId="0" fontId="12" fillId="3" borderId="1" xfId="0" applyFont="1" applyFill="1" applyBorder="1" applyAlignment="1">
      <alignment horizontal="center" vertical="center"/>
    </xf>
    <xf numFmtId="0" fontId="4" fillId="3" borderId="1" xfId="0" applyFont="1" applyFill="1" applyBorder="1" applyAlignment="1">
      <alignment horizontal="center" vertical="center"/>
    </xf>
    <xf numFmtId="49" fontId="3" fillId="3" borderId="15" xfId="0" applyNumberFormat="1" applyFont="1" applyFill="1" applyBorder="1" applyAlignment="1">
      <alignment horizontal="center" vertical="center"/>
    </xf>
    <xf numFmtId="49" fontId="3" fillId="3" borderId="17" xfId="0" applyNumberFormat="1" applyFont="1" applyFill="1" applyBorder="1" applyAlignment="1">
      <alignment horizontal="center" vertical="center"/>
    </xf>
    <xf numFmtId="49" fontId="3" fillId="3" borderId="18" xfId="0" applyNumberFormat="1" applyFont="1" applyFill="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3" fillId="0" borderId="1" xfId="0" applyFont="1" applyBorder="1" applyAlignment="1">
      <alignment horizontal="center" vertical="center"/>
    </xf>
    <xf numFmtId="0" fontId="9" fillId="0" borderId="10" xfId="0" applyFont="1" applyBorder="1" applyAlignment="1">
      <alignment horizontal="center"/>
    </xf>
    <xf numFmtId="0" fontId="9" fillId="0" borderId="11" xfId="0" applyFont="1" applyBorder="1" applyAlignment="1">
      <alignment horizontal="center"/>
    </xf>
    <xf numFmtId="0" fontId="9" fillId="0" borderId="12" xfId="0" applyFont="1" applyBorder="1" applyAlignment="1">
      <alignment horizontal="center"/>
    </xf>
    <xf numFmtId="0" fontId="3" fillId="3" borderId="1" xfId="0" applyFont="1" applyFill="1" applyBorder="1" applyAlignment="1">
      <alignment horizontal="center" vertical="center"/>
    </xf>
    <xf numFmtId="0" fontId="6" fillId="0" borderId="1" xfId="0" applyFont="1" applyBorder="1" applyAlignment="1" applyProtection="1">
      <alignment horizontal="center" vertical="center" wrapText="1"/>
      <protection locked="0"/>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10"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12" xfId="0" applyFont="1" applyFill="1" applyBorder="1" applyAlignment="1">
      <alignment horizontal="center" vertical="center"/>
    </xf>
    <xf numFmtId="14" fontId="3" fillId="0" borderId="1" xfId="0" applyNumberFormat="1" applyFont="1" applyBorder="1" applyAlignment="1" applyProtection="1">
      <alignment horizontal="center" vertical="center"/>
      <protection locked="0"/>
    </xf>
    <xf numFmtId="0" fontId="21" fillId="0" borderId="3" xfId="0" applyFont="1" applyBorder="1" applyAlignment="1">
      <alignment horizontal="center" vertical="center" wrapText="1"/>
    </xf>
    <xf numFmtId="0" fontId="21" fillId="0" borderId="4" xfId="0" applyFont="1" applyBorder="1" applyAlignment="1">
      <alignment horizontal="center" vertical="center" wrapText="1"/>
    </xf>
    <xf numFmtId="0" fontId="21" fillId="0" borderId="7" xfId="0" applyFont="1" applyBorder="1" applyAlignment="1">
      <alignment horizontal="center" vertical="center" wrapText="1"/>
    </xf>
    <xf numFmtId="0" fontId="21" fillId="0" borderId="0" xfId="0" applyFont="1" applyAlignment="1">
      <alignment horizontal="center" vertical="center" wrapText="1"/>
    </xf>
    <xf numFmtId="0" fontId="21" fillId="0" borderId="10"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12" xfId="0" applyFont="1" applyBorder="1" applyAlignment="1">
      <alignment horizontal="center" vertical="center" wrapText="1"/>
    </xf>
    <xf numFmtId="0" fontId="8" fillId="7" borderId="8" xfId="0" applyFont="1" applyFill="1" applyBorder="1" applyAlignment="1">
      <alignment vertical="center"/>
    </xf>
    <xf numFmtId="0" fontId="8" fillId="7" borderId="8" xfId="0" applyFont="1" applyFill="1" applyBorder="1" applyProtection="1">
      <protection locked="0"/>
    </xf>
    <xf numFmtId="0" fontId="2" fillId="5" borderId="15" xfId="0" applyFont="1" applyFill="1" applyBorder="1" applyAlignment="1">
      <alignment horizontal="center" vertical="center" wrapText="1"/>
    </xf>
    <xf numFmtId="0" fontId="2" fillId="5" borderId="17" xfId="0" applyFont="1" applyFill="1" applyBorder="1" applyAlignment="1">
      <alignment horizontal="center" vertical="center" wrapText="1"/>
    </xf>
    <xf numFmtId="0" fontId="2" fillId="5" borderId="18" xfId="0" applyFont="1" applyFill="1" applyBorder="1" applyAlignment="1">
      <alignment horizontal="center" vertical="center" wrapText="1"/>
    </xf>
    <xf numFmtId="0" fontId="2" fillId="4" borderId="15"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2" fillId="4" borderId="18" xfId="0" applyFont="1" applyFill="1" applyBorder="1" applyAlignment="1">
      <alignment horizontal="center" vertical="center" wrapText="1"/>
    </xf>
    <xf numFmtId="0" fontId="0" fillId="0" borderId="0"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12" xfId="0" applyBorder="1" applyAlignment="1">
      <alignment horizontal="center" vertical="center"/>
    </xf>
    <xf numFmtId="0" fontId="2" fillId="6" borderId="15" xfId="0" applyFont="1" applyFill="1" applyBorder="1" applyAlignment="1">
      <alignment horizontal="center" vertical="center" wrapText="1"/>
    </xf>
    <xf numFmtId="0" fontId="2" fillId="6" borderId="17" xfId="0" applyFont="1" applyFill="1" applyBorder="1" applyAlignment="1">
      <alignment horizontal="center" vertical="center" wrapText="1"/>
    </xf>
    <xf numFmtId="0" fontId="2" fillId="6" borderId="18" xfId="0" applyFont="1" applyFill="1" applyBorder="1" applyAlignment="1">
      <alignment horizontal="center" vertical="center" wrapText="1"/>
    </xf>
    <xf numFmtId="0" fontId="0" fillId="0" borderId="0" xfId="0" applyBorder="1" applyAlignment="1">
      <alignment vertical="center"/>
    </xf>
    <xf numFmtId="0" fontId="0" fillId="0" borderId="11" xfId="0" applyBorder="1" applyAlignment="1">
      <alignment vertical="center"/>
    </xf>
  </cellXfs>
  <cellStyles count="3">
    <cellStyle name="Normal" xfId="0" builtinId="0"/>
    <cellStyle name="Normal 4" xfId="2" xr:uid="{B0ADFB56-ED78-4C04-9A38-C13618F3C1DB}"/>
    <cellStyle name="Porcentaje" xfId="1" builtinId="5"/>
  </cellStyles>
  <dxfs count="196">
    <dxf>
      <font>
        <color theme="6" tint="0.39994506668294322"/>
      </font>
      <fill>
        <patternFill>
          <bgColor theme="6" tint="0.39994506668294322"/>
        </patternFill>
      </fill>
    </dxf>
    <dxf>
      <font>
        <color rgb="FFFFFFCC"/>
      </font>
      <fill>
        <patternFill>
          <bgColor rgb="FFFFFFCC"/>
        </patternFill>
      </fill>
    </dxf>
    <dxf>
      <font>
        <color theme="5" tint="0.39994506668294322"/>
      </font>
      <fill>
        <patternFill>
          <bgColor theme="5"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rgb="FFFFFF00"/>
        </patternFill>
      </fill>
    </dxf>
    <dxf>
      <font>
        <color theme="6" tint="0.39994506668294322"/>
      </font>
      <fill>
        <patternFill>
          <bgColor theme="6" tint="0.39994506668294322"/>
        </patternFill>
      </fill>
    </dxf>
    <dxf>
      <font>
        <color rgb="FFFFFFCC"/>
      </font>
      <fill>
        <patternFill>
          <bgColor rgb="FFFFFFCC"/>
        </patternFill>
      </fill>
    </dxf>
    <dxf>
      <font>
        <color theme="5" tint="0.39994506668294322"/>
      </font>
      <fill>
        <patternFill>
          <bgColor theme="5"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rgb="FFFFFF00"/>
        </patternFill>
      </fill>
    </dxf>
    <dxf>
      <font>
        <color theme="6" tint="0.39994506668294322"/>
      </font>
      <fill>
        <patternFill>
          <bgColor theme="6" tint="0.39994506668294322"/>
        </patternFill>
      </fill>
    </dxf>
    <dxf>
      <font>
        <color rgb="FFFFFFCC"/>
      </font>
      <fill>
        <patternFill>
          <bgColor rgb="FFFFFFCC"/>
        </patternFill>
      </fill>
    </dxf>
    <dxf>
      <font>
        <color theme="5" tint="0.39994506668294322"/>
      </font>
      <fill>
        <patternFill>
          <bgColor theme="5"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rgb="FFFFFF00"/>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color theme="6" tint="0.39994506668294322"/>
      </font>
      <fill>
        <patternFill>
          <bgColor theme="6" tint="0.39994506668294322"/>
        </patternFill>
      </fill>
    </dxf>
    <dxf>
      <font>
        <color rgb="FFFFFFCC"/>
      </font>
      <fill>
        <patternFill>
          <bgColor rgb="FFFFFFCC"/>
        </patternFill>
      </fill>
    </dxf>
    <dxf>
      <font>
        <color theme="5" tint="0.39994506668294322"/>
      </font>
      <fill>
        <patternFill>
          <bgColor theme="5"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rgb="FFFFFF00"/>
        </patternFill>
      </fill>
    </dxf>
  </dxfs>
  <tableStyles count="0" defaultTableStyle="TableStyleMedium2" defaultPivotStyle="PivotStyleLight16"/>
  <colors>
    <mruColors>
      <color rgb="FF00CC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1</xdr:col>
      <xdr:colOff>51954</xdr:colOff>
      <xdr:row>0</xdr:row>
      <xdr:rowOff>1</xdr:rowOff>
    </xdr:from>
    <xdr:to>
      <xdr:col>11</xdr:col>
      <xdr:colOff>39222</xdr:colOff>
      <xdr:row>1</xdr:row>
      <xdr:rowOff>441064</xdr:rowOff>
    </xdr:to>
    <xdr:sp macro="" textlink="" fLocksText="0">
      <xdr:nvSpPr>
        <xdr:cNvPr id="2" name="Textfeld 10">
          <a:extLst>
            <a:ext uri="{FF2B5EF4-FFF2-40B4-BE49-F238E27FC236}">
              <a16:creationId xmlns:a16="http://schemas.microsoft.com/office/drawing/2014/main" id="{62836E88-F994-4533-B806-9AB7294DDE05}"/>
            </a:ext>
          </a:extLst>
        </xdr:cNvPr>
        <xdr:cNvSpPr txBox="1"/>
      </xdr:nvSpPr>
      <xdr:spPr>
        <a:xfrm>
          <a:off x="213879" y="1"/>
          <a:ext cx="5273643" cy="945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de-DE" sz="2400" b="1" i="0" u="none" strike="noStrike" kern="0" cap="none" spc="0" normalizeH="0" baseline="0" noProof="0">
              <a:ln>
                <a:noFill/>
              </a:ln>
              <a:solidFill>
                <a:prstClr val="black"/>
              </a:solidFill>
              <a:effectLst/>
              <a:uLnTx/>
              <a:uFillTx/>
              <a:latin typeface="Arial" pitchFamily="34" charset="0"/>
              <a:ea typeface="+mn-ea"/>
              <a:cs typeface="Arial" pitchFamily="34" charset="0"/>
            </a:rPr>
            <a:t>Matriz de Competencias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de-DE" sz="2400" b="1" i="0" u="none" strike="noStrike" kern="0" cap="none" spc="0" normalizeH="0" baseline="0" noProof="0">
              <a:ln>
                <a:noFill/>
              </a:ln>
              <a:solidFill>
                <a:schemeClr val="tx1">
                  <a:lumMod val="65000"/>
                  <a:lumOff val="35000"/>
                </a:schemeClr>
              </a:solidFill>
              <a:effectLst/>
              <a:uLnTx/>
              <a:uFillTx/>
              <a:latin typeface="Arial" pitchFamily="34" charset="0"/>
              <a:ea typeface="+mn-ea"/>
              <a:cs typeface="Arial" pitchFamily="34" charset="0"/>
            </a:rPr>
            <a:t>Transformación Metálica</a:t>
          </a:r>
        </a:p>
      </xdr:txBody>
    </xdr:sp>
    <xdr:clientData fLocksWithSheet="0"/>
  </xdr:twoCellAnchor>
</xdr:wsDr>
</file>

<file path=xl/drawings/drawing2.xml><?xml version="1.0" encoding="utf-8"?>
<xdr:wsDr xmlns:xdr="http://schemas.openxmlformats.org/drawingml/2006/spreadsheetDrawing" xmlns:a="http://schemas.openxmlformats.org/drawingml/2006/main">
  <xdr:twoCellAnchor editAs="oneCell">
    <xdr:from>
      <xdr:col>1</xdr:col>
      <xdr:colOff>51954</xdr:colOff>
      <xdr:row>0</xdr:row>
      <xdr:rowOff>1</xdr:rowOff>
    </xdr:from>
    <xdr:to>
      <xdr:col>11</xdr:col>
      <xdr:colOff>39222</xdr:colOff>
      <xdr:row>1</xdr:row>
      <xdr:rowOff>441064</xdr:rowOff>
    </xdr:to>
    <xdr:sp macro="" textlink="" fLocksText="0">
      <xdr:nvSpPr>
        <xdr:cNvPr id="2" name="Textfeld 10">
          <a:extLst>
            <a:ext uri="{FF2B5EF4-FFF2-40B4-BE49-F238E27FC236}">
              <a16:creationId xmlns:a16="http://schemas.microsoft.com/office/drawing/2014/main" id="{67EB35B6-7375-4B58-B7BD-09C88C7E0246}"/>
            </a:ext>
          </a:extLst>
        </xdr:cNvPr>
        <xdr:cNvSpPr txBox="1"/>
      </xdr:nvSpPr>
      <xdr:spPr>
        <a:xfrm>
          <a:off x="213879" y="1"/>
          <a:ext cx="5273643" cy="945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de-DE" sz="2400" b="1" i="0" u="none" strike="noStrike" kern="0" cap="none" spc="0" normalizeH="0" baseline="0" noProof="0">
              <a:ln>
                <a:noFill/>
              </a:ln>
              <a:solidFill>
                <a:prstClr val="black"/>
              </a:solidFill>
              <a:effectLst/>
              <a:uLnTx/>
              <a:uFillTx/>
              <a:latin typeface="Arial" pitchFamily="34" charset="0"/>
              <a:ea typeface="+mn-ea"/>
              <a:cs typeface="Arial" pitchFamily="34" charset="0"/>
            </a:rPr>
            <a:t>Matriz de Competencias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de-DE" sz="2400" b="1" i="0" u="none" strike="noStrike" kern="0" cap="none" spc="0" normalizeH="0" baseline="0" noProof="0">
              <a:ln>
                <a:noFill/>
              </a:ln>
              <a:solidFill>
                <a:schemeClr val="tx1">
                  <a:lumMod val="65000"/>
                  <a:lumOff val="35000"/>
                </a:schemeClr>
              </a:solidFill>
              <a:effectLst/>
              <a:uLnTx/>
              <a:uFillTx/>
              <a:latin typeface="Arial" pitchFamily="34" charset="0"/>
              <a:ea typeface="+mn-ea"/>
              <a:cs typeface="Arial" pitchFamily="34" charset="0"/>
            </a:rPr>
            <a:t>Transformación Metálica</a:t>
          </a:r>
        </a:p>
      </xdr:txBody>
    </xdr:sp>
    <xdr:clientData fLocksWithSheet="0"/>
  </xdr:twoCellAnchor>
</xdr:wsDr>
</file>

<file path=xl/drawings/drawing3.xml><?xml version="1.0" encoding="utf-8"?>
<xdr:wsDr xmlns:xdr="http://schemas.openxmlformats.org/drawingml/2006/spreadsheetDrawing" xmlns:a="http://schemas.openxmlformats.org/drawingml/2006/main">
  <xdr:twoCellAnchor editAs="oneCell">
    <xdr:from>
      <xdr:col>1</xdr:col>
      <xdr:colOff>51954</xdr:colOff>
      <xdr:row>0</xdr:row>
      <xdr:rowOff>1</xdr:rowOff>
    </xdr:from>
    <xdr:to>
      <xdr:col>11</xdr:col>
      <xdr:colOff>39222</xdr:colOff>
      <xdr:row>1</xdr:row>
      <xdr:rowOff>441064</xdr:rowOff>
    </xdr:to>
    <xdr:sp macro="" textlink="" fLocksText="0">
      <xdr:nvSpPr>
        <xdr:cNvPr id="2" name="Textfeld 10">
          <a:extLst>
            <a:ext uri="{FF2B5EF4-FFF2-40B4-BE49-F238E27FC236}">
              <a16:creationId xmlns:a16="http://schemas.microsoft.com/office/drawing/2014/main" id="{21B41115-59A2-4E29-8905-2B6633D8CB93}"/>
            </a:ext>
          </a:extLst>
        </xdr:cNvPr>
        <xdr:cNvSpPr txBox="1"/>
      </xdr:nvSpPr>
      <xdr:spPr>
        <a:xfrm>
          <a:off x="227214" y="1"/>
          <a:ext cx="5441283" cy="951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de-DE" sz="2400" b="1" i="0" u="none" strike="noStrike" kern="0" cap="none" spc="0" normalizeH="0" baseline="0" noProof="0">
              <a:ln>
                <a:noFill/>
              </a:ln>
              <a:solidFill>
                <a:prstClr val="black"/>
              </a:solidFill>
              <a:effectLst/>
              <a:uLnTx/>
              <a:uFillTx/>
              <a:latin typeface="Arial" pitchFamily="34" charset="0"/>
              <a:ea typeface="+mn-ea"/>
              <a:cs typeface="Arial" pitchFamily="34" charset="0"/>
            </a:rPr>
            <a:t>Matriz de Competencias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de-DE" sz="2400" b="1" i="0" u="none" strike="noStrike" kern="0" cap="none" spc="0" normalizeH="0" baseline="0" noProof="0">
              <a:ln>
                <a:noFill/>
              </a:ln>
              <a:solidFill>
                <a:schemeClr val="tx1">
                  <a:lumMod val="65000"/>
                  <a:lumOff val="35000"/>
                </a:schemeClr>
              </a:solidFill>
              <a:effectLst/>
              <a:uLnTx/>
              <a:uFillTx/>
              <a:latin typeface="Arial" pitchFamily="34" charset="0"/>
              <a:ea typeface="+mn-ea"/>
              <a:cs typeface="Arial" pitchFamily="34" charset="0"/>
            </a:rPr>
            <a:t>Transformación Metálica</a:t>
          </a:r>
        </a:p>
      </xdr:txBody>
    </xdr:sp>
    <xdr:clientData fLocksWithSheet="0"/>
  </xdr:twoCellAnchor>
</xdr:wsDr>
</file>

<file path=xl/drawings/drawing4.xml><?xml version="1.0" encoding="utf-8"?>
<xdr:wsDr xmlns:xdr="http://schemas.openxmlformats.org/drawingml/2006/spreadsheetDrawing" xmlns:a="http://schemas.openxmlformats.org/drawingml/2006/main">
  <xdr:twoCellAnchor editAs="oneCell">
    <xdr:from>
      <xdr:col>1</xdr:col>
      <xdr:colOff>51954</xdr:colOff>
      <xdr:row>0</xdr:row>
      <xdr:rowOff>1</xdr:rowOff>
    </xdr:from>
    <xdr:to>
      <xdr:col>11</xdr:col>
      <xdr:colOff>39222</xdr:colOff>
      <xdr:row>1</xdr:row>
      <xdr:rowOff>437254</xdr:rowOff>
    </xdr:to>
    <xdr:sp macro="" textlink="" fLocksText="0">
      <xdr:nvSpPr>
        <xdr:cNvPr id="2" name="Textfeld 10">
          <a:extLst>
            <a:ext uri="{FF2B5EF4-FFF2-40B4-BE49-F238E27FC236}">
              <a16:creationId xmlns:a16="http://schemas.microsoft.com/office/drawing/2014/main" id="{2FF3B4D6-26BA-4997-8D80-0BE35FF1CF7C}"/>
            </a:ext>
          </a:extLst>
        </xdr:cNvPr>
        <xdr:cNvSpPr txBox="1"/>
      </xdr:nvSpPr>
      <xdr:spPr>
        <a:xfrm>
          <a:off x="227214" y="1"/>
          <a:ext cx="5441283" cy="951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de-DE" sz="2400" b="1" i="0" u="none" strike="noStrike" kern="0" cap="none" spc="0" normalizeH="0" baseline="0" noProof="0">
              <a:ln>
                <a:noFill/>
              </a:ln>
              <a:solidFill>
                <a:prstClr val="black"/>
              </a:solidFill>
              <a:effectLst/>
              <a:uLnTx/>
              <a:uFillTx/>
              <a:latin typeface="Arial" pitchFamily="34" charset="0"/>
              <a:ea typeface="+mn-ea"/>
              <a:cs typeface="Arial" pitchFamily="34" charset="0"/>
            </a:rPr>
            <a:t>Matriz de Competencias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de-DE" sz="2400" b="1" i="0" u="none" strike="noStrike" kern="0" cap="none" spc="0" normalizeH="0" baseline="0" noProof="0">
              <a:ln>
                <a:noFill/>
              </a:ln>
              <a:solidFill>
                <a:schemeClr val="tx1">
                  <a:lumMod val="65000"/>
                  <a:lumOff val="35000"/>
                </a:schemeClr>
              </a:solidFill>
              <a:effectLst/>
              <a:uLnTx/>
              <a:uFillTx/>
              <a:latin typeface="Arial" pitchFamily="34" charset="0"/>
              <a:ea typeface="+mn-ea"/>
              <a:cs typeface="Arial" pitchFamily="34" charset="0"/>
            </a:rPr>
            <a:t>Transformación Metálica</a:t>
          </a:r>
        </a:p>
      </xdr:txBody>
    </xdr:sp>
    <xdr:clientData fLocksWithSheet="0"/>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F1475-9AFE-433E-B99B-E1130681899C}">
  <sheetPr>
    <pageSetUpPr fitToPage="1"/>
  </sheetPr>
  <dimension ref="B1:CY65"/>
  <sheetViews>
    <sheetView showGridLines="0" tabSelected="1" zoomScale="55" zoomScaleNormal="55" workbookViewId="0">
      <pane xSplit="4" ySplit="12" topLeftCell="E13" activePane="bottomRight" state="frozen"/>
      <selection pane="topRight" activeCell="E1" sqref="E1"/>
      <selection pane="bottomLeft" activeCell="A13" sqref="A13"/>
      <selection pane="bottomRight" activeCell="BB3" sqref="BB3:BD4"/>
    </sheetView>
  </sheetViews>
  <sheetFormatPr baseColWidth="10" defaultColWidth="10" defaultRowHeight="15" x14ac:dyDescent="0.25"/>
  <cols>
    <col min="1" max="1" width="2.42578125" customWidth="1"/>
    <col min="2" max="2" width="32.140625" customWidth="1"/>
    <col min="3" max="3" width="22.42578125" customWidth="1"/>
    <col min="4" max="4" width="0.7109375" style="1" customWidth="1"/>
    <col min="5" max="52" width="3.42578125" customWidth="1"/>
    <col min="53" max="53" width="0.7109375" style="1" customWidth="1"/>
    <col min="54" max="54" width="15.42578125" style="2" customWidth="1"/>
    <col min="55" max="55" width="23.28515625" style="2" customWidth="1"/>
    <col min="56" max="56" width="13.7109375" customWidth="1"/>
    <col min="57" max="57" width="2.42578125" customWidth="1"/>
    <col min="58" max="59" width="8.140625" customWidth="1"/>
    <col min="60" max="73" width="8.140625" style="5" customWidth="1"/>
    <col min="74" max="78" width="8.140625" customWidth="1"/>
    <col min="79" max="83" width="9.42578125" customWidth="1"/>
    <col min="84" max="85" width="9.42578125" style="5" customWidth="1"/>
    <col min="86" max="98" width="9.42578125" customWidth="1"/>
    <col min="99" max="100" width="1.28515625" customWidth="1"/>
    <col min="101" max="102" width="2.42578125" customWidth="1"/>
    <col min="103" max="103" width="1.28515625" customWidth="1"/>
  </cols>
  <sheetData>
    <row r="1" spans="2:103" ht="40.15" customHeight="1" x14ac:dyDescent="0.3">
      <c r="BC1" s="3" t="s">
        <v>0</v>
      </c>
      <c r="BD1" s="4">
        <v>46082</v>
      </c>
    </row>
    <row r="2" spans="2:103" ht="40.15" customHeight="1" x14ac:dyDescent="0.25">
      <c r="BC2" s="6" t="s">
        <v>1</v>
      </c>
      <c r="BD2" s="7">
        <v>46266</v>
      </c>
    </row>
    <row r="3" spans="2:103" ht="15" customHeight="1" x14ac:dyDescent="0.25">
      <c r="B3" s="117" t="s">
        <v>2</v>
      </c>
      <c r="C3" s="118" t="s">
        <v>3</v>
      </c>
      <c r="D3" s="8"/>
      <c r="E3" s="119" t="s">
        <v>4</v>
      </c>
      <c r="F3" s="120"/>
      <c r="G3" s="120"/>
      <c r="H3" s="120"/>
      <c r="I3" s="120"/>
      <c r="J3" s="120"/>
      <c r="K3" s="120"/>
      <c r="L3" s="120"/>
      <c r="M3" s="120"/>
      <c r="N3" s="120"/>
      <c r="O3" s="120"/>
      <c r="P3" s="120"/>
      <c r="Q3" s="120"/>
      <c r="R3" s="120"/>
      <c r="S3" s="120"/>
      <c r="T3" s="120"/>
      <c r="U3" s="120"/>
      <c r="V3" s="120"/>
      <c r="W3" s="120"/>
      <c r="X3" s="120"/>
      <c r="Y3" s="120"/>
      <c r="Z3" s="120"/>
      <c r="AA3" s="120"/>
      <c r="AB3" s="120"/>
      <c r="AC3" s="120"/>
      <c r="AD3" s="120"/>
      <c r="AE3" s="120"/>
      <c r="AF3" s="120"/>
      <c r="AG3" s="120"/>
      <c r="AH3" s="120"/>
      <c r="AI3" s="120"/>
      <c r="AJ3" s="120"/>
      <c r="AK3" s="120"/>
      <c r="AL3" s="120"/>
      <c r="AM3" s="120"/>
      <c r="AN3" s="120"/>
      <c r="AO3" s="120"/>
      <c r="AP3" s="120"/>
      <c r="AQ3" s="120"/>
      <c r="AR3" s="120"/>
      <c r="AS3" s="120"/>
      <c r="AT3" s="120"/>
      <c r="AU3" s="120"/>
      <c r="AV3" s="120"/>
      <c r="AW3" s="120"/>
      <c r="AX3" s="120"/>
      <c r="AY3" s="120"/>
      <c r="AZ3" s="121"/>
      <c r="BA3" s="9"/>
      <c r="BB3" s="117" t="s">
        <v>5</v>
      </c>
      <c r="BC3" s="117"/>
      <c r="BD3" s="117"/>
      <c r="BW3" s="10"/>
      <c r="CA3" s="10"/>
      <c r="CE3" s="10"/>
      <c r="CI3" s="10"/>
      <c r="CM3" s="10"/>
      <c r="CQ3" s="10"/>
      <c r="CU3" s="10"/>
      <c r="CY3" s="10"/>
    </row>
    <row r="4" spans="2:103" ht="15" customHeight="1" x14ac:dyDescent="0.25">
      <c r="B4" s="117"/>
      <c r="C4" s="118"/>
      <c r="D4" s="11"/>
      <c r="E4" s="122"/>
      <c r="F4" s="123"/>
      <c r="G4" s="123"/>
      <c r="H4" s="123"/>
      <c r="I4" s="123"/>
      <c r="J4" s="123"/>
      <c r="K4" s="123"/>
      <c r="L4" s="123"/>
      <c r="M4" s="123"/>
      <c r="N4" s="123"/>
      <c r="O4" s="123"/>
      <c r="P4" s="123"/>
      <c r="Q4" s="123"/>
      <c r="R4" s="123"/>
      <c r="S4" s="123"/>
      <c r="T4" s="123"/>
      <c r="U4" s="123"/>
      <c r="V4" s="123"/>
      <c r="W4" s="123"/>
      <c r="X4" s="123"/>
      <c r="Y4" s="123"/>
      <c r="Z4" s="123"/>
      <c r="AA4" s="123"/>
      <c r="AB4" s="123"/>
      <c r="AC4" s="123"/>
      <c r="AD4" s="123"/>
      <c r="AE4" s="123"/>
      <c r="AF4" s="123"/>
      <c r="AG4" s="123"/>
      <c r="AH4" s="123"/>
      <c r="AI4" s="123"/>
      <c r="AJ4" s="123"/>
      <c r="AK4" s="123"/>
      <c r="AL4" s="123"/>
      <c r="AM4" s="123"/>
      <c r="AN4" s="123"/>
      <c r="AO4" s="123"/>
      <c r="AP4" s="123"/>
      <c r="AQ4" s="123"/>
      <c r="AR4" s="123"/>
      <c r="AS4" s="123"/>
      <c r="AT4" s="123"/>
      <c r="AU4" s="123"/>
      <c r="AV4" s="123"/>
      <c r="AW4" s="123"/>
      <c r="AX4" s="123"/>
      <c r="AY4" s="123"/>
      <c r="AZ4" s="124"/>
      <c r="BA4" s="9"/>
      <c r="BB4" s="117"/>
      <c r="BC4" s="117"/>
      <c r="BD4" s="117"/>
    </row>
    <row r="5" spans="2:103" x14ac:dyDescent="0.25">
      <c r="B5" s="117" t="s">
        <v>6</v>
      </c>
      <c r="C5" s="125">
        <v>46134</v>
      </c>
      <c r="D5" s="12"/>
      <c r="E5" s="13"/>
      <c r="F5" s="14"/>
      <c r="G5" s="14"/>
      <c r="H5" s="15"/>
      <c r="I5" s="104" t="s">
        <v>7</v>
      </c>
      <c r="J5" s="105"/>
      <c r="K5" s="105"/>
      <c r="L5" s="144"/>
      <c r="M5" s="52"/>
      <c r="N5" s="53"/>
      <c r="O5" s="53"/>
      <c r="P5" s="54"/>
      <c r="Q5" s="104"/>
      <c r="R5" s="105"/>
      <c r="S5" s="105"/>
      <c r="T5" s="105"/>
      <c r="U5" s="53"/>
      <c r="V5" s="53"/>
      <c r="W5" s="53"/>
      <c r="X5" s="53"/>
      <c r="Y5" s="105"/>
      <c r="Z5" s="105"/>
      <c r="AA5" s="105"/>
      <c r="AB5" s="105"/>
      <c r="AC5" s="105"/>
      <c r="AD5" s="105"/>
      <c r="AE5" s="105"/>
      <c r="AF5" s="105"/>
      <c r="AG5" s="105"/>
      <c r="AH5" s="105"/>
      <c r="AI5" s="105"/>
      <c r="AJ5" s="105"/>
      <c r="AK5" s="105"/>
      <c r="AL5" s="105"/>
      <c r="AM5" s="105"/>
      <c r="AN5" s="144"/>
      <c r="AO5" s="52"/>
      <c r="AP5" s="53"/>
      <c r="AQ5" s="53"/>
      <c r="AR5" s="54"/>
      <c r="AS5" s="104"/>
      <c r="AT5" s="105"/>
      <c r="AU5" s="105"/>
      <c r="AV5" s="105"/>
      <c r="AW5" s="105"/>
      <c r="AX5" s="105"/>
      <c r="AY5" s="105"/>
      <c r="AZ5" s="105"/>
      <c r="BA5" s="16"/>
      <c r="BB5" s="140" t="s">
        <v>12</v>
      </c>
      <c r="BC5" s="137" t="s">
        <v>13</v>
      </c>
      <c r="BD5" s="147" t="s">
        <v>14</v>
      </c>
      <c r="BE5" s="5"/>
      <c r="BH5"/>
      <c r="BI5"/>
      <c r="BJ5"/>
      <c r="BK5"/>
      <c r="BL5"/>
      <c r="BM5"/>
      <c r="BN5"/>
      <c r="BO5"/>
      <c r="BP5"/>
      <c r="BQ5"/>
      <c r="BR5"/>
      <c r="BS5"/>
      <c r="BT5"/>
      <c r="BU5"/>
      <c r="CF5"/>
      <c r="CG5"/>
    </row>
    <row r="6" spans="2:103" x14ac:dyDescent="0.25">
      <c r="B6" s="117"/>
      <c r="C6" s="125"/>
      <c r="D6" s="12"/>
      <c r="E6" s="17"/>
      <c r="F6" s="18"/>
      <c r="G6" s="18"/>
      <c r="H6" s="19"/>
      <c r="I6" s="106"/>
      <c r="J6" s="143"/>
      <c r="K6" s="143"/>
      <c r="L6" s="145"/>
      <c r="M6" s="55"/>
      <c r="N6" s="56"/>
      <c r="O6" s="56"/>
      <c r="P6" s="57"/>
      <c r="Q6" s="106"/>
      <c r="R6" s="143"/>
      <c r="S6" s="143"/>
      <c r="T6" s="143"/>
      <c r="U6" s="150"/>
      <c r="V6" s="150"/>
      <c r="W6" s="150"/>
      <c r="X6" s="150"/>
      <c r="Y6" s="143"/>
      <c r="Z6" s="143"/>
      <c r="AA6" s="143"/>
      <c r="AB6" s="143"/>
      <c r="AC6" s="143"/>
      <c r="AD6" s="143"/>
      <c r="AE6" s="143"/>
      <c r="AF6" s="143"/>
      <c r="AG6" s="143"/>
      <c r="AH6" s="143"/>
      <c r="AI6" s="143"/>
      <c r="AJ6" s="143"/>
      <c r="AK6" s="143"/>
      <c r="AL6" s="143"/>
      <c r="AM6" s="143"/>
      <c r="AN6" s="145"/>
      <c r="AO6" s="55"/>
      <c r="AP6" s="56"/>
      <c r="AQ6" s="56"/>
      <c r="AR6" s="57"/>
      <c r="AS6" s="106"/>
      <c r="AT6" s="143"/>
      <c r="AU6" s="143"/>
      <c r="AV6" s="143"/>
      <c r="AW6" s="143"/>
      <c r="AX6" s="143"/>
      <c r="AY6" s="143"/>
      <c r="AZ6" s="143"/>
      <c r="BA6" s="16"/>
      <c r="BB6" s="141"/>
      <c r="BC6" s="138"/>
      <c r="BD6" s="148"/>
      <c r="BE6" s="20"/>
      <c r="BH6"/>
      <c r="BI6"/>
      <c r="BJ6"/>
      <c r="BK6"/>
      <c r="BL6"/>
      <c r="BM6"/>
      <c r="BN6"/>
      <c r="BO6"/>
      <c r="BP6"/>
      <c r="BQ6"/>
      <c r="BR6"/>
      <c r="BS6"/>
      <c r="BT6"/>
      <c r="BU6"/>
      <c r="CF6"/>
      <c r="CG6"/>
    </row>
    <row r="7" spans="2:103" x14ac:dyDescent="0.25">
      <c r="B7" s="68" t="s">
        <v>15</v>
      </c>
      <c r="C7" s="113">
        <v>11</v>
      </c>
      <c r="E7" s="17"/>
      <c r="F7" s="18"/>
      <c r="G7" s="18"/>
      <c r="H7" s="19"/>
      <c r="I7" s="106"/>
      <c r="J7" s="143"/>
      <c r="K7" s="143"/>
      <c r="L7" s="145"/>
      <c r="M7" s="55"/>
      <c r="N7" s="56"/>
      <c r="O7" s="56"/>
      <c r="P7" s="57"/>
      <c r="Q7" s="106"/>
      <c r="R7" s="143"/>
      <c r="S7" s="143"/>
      <c r="T7" s="143"/>
      <c r="U7" s="150"/>
      <c r="V7" s="150"/>
      <c r="W7" s="150"/>
      <c r="X7" s="150"/>
      <c r="Y7" s="143"/>
      <c r="Z7" s="143"/>
      <c r="AA7" s="143"/>
      <c r="AB7" s="143"/>
      <c r="AC7" s="143"/>
      <c r="AD7" s="143"/>
      <c r="AE7" s="143"/>
      <c r="AF7" s="143"/>
      <c r="AG7" s="143"/>
      <c r="AH7" s="143"/>
      <c r="AI7" s="143"/>
      <c r="AJ7" s="143"/>
      <c r="AK7" s="143"/>
      <c r="AL7" s="143"/>
      <c r="AM7" s="143"/>
      <c r="AN7" s="145"/>
      <c r="AO7" s="55"/>
      <c r="AP7" s="56"/>
      <c r="AQ7" s="56"/>
      <c r="AR7" s="57"/>
      <c r="AS7" s="106"/>
      <c r="AT7" s="143"/>
      <c r="AU7" s="143"/>
      <c r="AV7" s="143"/>
      <c r="AW7" s="143"/>
      <c r="AX7" s="143"/>
      <c r="AY7" s="143"/>
      <c r="AZ7" s="143"/>
      <c r="BA7" s="16"/>
      <c r="BB7" s="141"/>
      <c r="BC7" s="138"/>
      <c r="BD7" s="148"/>
      <c r="BE7" s="20"/>
      <c r="BH7"/>
      <c r="BI7"/>
      <c r="BJ7"/>
      <c r="BK7"/>
      <c r="BL7"/>
      <c r="BM7"/>
      <c r="BN7"/>
      <c r="BO7"/>
      <c r="BP7"/>
      <c r="BQ7"/>
      <c r="BR7"/>
      <c r="BS7"/>
      <c r="BT7"/>
      <c r="BU7"/>
      <c r="CF7"/>
      <c r="CG7"/>
    </row>
    <row r="8" spans="2:103" x14ac:dyDescent="0.25">
      <c r="B8" s="68"/>
      <c r="C8" s="113"/>
      <c r="E8" s="114"/>
      <c r="F8" s="115"/>
      <c r="G8" s="115"/>
      <c r="H8" s="116"/>
      <c r="I8" s="108"/>
      <c r="J8" s="109"/>
      <c r="K8" s="109"/>
      <c r="L8" s="146"/>
      <c r="M8" s="96">
        <v>1</v>
      </c>
      <c r="N8" s="97"/>
      <c r="O8" s="97"/>
      <c r="P8" s="98"/>
      <c r="Q8" s="108"/>
      <c r="R8" s="109"/>
      <c r="S8" s="109"/>
      <c r="T8" s="109"/>
      <c r="U8" s="151"/>
      <c r="V8" s="151"/>
      <c r="W8" s="151"/>
      <c r="X8" s="151"/>
      <c r="Y8" s="109"/>
      <c r="Z8" s="109"/>
      <c r="AA8" s="109"/>
      <c r="AB8" s="109"/>
      <c r="AC8" s="109"/>
      <c r="AD8" s="109"/>
      <c r="AE8" s="109"/>
      <c r="AF8" s="109"/>
      <c r="AG8" s="109"/>
      <c r="AH8" s="109"/>
      <c r="AI8" s="109"/>
      <c r="AJ8" s="109"/>
      <c r="AK8" s="109"/>
      <c r="AL8" s="109"/>
      <c r="AM8" s="109"/>
      <c r="AN8" s="146"/>
      <c r="AO8" s="96">
        <v>4</v>
      </c>
      <c r="AP8" s="97"/>
      <c r="AQ8" s="97"/>
      <c r="AR8" s="98"/>
      <c r="AS8" s="108"/>
      <c r="AT8" s="109"/>
      <c r="AU8" s="109"/>
      <c r="AV8" s="109"/>
      <c r="AW8" s="109"/>
      <c r="AX8" s="109"/>
      <c r="AY8" s="109"/>
      <c r="AZ8" s="109"/>
      <c r="BA8" s="21"/>
      <c r="BB8" s="142"/>
      <c r="BC8" s="139"/>
      <c r="BD8" s="149"/>
      <c r="BE8" s="20"/>
      <c r="BH8"/>
      <c r="BI8"/>
      <c r="BJ8"/>
      <c r="BK8"/>
      <c r="BL8"/>
      <c r="BM8"/>
      <c r="BN8"/>
      <c r="BO8"/>
      <c r="BP8"/>
      <c r="BQ8"/>
      <c r="BR8"/>
      <c r="BS8"/>
      <c r="BT8"/>
      <c r="BU8"/>
      <c r="CF8"/>
      <c r="CG8"/>
    </row>
    <row r="9" spans="2:103" ht="5.0999999999999996" customHeight="1" x14ac:dyDescent="0.25">
      <c r="D9" s="22"/>
      <c r="J9" s="5"/>
      <c r="AL9" s="5"/>
      <c r="BD9" s="23"/>
      <c r="BH9"/>
      <c r="BI9"/>
      <c r="BJ9"/>
      <c r="BK9"/>
      <c r="BL9"/>
      <c r="BM9"/>
      <c r="BN9"/>
      <c r="BO9"/>
      <c r="BP9"/>
      <c r="BQ9"/>
      <c r="BR9"/>
      <c r="BS9"/>
      <c r="BT9"/>
      <c r="BU9"/>
    </row>
    <row r="10" spans="2:103" ht="20.100000000000001" customHeight="1" x14ac:dyDescent="0.25">
      <c r="B10" s="99" t="s">
        <v>16</v>
      </c>
      <c r="C10" s="99"/>
      <c r="E10" s="100" t="s">
        <v>17</v>
      </c>
      <c r="F10" s="100"/>
      <c r="G10" s="100"/>
      <c r="H10" s="100"/>
      <c r="I10" s="100"/>
      <c r="J10" s="100"/>
      <c r="K10" s="100"/>
      <c r="L10" s="100"/>
      <c r="M10" s="100"/>
      <c r="N10" s="100"/>
      <c r="O10" s="100"/>
      <c r="P10" s="100"/>
      <c r="Q10" s="100"/>
      <c r="R10" s="100"/>
      <c r="S10" s="100"/>
      <c r="T10" s="100"/>
      <c r="U10" s="100"/>
      <c r="V10" s="100"/>
      <c r="W10" s="100"/>
      <c r="X10" s="100"/>
      <c r="Y10" s="100"/>
      <c r="Z10" s="100"/>
      <c r="AA10" s="100"/>
      <c r="AB10" s="100"/>
      <c r="AC10" s="100"/>
      <c r="AD10" s="100"/>
      <c r="AE10" s="100"/>
      <c r="AF10" s="100"/>
      <c r="AG10" s="100" t="s">
        <v>17</v>
      </c>
      <c r="AH10" s="100"/>
      <c r="AI10" s="100"/>
      <c r="AJ10" s="100"/>
      <c r="AK10" s="100"/>
      <c r="AL10" s="100"/>
      <c r="AM10" s="100"/>
      <c r="AN10" s="100"/>
      <c r="AO10" s="100"/>
      <c r="AP10" s="100"/>
      <c r="AQ10" s="100"/>
      <c r="AR10" s="100"/>
      <c r="AS10" s="100"/>
      <c r="AT10" s="100"/>
      <c r="AU10" s="100"/>
      <c r="AV10" s="100"/>
      <c r="AW10" s="100"/>
      <c r="AX10" s="100"/>
      <c r="AY10" s="100"/>
      <c r="AZ10" s="100"/>
      <c r="BA10" s="8"/>
      <c r="BB10" s="101" t="s">
        <v>18</v>
      </c>
      <c r="BC10" s="101" t="s">
        <v>19</v>
      </c>
      <c r="BD10" s="93" t="s">
        <v>20</v>
      </c>
      <c r="BE10" s="24"/>
      <c r="BH10"/>
      <c r="BI10"/>
      <c r="BJ10"/>
      <c r="BK10"/>
      <c r="BL10"/>
      <c r="BM10"/>
      <c r="BN10"/>
      <c r="BO10"/>
      <c r="BP10"/>
      <c r="BQ10"/>
      <c r="BR10"/>
      <c r="BS10"/>
      <c r="BT10"/>
      <c r="BU10"/>
      <c r="CF10"/>
      <c r="CG10"/>
    </row>
    <row r="11" spans="2:103" ht="34.15" customHeight="1" x14ac:dyDescent="0.25">
      <c r="B11" s="99"/>
      <c r="C11" s="99"/>
      <c r="D11" s="8"/>
      <c r="E11" s="85" t="s">
        <v>21</v>
      </c>
      <c r="F11" s="85"/>
      <c r="G11" s="85"/>
      <c r="H11" s="85"/>
      <c r="I11" s="85" t="s">
        <v>22</v>
      </c>
      <c r="J11" s="85"/>
      <c r="K11" s="85"/>
      <c r="L11" s="85"/>
      <c r="M11" s="87" t="s">
        <v>27</v>
      </c>
      <c r="N11" s="88"/>
      <c r="O11" s="88"/>
      <c r="P11" s="89"/>
      <c r="Q11" s="87" t="s">
        <v>30</v>
      </c>
      <c r="R11" s="88"/>
      <c r="S11" s="88"/>
      <c r="T11" s="89"/>
      <c r="U11" s="87" t="s">
        <v>32</v>
      </c>
      <c r="V11" s="88"/>
      <c r="W11" s="88"/>
      <c r="X11" s="89"/>
      <c r="Y11" s="87" t="s">
        <v>36</v>
      </c>
      <c r="Z11" s="88"/>
      <c r="AA11" s="88"/>
      <c r="AB11" s="89"/>
      <c r="AC11" s="87" t="s">
        <v>38</v>
      </c>
      <c r="AD11" s="88"/>
      <c r="AE11" s="88"/>
      <c r="AF11" s="89"/>
      <c r="AG11" s="85" t="s">
        <v>43</v>
      </c>
      <c r="AH11" s="85"/>
      <c r="AI11" s="85"/>
      <c r="AJ11" s="85"/>
      <c r="AK11" s="85" t="s">
        <v>44</v>
      </c>
      <c r="AL11" s="85"/>
      <c r="AM11" s="85"/>
      <c r="AN11" s="85"/>
      <c r="AO11" s="85" t="s">
        <v>45</v>
      </c>
      <c r="AP11" s="85"/>
      <c r="AQ11" s="85"/>
      <c r="AR11" s="85"/>
      <c r="AS11" s="85" t="s">
        <v>49</v>
      </c>
      <c r="AT11" s="85"/>
      <c r="AU11" s="85"/>
      <c r="AV11" s="85"/>
      <c r="AW11" s="85"/>
      <c r="AX11" s="85"/>
      <c r="AY11" s="85"/>
      <c r="AZ11" s="85"/>
      <c r="BA11" s="25"/>
      <c r="BB11" s="102"/>
      <c r="BC11" s="102"/>
      <c r="BD11" s="94"/>
      <c r="BE11" s="26"/>
      <c r="BI11"/>
      <c r="BJ11"/>
      <c r="BK11"/>
      <c r="BL11"/>
      <c r="BM11"/>
      <c r="BN11"/>
      <c r="BO11"/>
      <c r="BP11"/>
      <c r="BQ11"/>
      <c r="BR11"/>
      <c r="BS11"/>
      <c r="BT11"/>
      <c r="BU11"/>
      <c r="CF11"/>
      <c r="CG11"/>
    </row>
    <row r="12" spans="2:103" ht="34.15" customHeight="1" x14ac:dyDescent="0.25">
      <c r="B12" s="99"/>
      <c r="C12" s="99"/>
      <c r="D12" s="8"/>
      <c r="E12" s="86"/>
      <c r="F12" s="86"/>
      <c r="G12" s="86"/>
      <c r="H12" s="86"/>
      <c r="I12" s="86"/>
      <c r="J12" s="86"/>
      <c r="K12" s="86"/>
      <c r="L12" s="86"/>
      <c r="M12" s="90"/>
      <c r="N12" s="91"/>
      <c r="O12" s="91"/>
      <c r="P12" s="92"/>
      <c r="Q12" s="90"/>
      <c r="R12" s="91"/>
      <c r="S12" s="91"/>
      <c r="T12" s="92"/>
      <c r="U12" s="90"/>
      <c r="V12" s="91"/>
      <c r="W12" s="91"/>
      <c r="X12" s="92"/>
      <c r="Y12" s="90"/>
      <c r="Z12" s="91"/>
      <c r="AA12" s="91"/>
      <c r="AB12" s="92"/>
      <c r="AC12" s="90"/>
      <c r="AD12" s="91"/>
      <c r="AE12" s="91"/>
      <c r="AF12" s="92"/>
      <c r="AG12" s="86"/>
      <c r="AH12" s="86"/>
      <c r="AI12" s="86"/>
      <c r="AJ12" s="86"/>
      <c r="AK12" s="86"/>
      <c r="AL12" s="86"/>
      <c r="AM12" s="86"/>
      <c r="AN12" s="86"/>
      <c r="AO12" s="86"/>
      <c r="AP12" s="86"/>
      <c r="AQ12" s="86"/>
      <c r="AR12" s="86"/>
      <c r="AS12" s="86"/>
      <c r="AT12" s="86"/>
      <c r="AU12" s="86"/>
      <c r="AV12" s="86"/>
      <c r="AW12" s="86"/>
      <c r="AX12" s="86"/>
      <c r="AY12" s="86"/>
      <c r="AZ12" s="86"/>
      <c r="BA12" s="25"/>
      <c r="BB12" s="103"/>
      <c r="BC12" s="103"/>
      <c r="BD12" s="95"/>
      <c r="BE12" s="5"/>
      <c r="BI12"/>
      <c r="BJ12"/>
      <c r="BK12"/>
      <c r="BL12"/>
      <c r="BM12"/>
      <c r="BN12"/>
      <c r="BO12"/>
      <c r="BP12"/>
      <c r="BQ12"/>
      <c r="BR12"/>
      <c r="BS12"/>
      <c r="BT12"/>
      <c r="BU12"/>
      <c r="CF12"/>
      <c r="CG12"/>
    </row>
    <row r="13" spans="2:103" ht="6" customHeight="1" x14ac:dyDescent="0.25">
      <c r="B13" s="84" t="s">
        <v>50</v>
      </c>
      <c r="C13" s="84"/>
      <c r="D13" s="27"/>
      <c r="E13" s="28"/>
      <c r="F13" s="29"/>
      <c r="G13" s="29"/>
      <c r="H13" s="30"/>
      <c r="I13" s="28"/>
      <c r="J13" s="29"/>
      <c r="K13" s="29"/>
      <c r="L13" s="30"/>
      <c r="M13" s="28"/>
      <c r="N13" s="29"/>
      <c r="O13" s="29"/>
      <c r="P13" s="30"/>
      <c r="Q13" s="28"/>
      <c r="R13" s="29"/>
      <c r="S13" s="29"/>
      <c r="T13" s="30"/>
      <c r="U13" s="28"/>
      <c r="V13" s="29"/>
      <c r="W13" s="29"/>
      <c r="X13" s="30"/>
      <c r="Y13" s="28"/>
      <c r="Z13" s="29"/>
      <c r="AA13" s="29"/>
      <c r="AB13" s="30"/>
      <c r="AC13" s="28"/>
      <c r="AD13" s="29"/>
      <c r="AE13" s="29"/>
      <c r="AF13" s="30"/>
      <c r="AG13" s="28"/>
      <c r="AH13" s="29"/>
      <c r="AI13" s="29"/>
      <c r="AJ13" s="30"/>
      <c r="AK13" s="28"/>
      <c r="AL13" s="29"/>
      <c r="AM13" s="29"/>
      <c r="AN13" s="30"/>
      <c r="AO13" s="28"/>
      <c r="AP13" s="29"/>
      <c r="AQ13" s="29"/>
      <c r="AR13" s="30"/>
      <c r="AS13" s="28"/>
      <c r="AT13" s="29"/>
      <c r="AU13" s="29"/>
      <c r="AV13" s="30"/>
      <c r="AW13" s="28"/>
      <c r="AX13" s="29"/>
      <c r="AY13" s="29"/>
      <c r="AZ13" s="30"/>
      <c r="BB13" s="31"/>
      <c r="BC13" s="32"/>
      <c r="BD13" s="83">
        <f>IF(ISBLANK(B13),"",IF(BC14&gt;=BB14,3,IF(BC14=(BB14-1),2,1)))</f>
        <v>1</v>
      </c>
      <c r="BE13" s="5"/>
      <c r="BI13"/>
      <c r="BJ13"/>
      <c r="BK13"/>
      <c r="BL13"/>
      <c r="BM13"/>
      <c r="BN13"/>
      <c r="BO13"/>
      <c r="BP13"/>
      <c r="BQ13"/>
      <c r="BR13"/>
      <c r="BS13"/>
      <c r="BT13"/>
      <c r="BU13"/>
      <c r="CF13"/>
      <c r="CG13"/>
    </row>
    <row r="14" spans="2:103" ht="15" customHeight="1" x14ac:dyDescent="0.25">
      <c r="B14" s="84"/>
      <c r="C14" s="84"/>
      <c r="D14" s="27"/>
      <c r="E14" s="33"/>
      <c r="F14" s="34"/>
      <c r="G14" s="34"/>
      <c r="H14" s="35"/>
      <c r="I14" s="33"/>
      <c r="J14" s="34"/>
      <c r="K14" s="34"/>
      <c r="L14" s="35"/>
      <c r="M14" s="33"/>
      <c r="N14" s="34"/>
      <c r="O14" s="34"/>
      <c r="P14" s="35"/>
      <c r="Q14" s="33"/>
      <c r="R14" s="34"/>
      <c r="S14" s="34"/>
      <c r="T14" s="35"/>
      <c r="U14" s="33"/>
      <c r="V14" s="34"/>
      <c r="W14" s="34"/>
      <c r="X14" s="35"/>
      <c r="Y14" s="33"/>
      <c r="Z14" s="34"/>
      <c r="AA14" s="34"/>
      <c r="AB14" s="35"/>
      <c r="AC14" s="33"/>
      <c r="AD14" s="34"/>
      <c r="AE14" s="34"/>
      <c r="AF14" s="35"/>
      <c r="AG14" s="33"/>
      <c r="AH14" s="34"/>
      <c r="AI14" s="34"/>
      <c r="AJ14" s="35"/>
      <c r="AK14" s="33"/>
      <c r="AL14" s="34"/>
      <c r="AM14" s="34"/>
      <c r="AN14" s="35"/>
      <c r="AO14" s="33"/>
      <c r="AP14" s="34"/>
      <c r="AQ14" s="34"/>
      <c r="AR14" s="35"/>
      <c r="AS14" s="33"/>
      <c r="AT14" s="34"/>
      <c r="AU14" s="34"/>
      <c r="AV14" s="35"/>
      <c r="AW14" s="33"/>
      <c r="AX14" s="34"/>
      <c r="AY14" s="34"/>
      <c r="AZ14" s="35"/>
      <c r="BB14" s="36">
        <v>3</v>
      </c>
      <c r="BC14" s="37">
        <f>IF(ISBLANK(B13),"",COUNTIF(B16:AZ16,"&gt;=3"))</f>
        <v>0</v>
      </c>
      <c r="BD14" s="83"/>
      <c r="BE14" s="20"/>
      <c r="BI14"/>
      <c r="BJ14"/>
      <c r="BK14"/>
      <c r="BL14"/>
      <c r="BM14"/>
      <c r="BN14"/>
      <c r="BO14"/>
      <c r="BP14"/>
      <c r="BQ14"/>
      <c r="BR14"/>
      <c r="BS14"/>
      <c r="BT14"/>
      <c r="BU14"/>
      <c r="CF14"/>
      <c r="CG14"/>
    </row>
    <row r="15" spans="2:103" ht="15" customHeight="1" x14ac:dyDescent="0.25">
      <c r="B15" s="84"/>
      <c r="C15" s="84"/>
      <c r="D15" s="27"/>
      <c r="E15" s="33"/>
      <c r="F15" s="34"/>
      <c r="G15" s="34"/>
      <c r="H15" s="35"/>
      <c r="I15" s="33"/>
      <c r="J15" s="34"/>
      <c r="K15" s="34"/>
      <c r="L15" s="35"/>
      <c r="M15" s="33"/>
      <c r="N15" s="34"/>
      <c r="O15" s="34"/>
      <c r="P15" s="35"/>
      <c r="Q15" s="33"/>
      <c r="R15" s="34"/>
      <c r="S15" s="34"/>
      <c r="T15" s="35"/>
      <c r="U15" s="33"/>
      <c r="V15" s="34"/>
      <c r="W15" s="34"/>
      <c r="X15" s="35"/>
      <c r="Y15" s="33"/>
      <c r="Z15" s="34"/>
      <c r="AA15" s="34"/>
      <c r="AB15" s="35"/>
      <c r="AC15" s="33"/>
      <c r="AD15" s="34"/>
      <c r="AE15" s="34"/>
      <c r="AF15" s="35"/>
      <c r="AG15" s="33"/>
      <c r="AH15" s="34"/>
      <c r="AI15" s="34"/>
      <c r="AJ15" s="35"/>
      <c r="AK15" s="33"/>
      <c r="AL15" s="34"/>
      <c r="AM15" s="34"/>
      <c r="AN15" s="35"/>
      <c r="AO15" s="33"/>
      <c r="AP15" s="34"/>
      <c r="AQ15" s="34"/>
      <c r="AR15" s="35"/>
      <c r="AS15" s="33"/>
      <c r="AT15" s="34"/>
      <c r="AU15" s="34"/>
      <c r="AV15" s="35"/>
      <c r="AW15" s="33"/>
      <c r="AX15" s="34"/>
      <c r="AY15" s="34"/>
      <c r="AZ15" s="35"/>
      <c r="BB15" s="81" t="str">
        <f>IF(ISBLANK(B13),"","personas cualificadas")</f>
        <v>personas cualificadas</v>
      </c>
      <c r="BC15" s="81" t="str">
        <f>IF(ISBLANK(B13),"","personas cualificadas")</f>
        <v>personas cualificadas</v>
      </c>
      <c r="BD15" s="83"/>
      <c r="BE15" s="20"/>
      <c r="BI15"/>
      <c r="BJ15"/>
      <c r="BM15"/>
      <c r="BN15"/>
      <c r="BO15"/>
      <c r="BP15"/>
      <c r="BQ15"/>
      <c r="BR15"/>
      <c r="BS15"/>
      <c r="BT15"/>
      <c r="BU15"/>
      <c r="CF15"/>
      <c r="CG15"/>
    </row>
    <row r="16" spans="2:103" x14ac:dyDescent="0.25">
      <c r="B16" s="84"/>
      <c r="C16" s="84"/>
      <c r="D16" s="27"/>
      <c r="E16" s="69"/>
      <c r="F16" s="70"/>
      <c r="G16" s="70"/>
      <c r="H16" s="71"/>
      <c r="I16" s="69"/>
      <c r="J16" s="70"/>
      <c r="K16" s="70"/>
      <c r="L16" s="71"/>
      <c r="M16" s="69"/>
      <c r="N16" s="70"/>
      <c r="O16" s="70"/>
      <c r="P16" s="71"/>
      <c r="Q16" s="69"/>
      <c r="R16" s="70"/>
      <c r="S16" s="70"/>
      <c r="T16" s="71"/>
      <c r="U16" s="69">
        <v>2</v>
      </c>
      <c r="V16" s="70"/>
      <c r="W16" s="70"/>
      <c r="X16" s="71"/>
      <c r="Y16" s="69"/>
      <c r="Z16" s="70"/>
      <c r="AA16" s="70"/>
      <c r="AB16" s="71"/>
      <c r="AC16" s="69"/>
      <c r="AD16" s="70"/>
      <c r="AE16" s="70"/>
      <c r="AF16" s="71"/>
      <c r="AG16" s="69"/>
      <c r="AH16" s="70"/>
      <c r="AI16" s="70"/>
      <c r="AJ16" s="71"/>
      <c r="AK16" s="69"/>
      <c r="AL16" s="70"/>
      <c r="AM16" s="70"/>
      <c r="AN16" s="71"/>
      <c r="AO16" s="69"/>
      <c r="AP16" s="70"/>
      <c r="AQ16" s="70"/>
      <c r="AR16" s="71"/>
      <c r="AS16" s="69"/>
      <c r="AT16" s="70"/>
      <c r="AU16" s="70"/>
      <c r="AV16" s="71"/>
      <c r="AW16" s="69"/>
      <c r="AX16" s="70"/>
      <c r="AY16" s="70"/>
      <c r="AZ16" s="71"/>
      <c r="BA16" s="38"/>
      <c r="BB16" s="82"/>
      <c r="BC16" s="82"/>
      <c r="BD16" s="83"/>
      <c r="BE16" s="20"/>
      <c r="BI16"/>
      <c r="BJ16"/>
      <c r="BM16"/>
      <c r="BN16"/>
      <c r="BO16"/>
      <c r="BP16"/>
      <c r="BQ16"/>
      <c r="BR16"/>
      <c r="BS16"/>
      <c r="BT16"/>
      <c r="BU16"/>
      <c r="CF16"/>
      <c r="CG16"/>
    </row>
    <row r="17" spans="2:85" ht="6" customHeight="1" x14ac:dyDescent="0.25">
      <c r="B17" s="84" t="s">
        <v>51</v>
      </c>
      <c r="C17" s="84"/>
      <c r="D17" s="27"/>
      <c r="E17" s="28"/>
      <c r="F17" s="29"/>
      <c r="G17" s="29"/>
      <c r="H17" s="30"/>
      <c r="I17" s="28"/>
      <c r="J17" s="29"/>
      <c r="K17" s="29"/>
      <c r="L17" s="30"/>
      <c r="M17" s="28"/>
      <c r="N17" s="29"/>
      <c r="O17" s="29"/>
      <c r="P17" s="30"/>
      <c r="Q17" s="28"/>
      <c r="R17" s="29"/>
      <c r="S17" s="29"/>
      <c r="T17" s="30"/>
      <c r="U17" s="28"/>
      <c r="V17" s="29"/>
      <c r="W17" s="29"/>
      <c r="X17" s="30"/>
      <c r="Y17" s="28"/>
      <c r="Z17" s="29"/>
      <c r="AA17" s="29"/>
      <c r="AB17" s="30"/>
      <c r="AC17" s="28"/>
      <c r="AD17" s="29"/>
      <c r="AE17" s="29"/>
      <c r="AF17" s="30"/>
      <c r="AG17" s="28"/>
      <c r="AH17" s="29"/>
      <c r="AI17" s="29"/>
      <c r="AJ17" s="30"/>
      <c r="AK17" s="28"/>
      <c r="AL17" s="29"/>
      <c r="AM17" s="29"/>
      <c r="AN17" s="30"/>
      <c r="AO17" s="28"/>
      <c r="AP17" s="29"/>
      <c r="AQ17" s="29"/>
      <c r="AR17" s="30"/>
      <c r="AS17" s="28"/>
      <c r="AT17" s="29"/>
      <c r="AU17" s="29"/>
      <c r="AV17" s="30"/>
      <c r="AW17" s="28"/>
      <c r="AX17" s="29"/>
      <c r="AY17" s="29"/>
      <c r="AZ17" s="30"/>
      <c r="BB17" s="31"/>
      <c r="BC17" s="32"/>
      <c r="BD17" s="83">
        <f>IF(ISBLANK(B17),"",IF(BC18&gt;=BB18,3,IF(BC18=(BB18-1),2,1)))</f>
        <v>1</v>
      </c>
      <c r="BE17" s="20"/>
      <c r="BH17"/>
      <c r="BI17"/>
      <c r="BJ17"/>
      <c r="BK17"/>
      <c r="BL17"/>
      <c r="BM17"/>
      <c r="BN17"/>
      <c r="BO17"/>
      <c r="BP17"/>
      <c r="BQ17"/>
      <c r="BR17"/>
      <c r="BS17"/>
      <c r="BT17"/>
      <c r="BU17"/>
      <c r="CF17"/>
      <c r="CG17"/>
    </row>
    <row r="18" spans="2:85" ht="15" customHeight="1" x14ac:dyDescent="0.25">
      <c r="B18" s="84"/>
      <c r="C18" s="84"/>
      <c r="D18" s="27"/>
      <c r="E18" s="33"/>
      <c r="F18" s="34"/>
      <c r="G18" s="34"/>
      <c r="H18" s="35"/>
      <c r="I18" s="33"/>
      <c r="J18" s="34"/>
      <c r="K18" s="34"/>
      <c r="L18" s="35"/>
      <c r="M18" s="33"/>
      <c r="N18" s="34"/>
      <c r="O18" s="34"/>
      <c r="P18" s="35"/>
      <c r="Q18" s="33"/>
      <c r="R18" s="136"/>
      <c r="S18" s="34"/>
      <c r="T18" s="35"/>
      <c r="U18" s="33"/>
      <c r="V18" s="34"/>
      <c r="W18" s="34"/>
      <c r="X18" s="35"/>
      <c r="Y18" s="33"/>
      <c r="Z18" s="34"/>
      <c r="AA18" s="34"/>
      <c r="AB18" s="35"/>
      <c r="AC18" s="33"/>
      <c r="AD18" s="34"/>
      <c r="AE18" s="34"/>
      <c r="AF18" s="35"/>
      <c r="AG18" s="33"/>
      <c r="AH18" s="34"/>
      <c r="AI18" s="34"/>
      <c r="AJ18" s="35"/>
      <c r="AK18" s="33"/>
      <c r="AL18" s="34"/>
      <c r="AM18" s="34"/>
      <c r="AN18" s="35"/>
      <c r="AO18" s="33"/>
      <c r="AP18" s="34"/>
      <c r="AQ18" s="34"/>
      <c r="AR18" s="35"/>
      <c r="AS18" s="33"/>
      <c r="AT18" s="34"/>
      <c r="AU18" s="34"/>
      <c r="AV18" s="35"/>
      <c r="AW18" s="33"/>
      <c r="AX18" s="34"/>
      <c r="AY18" s="34"/>
      <c r="AZ18" s="35"/>
      <c r="BB18" s="36">
        <v>4</v>
      </c>
      <c r="BC18" s="37">
        <f>IF(ISBLANK(B17),"",COUNTIF(B20:AZ20,"&gt;=3"))</f>
        <v>1</v>
      </c>
      <c r="BD18" s="83"/>
      <c r="BE18" s="20"/>
      <c r="BH18"/>
      <c r="BI18"/>
      <c r="BJ18"/>
      <c r="BK18"/>
      <c r="BL18"/>
      <c r="BM18"/>
      <c r="BN18"/>
      <c r="BO18"/>
      <c r="BP18"/>
      <c r="BQ18"/>
      <c r="BR18"/>
      <c r="BS18"/>
      <c r="BT18"/>
      <c r="BU18"/>
      <c r="CF18"/>
      <c r="CG18"/>
    </row>
    <row r="19" spans="2:85" ht="15" customHeight="1" x14ac:dyDescent="0.25">
      <c r="B19" s="84"/>
      <c r="C19" s="84"/>
      <c r="D19" s="27"/>
      <c r="E19" s="33"/>
      <c r="F19" s="34"/>
      <c r="G19" s="34"/>
      <c r="H19" s="35"/>
      <c r="I19" s="33"/>
      <c r="J19" s="34"/>
      <c r="K19" s="34"/>
      <c r="L19" s="35"/>
      <c r="M19" s="33"/>
      <c r="N19" s="34"/>
      <c r="O19" s="34"/>
      <c r="P19" s="35"/>
      <c r="Q19" s="33"/>
      <c r="R19" s="34"/>
      <c r="S19" s="34"/>
      <c r="T19" s="35"/>
      <c r="U19" s="33"/>
      <c r="V19" s="34"/>
      <c r="W19" s="34"/>
      <c r="X19" s="35"/>
      <c r="Y19" s="33"/>
      <c r="Z19" s="34"/>
      <c r="AA19" s="34"/>
      <c r="AB19" s="35"/>
      <c r="AC19" s="33"/>
      <c r="AD19" s="34"/>
      <c r="AE19" s="34"/>
      <c r="AF19" s="35"/>
      <c r="AG19" s="33"/>
      <c r="AH19" s="34"/>
      <c r="AI19" s="34"/>
      <c r="AJ19" s="35"/>
      <c r="AK19" s="33"/>
      <c r="AL19" s="34"/>
      <c r="AM19" s="34"/>
      <c r="AN19" s="35"/>
      <c r="AO19" s="33"/>
      <c r="AP19" s="34"/>
      <c r="AQ19" s="34"/>
      <c r="AR19" s="35"/>
      <c r="AS19" s="33"/>
      <c r="AT19" s="34"/>
      <c r="AU19" s="34"/>
      <c r="AV19" s="35"/>
      <c r="AW19" s="33"/>
      <c r="AX19" s="34"/>
      <c r="AY19" s="34"/>
      <c r="AZ19" s="35"/>
      <c r="BB19" s="81" t="str">
        <f>IF(ISBLANK(B17),"","personas cualificadas")</f>
        <v>personas cualificadas</v>
      </c>
      <c r="BC19" s="81" t="str">
        <f>IF(ISBLANK(B17),"","personas cualificadas")</f>
        <v>personas cualificadas</v>
      </c>
      <c r="BD19" s="83"/>
      <c r="BE19" s="20"/>
      <c r="BH19"/>
      <c r="BI19"/>
      <c r="BJ19"/>
      <c r="BK19"/>
      <c r="BL19"/>
      <c r="BM19"/>
      <c r="BN19"/>
      <c r="BO19"/>
      <c r="BP19"/>
      <c r="BQ19"/>
      <c r="BR19"/>
      <c r="BS19"/>
      <c r="BT19"/>
      <c r="BU19"/>
      <c r="CF19"/>
      <c r="CG19"/>
    </row>
    <row r="20" spans="2:85" x14ac:dyDescent="0.25">
      <c r="B20" s="84"/>
      <c r="C20" s="84"/>
      <c r="D20" s="27"/>
      <c r="E20" s="69"/>
      <c r="F20" s="70"/>
      <c r="G20" s="70"/>
      <c r="H20" s="71"/>
      <c r="I20" s="69"/>
      <c r="J20" s="70"/>
      <c r="K20" s="70"/>
      <c r="L20" s="71"/>
      <c r="M20" s="69"/>
      <c r="N20" s="70"/>
      <c r="O20" s="70"/>
      <c r="P20" s="71"/>
      <c r="Q20" s="69">
        <v>1</v>
      </c>
      <c r="R20" s="70"/>
      <c r="S20" s="70"/>
      <c r="T20" s="71"/>
      <c r="U20" s="69">
        <v>4</v>
      </c>
      <c r="V20" s="70"/>
      <c r="W20" s="70"/>
      <c r="X20" s="71"/>
      <c r="Y20" s="69"/>
      <c r="Z20" s="70"/>
      <c r="AA20" s="70"/>
      <c r="AB20" s="71"/>
      <c r="AC20" s="69"/>
      <c r="AD20" s="70"/>
      <c r="AE20" s="70"/>
      <c r="AF20" s="71"/>
      <c r="AG20" s="69"/>
      <c r="AH20" s="70"/>
      <c r="AI20" s="70"/>
      <c r="AJ20" s="71"/>
      <c r="AK20" s="69"/>
      <c r="AL20" s="70"/>
      <c r="AM20" s="70"/>
      <c r="AN20" s="71"/>
      <c r="AO20" s="69"/>
      <c r="AP20" s="70"/>
      <c r="AQ20" s="70"/>
      <c r="AR20" s="71"/>
      <c r="AS20" s="69"/>
      <c r="AT20" s="70"/>
      <c r="AU20" s="70"/>
      <c r="AV20" s="71"/>
      <c r="AW20" s="69"/>
      <c r="AX20" s="70"/>
      <c r="AY20" s="70"/>
      <c r="AZ20" s="71"/>
      <c r="BA20" s="38"/>
      <c r="BB20" s="82"/>
      <c r="BC20" s="82"/>
      <c r="BD20" s="83"/>
      <c r="BE20" s="20"/>
      <c r="BH20"/>
      <c r="BI20"/>
      <c r="BJ20"/>
      <c r="BK20"/>
      <c r="BL20"/>
      <c r="BM20"/>
      <c r="BN20"/>
      <c r="BO20"/>
      <c r="BP20"/>
      <c r="BQ20"/>
      <c r="BR20"/>
      <c r="BS20"/>
      <c r="BT20"/>
      <c r="BU20"/>
      <c r="CF20"/>
      <c r="CG20"/>
    </row>
    <row r="21" spans="2:85" ht="6" customHeight="1" x14ac:dyDescent="0.25">
      <c r="B21" s="84" t="s">
        <v>52</v>
      </c>
      <c r="C21" s="84"/>
      <c r="D21" s="27"/>
      <c r="E21" s="28"/>
      <c r="F21" s="29"/>
      <c r="G21" s="29"/>
      <c r="H21" s="30"/>
      <c r="I21" s="28"/>
      <c r="J21" s="29"/>
      <c r="K21" s="29"/>
      <c r="L21" s="30"/>
      <c r="M21" s="28"/>
      <c r="N21" s="29"/>
      <c r="O21" s="29"/>
      <c r="P21" s="30"/>
      <c r="Q21" s="28"/>
      <c r="R21" s="29"/>
      <c r="S21" s="29"/>
      <c r="T21" s="30"/>
      <c r="U21" s="28"/>
      <c r="V21" s="29"/>
      <c r="W21" s="29"/>
      <c r="X21" s="30"/>
      <c r="Y21" s="28"/>
      <c r="Z21" s="29"/>
      <c r="AA21" s="29"/>
      <c r="AB21" s="30"/>
      <c r="AC21" s="28"/>
      <c r="AD21" s="29"/>
      <c r="AE21" s="29"/>
      <c r="AF21" s="30"/>
      <c r="AG21" s="28"/>
      <c r="AH21" s="29"/>
      <c r="AI21" s="29"/>
      <c r="AJ21" s="30"/>
      <c r="AK21" s="28"/>
      <c r="AL21" s="29"/>
      <c r="AM21" s="29"/>
      <c r="AN21" s="30"/>
      <c r="AO21" s="28"/>
      <c r="AP21" s="29"/>
      <c r="AQ21" s="29"/>
      <c r="AR21" s="30"/>
      <c r="AS21" s="28"/>
      <c r="AT21" s="29"/>
      <c r="AU21" s="29"/>
      <c r="AV21" s="30"/>
      <c r="AW21" s="28"/>
      <c r="AX21" s="29"/>
      <c r="AY21" s="29"/>
      <c r="AZ21" s="30"/>
      <c r="BB21" s="31"/>
      <c r="BC21" s="32"/>
      <c r="BD21" s="83">
        <f>IF(ISBLANK(B21),"",IF(BC22&gt;=BB22,3,IF(BC22=(BB22-1),2,1)))</f>
        <v>1</v>
      </c>
      <c r="BE21" s="20"/>
      <c r="BH21"/>
      <c r="BI21"/>
      <c r="BJ21"/>
      <c r="BK21"/>
      <c r="BL21"/>
      <c r="BM21"/>
      <c r="BN21"/>
      <c r="BO21"/>
      <c r="BP21"/>
      <c r="BQ21"/>
      <c r="BR21"/>
      <c r="BS21"/>
      <c r="BT21"/>
      <c r="BU21"/>
      <c r="CF21"/>
      <c r="CG21"/>
    </row>
    <row r="22" spans="2:85" ht="15" customHeight="1" x14ac:dyDescent="0.25">
      <c r="B22" s="84"/>
      <c r="C22" s="84"/>
      <c r="D22" s="27"/>
      <c r="E22" s="33"/>
      <c r="F22" s="34"/>
      <c r="G22" s="34"/>
      <c r="H22" s="35"/>
      <c r="I22" s="33"/>
      <c r="J22" s="34"/>
      <c r="K22" s="34"/>
      <c r="L22" s="35"/>
      <c r="M22" s="33"/>
      <c r="N22" s="56"/>
      <c r="O22" s="135"/>
      <c r="P22" s="35"/>
      <c r="Q22" s="33"/>
      <c r="R22" s="34"/>
      <c r="S22" s="34"/>
      <c r="T22" s="35"/>
      <c r="U22" s="33"/>
      <c r="V22" s="34"/>
      <c r="W22" s="34"/>
      <c r="X22" s="35"/>
      <c r="Y22" s="33"/>
      <c r="Z22" s="34"/>
      <c r="AA22" s="34"/>
      <c r="AB22" s="35"/>
      <c r="AC22" s="33"/>
      <c r="AD22" s="34"/>
      <c r="AE22" s="34"/>
      <c r="AF22" s="35"/>
      <c r="AG22" s="33"/>
      <c r="AH22" s="34"/>
      <c r="AI22" s="34"/>
      <c r="AJ22" s="35"/>
      <c r="AK22" s="33"/>
      <c r="AL22" s="34"/>
      <c r="AM22" s="34"/>
      <c r="AN22" s="35"/>
      <c r="AO22" s="33"/>
      <c r="AP22" s="34"/>
      <c r="AQ22" s="34"/>
      <c r="AR22" s="35"/>
      <c r="AS22" s="33"/>
      <c r="AT22" s="34"/>
      <c r="AU22" s="34"/>
      <c r="AV22" s="35"/>
      <c r="AW22" s="33"/>
      <c r="AX22" s="34"/>
      <c r="AY22" s="34"/>
      <c r="AZ22" s="35"/>
      <c r="BB22" s="36">
        <v>4</v>
      </c>
      <c r="BC22" s="37">
        <f>IF(ISBLANK(B21),"",COUNTIF(B24:AZ24,"&gt;=3"))</f>
        <v>1</v>
      </c>
      <c r="BD22" s="83"/>
      <c r="BE22" s="20"/>
      <c r="BH22"/>
      <c r="BI22"/>
      <c r="BJ22"/>
      <c r="BK22"/>
      <c r="BL22"/>
      <c r="BM22"/>
      <c r="BN22"/>
      <c r="BO22"/>
      <c r="BP22"/>
      <c r="BQ22"/>
      <c r="BR22"/>
      <c r="BS22"/>
      <c r="BT22"/>
      <c r="BU22"/>
      <c r="CF22"/>
      <c r="CG22"/>
    </row>
    <row r="23" spans="2:85" ht="15" customHeight="1" x14ac:dyDescent="0.25">
      <c r="B23" s="84"/>
      <c r="C23" s="84"/>
      <c r="D23" s="27"/>
      <c r="E23" s="33"/>
      <c r="F23" s="34"/>
      <c r="G23" s="34"/>
      <c r="H23" s="35"/>
      <c r="I23" s="33"/>
      <c r="J23" s="34"/>
      <c r="K23" s="34"/>
      <c r="L23" s="35"/>
      <c r="M23" s="33"/>
      <c r="N23" s="56"/>
      <c r="O23" s="56"/>
      <c r="P23" s="35"/>
      <c r="Q23" s="33"/>
      <c r="R23" s="34"/>
      <c r="S23" s="34"/>
      <c r="T23" s="35"/>
      <c r="U23" s="33"/>
      <c r="V23" s="34"/>
      <c r="W23" s="34"/>
      <c r="X23" s="35"/>
      <c r="Y23" s="33"/>
      <c r="Z23" s="34"/>
      <c r="AA23" s="34"/>
      <c r="AB23" s="35"/>
      <c r="AC23" s="33"/>
      <c r="AD23" s="34"/>
      <c r="AE23" s="34"/>
      <c r="AF23" s="35"/>
      <c r="AG23" s="33"/>
      <c r="AH23" s="34"/>
      <c r="AI23" s="34"/>
      <c r="AJ23" s="35"/>
      <c r="AK23" s="33"/>
      <c r="AL23" s="34"/>
      <c r="AM23" s="34"/>
      <c r="AN23" s="35"/>
      <c r="AO23" s="33"/>
      <c r="AP23" s="34"/>
      <c r="AQ23" s="34"/>
      <c r="AR23" s="35"/>
      <c r="AS23" s="33"/>
      <c r="AT23" s="34"/>
      <c r="AU23" s="34"/>
      <c r="AV23" s="35"/>
      <c r="AW23" s="33"/>
      <c r="AX23" s="34"/>
      <c r="AY23" s="34"/>
      <c r="AZ23" s="35"/>
      <c r="BB23" s="81" t="str">
        <f>IF(ISBLANK(B21),"","personas cualificadas")</f>
        <v>personas cualificadas</v>
      </c>
      <c r="BC23" s="81" t="str">
        <f>IF(ISBLANK(B21),"","personas cualificadas")</f>
        <v>personas cualificadas</v>
      </c>
      <c r="BD23" s="83"/>
      <c r="BE23" s="20"/>
      <c r="BH23"/>
      <c r="BI23"/>
      <c r="BJ23"/>
      <c r="BK23"/>
      <c r="BL23"/>
      <c r="BM23"/>
      <c r="BN23"/>
      <c r="BO23"/>
      <c r="BP23"/>
      <c r="BQ23"/>
      <c r="BR23"/>
      <c r="BS23"/>
      <c r="BT23"/>
      <c r="BU23"/>
      <c r="CF23"/>
      <c r="CG23"/>
    </row>
    <row r="24" spans="2:85" x14ac:dyDescent="0.25">
      <c r="B24" s="84"/>
      <c r="C24" s="84"/>
      <c r="D24" s="27"/>
      <c r="E24" s="69"/>
      <c r="F24" s="70"/>
      <c r="G24" s="70"/>
      <c r="H24" s="71"/>
      <c r="I24" s="69"/>
      <c r="J24" s="70"/>
      <c r="K24" s="70"/>
      <c r="L24" s="71"/>
      <c r="M24" s="69">
        <v>2</v>
      </c>
      <c r="N24" s="70"/>
      <c r="O24" s="70"/>
      <c r="P24" s="71"/>
      <c r="Q24" s="69"/>
      <c r="R24" s="70"/>
      <c r="S24" s="70"/>
      <c r="T24" s="71"/>
      <c r="U24" s="69">
        <v>4</v>
      </c>
      <c r="V24" s="70"/>
      <c r="W24" s="70"/>
      <c r="X24" s="71"/>
      <c r="Y24" s="69"/>
      <c r="Z24" s="70"/>
      <c r="AA24" s="70"/>
      <c r="AB24" s="71"/>
      <c r="AC24" s="69"/>
      <c r="AD24" s="70"/>
      <c r="AE24" s="70"/>
      <c r="AF24" s="71"/>
      <c r="AG24" s="69"/>
      <c r="AH24" s="70"/>
      <c r="AI24" s="70"/>
      <c r="AJ24" s="71"/>
      <c r="AK24" s="69"/>
      <c r="AL24" s="70"/>
      <c r="AM24" s="70"/>
      <c r="AN24" s="71"/>
      <c r="AO24" s="69"/>
      <c r="AP24" s="70"/>
      <c r="AQ24" s="70"/>
      <c r="AR24" s="71"/>
      <c r="AS24" s="69"/>
      <c r="AT24" s="70"/>
      <c r="AU24" s="70"/>
      <c r="AV24" s="71"/>
      <c r="AW24" s="69"/>
      <c r="AX24" s="70"/>
      <c r="AY24" s="70"/>
      <c r="AZ24" s="71"/>
      <c r="BA24" s="38"/>
      <c r="BB24" s="82"/>
      <c r="BC24" s="82"/>
      <c r="BD24" s="83"/>
      <c r="BE24" s="20"/>
      <c r="BH24"/>
      <c r="BI24"/>
      <c r="BJ24"/>
      <c r="BK24"/>
      <c r="BL24"/>
      <c r="BM24"/>
      <c r="BN24"/>
      <c r="BO24"/>
      <c r="BP24"/>
      <c r="BQ24"/>
      <c r="BR24"/>
      <c r="BS24"/>
      <c r="BT24"/>
      <c r="BU24"/>
      <c r="CF24"/>
      <c r="CG24"/>
    </row>
    <row r="25" spans="2:85" ht="6" customHeight="1" x14ac:dyDescent="0.25">
      <c r="B25" s="84" t="s">
        <v>53</v>
      </c>
      <c r="C25" s="84"/>
      <c r="D25" s="27"/>
      <c r="E25" s="28"/>
      <c r="F25" s="29"/>
      <c r="G25" s="29"/>
      <c r="H25" s="30"/>
      <c r="I25" s="28"/>
      <c r="J25" s="29"/>
      <c r="K25" s="29"/>
      <c r="L25" s="30"/>
      <c r="M25" s="28"/>
      <c r="N25" s="29"/>
      <c r="O25" s="29"/>
      <c r="P25" s="30"/>
      <c r="Q25" s="28"/>
      <c r="R25" s="29"/>
      <c r="S25" s="29"/>
      <c r="T25" s="30"/>
      <c r="U25" s="28"/>
      <c r="V25" s="29"/>
      <c r="W25" s="29"/>
      <c r="X25" s="30"/>
      <c r="Y25" s="28"/>
      <c r="Z25" s="29"/>
      <c r="AA25" s="29"/>
      <c r="AB25" s="30"/>
      <c r="AC25" s="28"/>
      <c r="AD25" s="29"/>
      <c r="AE25" s="29"/>
      <c r="AF25" s="30"/>
      <c r="AG25" s="28"/>
      <c r="AH25" s="29"/>
      <c r="AI25" s="29"/>
      <c r="AJ25" s="30"/>
      <c r="AK25" s="28"/>
      <c r="AL25" s="29"/>
      <c r="AM25" s="29"/>
      <c r="AN25" s="30"/>
      <c r="AO25" s="28"/>
      <c r="AP25" s="29"/>
      <c r="AQ25" s="29"/>
      <c r="AR25" s="30"/>
      <c r="AS25" s="28"/>
      <c r="AT25" s="29"/>
      <c r="AU25" s="29"/>
      <c r="AV25" s="30"/>
      <c r="AW25" s="28"/>
      <c r="AX25" s="29"/>
      <c r="AY25" s="29"/>
      <c r="AZ25" s="30"/>
      <c r="BB25" s="31"/>
      <c r="BC25" s="32"/>
      <c r="BD25" s="83">
        <f>IF(ISBLANK(B25),"",IF(BC26&gt;=BB26,3,IF(BC26=(BB26-1),2,1)))</f>
        <v>1</v>
      </c>
      <c r="BE25" s="20"/>
      <c r="BH25"/>
      <c r="BI25"/>
      <c r="BJ25"/>
      <c r="BK25"/>
      <c r="BL25"/>
      <c r="BM25"/>
      <c r="BN25"/>
      <c r="BO25"/>
      <c r="BP25"/>
      <c r="BQ25"/>
      <c r="BR25"/>
      <c r="BS25"/>
      <c r="BT25"/>
      <c r="BU25"/>
      <c r="CF25"/>
      <c r="CG25"/>
    </row>
    <row r="26" spans="2:85" ht="15" customHeight="1" x14ac:dyDescent="0.25">
      <c r="B26" s="84"/>
      <c r="C26" s="84"/>
      <c r="D26" s="27"/>
      <c r="E26" s="33"/>
      <c r="F26" s="34"/>
      <c r="G26" s="34"/>
      <c r="H26" s="35"/>
      <c r="I26" s="33"/>
      <c r="J26" s="34"/>
      <c r="K26" s="34"/>
      <c r="L26" s="35"/>
      <c r="M26" s="33"/>
      <c r="N26" s="34"/>
      <c r="O26" s="34"/>
      <c r="P26" s="35"/>
      <c r="Q26" s="33"/>
      <c r="R26" s="34"/>
      <c r="S26" s="34"/>
      <c r="T26" s="35"/>
      <c r="U26" s="33"/>
      <c r="V26" s="34"/>
      <c r="W26" s="34"/>
      <c r="X26" s="35"/>
      <c r="Y26" s="33"/>
      <c r="Z26" s="34"/>
      <c r="AA26" s="34"/>
      <c r="AB26" s="35"/>
      <c r="AC26" s="33"/>
      <c r="AD26" s="34"/>
      <c r="AE26" s="34"/>
      <c r="AF26" s="35"/>
      <c r="AG26" s="33"/>
      <c r="AH26" s="34"/>
      <c r="AI26" s="34"/>
      <c r="AJ26" s="35"/>
      <c r="AK26" s="33"/>
      <c r="AL26" s="34"/>
      <c r="AM26" s="34"/>
      <c r="AN26" s="35"/>
      <c r="AO26" s="33"/>
      <c r="AP26" s="34"/>
      <c r="AQ26" s="34"/>
      <c r="AR26" s="35"/>
      <c r="AS26" s="33"/>
      <c r="AT26" s="34"/>
      <c r="AU26" s="34"/>
      <c r="AV26" s="35"/>
      <c r="AW26" s="33"/>
      <c r="AX26" s="34"/>
      <c r="AY26" s="34"/>
      <c r="AZ26" s="35"/>
      <c r="BB26" s="36">
        <v>4</v>
      </c>
      <c r="BC26" s="37">
        <f>IF(ISBLANK(B25),"",COUNTIF(B28:AZ28,"&gt;=3"))</f>
        <v>2</v>
      </c>
      <c r="BD26" s="83"/>
      <c r="BE26" s="20"/>
      <c r="BH26"/>
      <c r="BI26"/>
      <c r="BJ26"/>
      <c r="BK26"/>
      <c r="BL26"/>
      <c r="BM26"/>
      <c r="BN26"/>
      <c r="BO26"/>
      <c r="BP26"/>
      <c r="BQ26"/>
      <c r="BR26"/>
      <c r="BS26"/>
      <c r="BT26"/>
      <c r="BU26"/>
      <c r="CF26"/>
      <c r="CG26"/>
    </row>
    <row r="27" spans="2:85" ht="15" customHeight="1" x14ac:dyDescent="0.25">
      <c r="B27" s="84"/>
      <c r="C27" s="84"/>
      <c r="D27" s="27"/>
      <c r="E27" s="33"/>
      <c r="F27" s="34"/>
      <c r="G27" s="34"/>
      <c r="H27" s="35"/>
      <c r="I27" s="33"/>
      <c r="J27" s="34"/>
      <c r="K27" s="34"/>
      <c r="L27" s="35"/>
      <c r="M27" s="33"/>
      <c r="N27" s="34"/>
      <c r="O27" s="34"/>
      <c r="P27" s="35"/>
      <c r="Q27" s="33"/>
      <c r="R27" s="34"/>
      <c r="S27" s="34"/>
      <c r="T27" s="35"/>
      <c r="U27" s="33"/>
      <c r="V27" s="34"/>
      <c r="W27" s="34"/>
      <c r="X27" s="35"/>
      <c r="Y27" s="33"/>
      <c r="Z27" s="34"/>
      <c r="AA27" s="34"/>
      <c r="AB27" s="35"/>
      <c r="AC27" s="33"/>
      <c r="AD27" s="34"/>
      <c r="AE27" s="34"/>
      <c r="AF27" s="35"/>
      <c r="AG27" s="33"/>
      <c r="AH27" s="34"/>
      <c r="AI27" s="34"/>
      <c r="AJ27" s="35"/>
      <c r="AK27" s="33"/>
      <c r="AL27" s="34"/>
      <c r="AM27" s="34"/>
      <c r="AN27" s="35"/>
      <c r="AO27" s="33"/>
      <c r="AP27" s="34"/>
      <c r="AQ27" s="34"/>
      <c r="AR27" s="35"/>
      <c r="AS27" s="33"/>
      <c r="AT27" s="34"/>
      <c r="AU27" s="34"/>
      <c r="AV27" s="35"/>
      <c r="AW27" s="33"/>
      <c r="AX27" s="34"/>
      <c r="AY27" s="34"/>
      <c r="AZ27" s="35"/>
      <c r="BB27" s="81" t="str">
        <f>IF(ISBLANK(B25),"","personas cualificadas")</f>
        <v>personas cualificadas</v>
      </c>
      <c r="BC27" s="81" t="str">
        <f>IF(ISBLANK(B25),"","personas cualificadas")</f>
        <v>personas cualificadas</v>
      </c>
      <c r="BD27" s="83"/>
      <c r="BE27" s="20"/>
      <c r="BH27"/>
      <c r="BI27"/>
      <c r="BJ27"/>
      <c r="BK27"/>
      <c r="BL27"/>
      <c r="BM27"/>
      <c r="BN27"/>
      <c r="BO27"/>
      <c r="BP27"/>
      <c r="BQ27"/>
      <c r="BR27"/>
      <c r="BS27"/>
      <c r="BT27"/>
      <c r="BU27"/>
      <c r="CF27"/>
      <c r="CG27"/>
    </row>
    <row r="28" spans="2:85" x14ac:dyDescent="0.25">
      <c r="B28" s="84"/>
      <c r="C28" s="84"/>
      <c r="D28" s="27"/>
      <c r="E28" s="69"/>
      <c r="F28" s="70"/>
      <c r="G28" s="70"/>
      <c r="H28" s="71"/>
      <c r="I28" s="69"/>
      <c r="J28" s="70"/>
      <c r="K28" s="70"/>
      <c r="L28" s="71"/>
      <c r="M28" s="69"/>
      <c r="N28" s="70"/>
      <c r="O28" s="70"/>
      <c r="P28" s="71"/>
      <c r="Q28" s="69"/>
      <c r="R28" s="70"/>
      <c r="S28" s="70"/>
      <c r="T28" s="71"/>
      <c r="U28" s="69"/>
      <c r="V28" s="70"/>
      <c r="W28" s="70"/>
      <c r="X28" s="71"/>
      <c r="Y28" s="69"/>
      <c r="Z28" s="70"/>
      <c r="AA28" s="70"/>
      <c r="AB28" s="71"/>
      <c r="AC28" s="69">
        <v>4</v>
      </c>
      <c r="AD28" s="70"/>
      <c r="AE28" s="70"/>
      <c r="AF28" s="71"/>
      <c r="AG28" s="69"/>
      <c r="AH28" s="70"/>
      <c r="AI28" s="70"/>
      <c r="AJ28" s="71"/>
      <c r="AK28" s="69">
        <v>4</v>
      </c>
      <c r="AL28" s="70"/>
      <c r="AM28" s="70"/>
      <c r="AN28" s="71"/>
      <c r="AO28" s="69">
        <v>2</v>
      </c>
      <c r="AP28" s="70"/>
      <c r="AQ28" s="70"/>
      <c r="AR28" s="71"/>
      <c r="AS28" s="69"/>
      <c r="AT28" s="70"/>
      <c r="AU28" s="70"/>
      <c r="AV28" s="71"/>
      <c r="AW28" s="69"/>
      <c r="AX28" s="70"/>
      <c r="AY28" s="70"/>
      <c r="AZ28" s="71"/>
      <c r="BA28" s="38"/>
      <c r="BB28" s="82"/>
      <c r="BC28" s="82"/>
      <c r="BD28" s="83"/>
      <c r="BE28" s="20"/>
      <c r="BH28"/>
      <c r="BI28"/>
      <c r="BJ28"/>
      <c r="BK28"/>
      <c r="BL28"/>
      <c r="BM28"/>
      <c r="BN28"/>
      <c r="BO28"/>
      <c r="BP28"/>
      <c r="BQ28"/>
      <c r="BR28"/>
      <c r="BS28"/>
      <c r="BT28"/>
      <c r="BU28"/>
      <c r="CF28"/>
      <c r="CG28"/>
    </row>
    <row r="29" spans="2:85" ht="6" customHeight="1" x14ac:dyDescent="0.25">
      <c r="B29" s="84" t="s">
        <v>54</v>
      </c>
      <c r="C29" s="84"/>
      <c r="D29" s="27"/>
      <c r="E29" s="28"/>
      <c r="F29" s="29"/>
      <c r="G29" s="29"/>
      <c r="H29" s="30"/>
      <c r="I29" s="28"/>
      <c r="J29" s="29"/>
      <c r="K29" s="29"/>
      <c r="L29" s="30"/>
      <c r="M29" s="28"/>
      <c r="N29" s="29"/>
      <c r="O29" s="29"/>
      <c r="P29" s="30"/>
      <c r="Q29" s="28"/>
      <c r="R29" s="29"/>
      <c r="S29" s="29"/>
      <c r="T29" s="30"/>
      <c r="U29" s="28"/>
      <c r="V29" s="29"/>
      <c r="W29" s="29"/>
      <c r="X29" s="30"/>
      <c r="Y29" s="28"/>
      <c r="Z29" s="29"/>
      <c r="AA29" s="29"/>
      <c r="AB29" s="30"/>
      <c r="AC29" s="28"/>
      <c r="AD29" s="29"/>
      <c r="AE29" s="29"/>
      <c r="AF29" s="30"/>
      <c r="AG29" s="28"/>
      <c r="AH29" s="29"/>
      <c r="AI29" s="29"/>
      <c r="AJ29" s="30"/>
      <c r="AK29" s="28"/>
      <c r="AL29" s="29"/>
      <c r="AM29" s="29"/>
      <c r="AN29" s="30"/>
      <c r="AO29" s="28"/>
      <c r="AP29" s="29"/>
      <c r="AQ29" s="29"/>
      <c r="AR29" s="30"/>
      <c r="AS29" s="28"/>
      <c r="AT29" s="29"/>
      <c r="AU29" s="29"/>
      <c r="AV29" s="30"/>
      <c r="AW29" s="28"/>
      <c r="AX29" s="29"/>
      <c r="AY29" s="29"/>
      <c r="AZ29" s="30"/>
      <c r="BB29" s="31"/>
      <c r="BC29" s="32"/>
      <c r="BD29" s="83">
        <f>IF(ISBLANK(B29),"",IF(BC30&gt;=BB30,3,IF(BC30=(BB30-1),2,1)))</f>
        <v>1</v>
      </c>
      <c r="BE29" s="20"/>
      <c r="BH29"/>
      <c r="BI29"/>
      <c r="BJ29"/>
      <c r="BK29"/>
      <c r="BL29"/>
      <c r="BM29"/>
      <c r="BN29"/>
      <c r="BO29"/>
      <c r="BP29"/>
      <c r="BQ29"/>
      <c r="BR29"/>
      <c r="BS29"/>
      <c r="BT29"/>
      <c r="BU29"/>
      <c r="CF29"/>
      <c r="CG29"/>
    </row>
    <row r="30" spans="2:85" ht="15" customHeight="1" x14ac:dyDescent="0.25">
      <c r="B30" s="84"/>
      <c r="C30" s="84"/>
      <c r="D30" s="27"/>
      <c r="E30" s="33"/>
      <c r="F30" s="34"/>
      <c r="G30" s="34"/>
      <c r="H30" s="35"/>
      <c r="I30" s="33"/>
      <c r="J30" s="34"/>
      <c r="K30" s="34"/>
      <c r="L30" s="35"/>
      <c r="M30" s="33"/>
      <c r="N30" s="34"/>
      <c r="O30" s="34"/>
      <c r="P30" s="35"/>
      <c r="Q30" s="33"/>
      <c r="R30" s="34"/>
      <c r="S30" s="34"/>
      <c r="T30" s="35"/>
      <c r="U30" s="33"/>
      <c r="V30" s="34"/>
      <c r="W30" s="34"/>
      <c r="X30" s="35"/>
      <c r="Y30" s="33"/>
      <c r="Z30" s="34"/>
      <c r="AA30" s="34"/>
      <c r="AB30" s="35"/>
      <c r="AC30" s="33"/>
      <c r="AD30" s="34"/>
      <c r="AE30" s="34"/>
      <c r="AF30" s="35"/>
      <c r="AG30" s="33"/>
      <c r="AH30" s="34"/>
      <c r="AI30" s="34"/>
      <c r="AJ30" s="35"/>
      <c r="AK30" s="33"/>
      <c r="AL30" s="34"/>
      <c r="AM30" s="34"/>
      <c r="AN30" s="35"/>
      <c r="AO30" s="33"/>
      <c r="AP30" s="34"/>
      <c r="AQ30" s="34"/>
      <c r="AR30" s="35"/>
      <c r="AS30" s="33"/>
      <c r="AT30" s="34"/>
      <c r="AU30" s="34"/>
      <c r="AV30" s="35"/>
      <c r="AW30" s="33"/>
      <c r="AX30" s="34"/>
      <c r="AY30" s="34"/>
      <c r="AZ30" s="35"/>
      <c r="BB30" s="36">
        <v>8</v>
      </c>
      <c r="BC30" s="37">
        <f>IF(ISBLANK(B29),"",COUNTIF(B32:AZ32,"&gt;=3"))</f>
        <v>5</v>
      </c>
      <c r="BD30" s="83"/>
      <c r="BE30" s="20"/>
      <c r="BH30"/>
      <c r="BI30"/>
      <c r="BJ30"/>
      <c r="BK30"/>
      <c r="BL30"/>
      <c r="BM30"/>
      <c r="BN30"/>
      <c r="BO30"/>
      <c r="BP30"/>
      <c r="BQ30"/>
      <c r="BR30"/>
      <c r="BS30"/>
      <c r="BT30"/>
      <c r="BU30"/>
      <c r="CF30"/>
      <c r="CG30"/>
    </row>
    <row r="31" spans="2:85" ht="15" customHeight="1" x14ac:dyDescent="0.25">
      <c r="B31" s="84"/>
      <c r="C31" s="84"/>
      <c r="D31" s="27"/>
      <c r="E31" s="33"/>
      <c r="F31" s="34"/>
      <c r="G31" s="34"/>
      <c r="H31" s="35"/>
      <c r="I31" s="33"/>
      <c r="J31" s="34"/>
      <c r="K31" s="34"/>
      <c r="L31" s="35"/>
      <c r="M31" s="33"/>
      <c r="N31" s="34"/>
      <c r="O31" s="34"/>
      <c r="P31" s="35"/>
      <c r="Q31" s="33"/>
      <c r="R31" s="34"/>
      <c r="S31" s="34"/>
      <c r="T31" s="35"/>
      <c r="U31" s="33"/>
      <c r="V31" s="34"/>
      <c r="W31" s="34"/>
      <c r="X31" s="35"/>
      <c r="Y31" s="33"/>
      <c r="Z31" s="34"/>
      <c r="AA31" s="34"/>
      <c r="AB31" s="35"/>
      <c r="AC31" s="33"/>
      <c r="AD31" s="34"/>
      <c r="AE31" s="34"/>
      <c r="AF31" s="35"/>
      <c r="AG31" s="33"/>
      <c r="AH31" s="34"/>
      <c r="AI31" s="34"/>
      <c r="AJ31" s="35"/>
      <c r="AK31" s="33"/>
      <c r="AL31" s="34"/>
      <c r="AM31" s="34"/>
      <c r="AN31" s="35"/>
      <c r="AO31" s="33"/>
      <c r="AP31" s="34"/>
      <c r="AQ31" s="34"/>
      <c r="AR31" s="35"/>
      <c r="AS31" s="33"/>
      <c r="AT31" s="34"/>
      <c r="AU31" s="34"/>
      <c r="AV31" s="35"/>
      <c r="AW31" s="33"/>
      <c r="AX31" s="34"/>
      <c r="AY31" s="34"/>
      <c r="AZ31" s="35"/>
      <c r="BB31" s="81" t="str">
        <f>IF(ISBLANK(B29),"","personas cualificadas")</f>
        <v>personas cualificadas</v>
      </c>
      <c r="BC31" s="81" t="str">
        <f>IF(ISBLANK(B29),"","personas cualificadas")</f>
        <v>personas cualificadas</v>
      </c>
      <c r="BD31" s="83"/>
      <c r="BE31" s="20"/>
      <c r="BH31"/>
      <c r="BI31"/>
      <c r="BJ31"/>
      <c r="BK31"/>
      <c r="BL31"/>
      <c r="BM31"/>
      <c r="BN31"/>
      <c r="BO31"/>
      <c r="BP31"/>
      <c r="BQ31"/>
      <c r="BR31"/>
      <c r="BS31"/>
      <c r="BT31"/>
      <c r="BU31"/>
      <c r="CF31"/>
      <c r="CG31"/>
    </row>
    <row r="32" spans="2:85" ht="14.45" customHeight="1" x14ac:dyDescent="0.25">
      <c r="B32" s="84"/>
      <c r="C32" s="84"/>
      <c r="D32" s="27"/>
      <c r="E32" s="69"/>
      <c r="F32" s="70"/>
      <c r="G32" s="70"/>
      <c r="H32" s="71"/>
      <c r="I32" s="69">
        <v>1</v>
      </c>
      <c r="J32" s="70"/>
      <c r="K32" s="70"/>
      <c r="L32" s="71"/>
      <c r="M32" s="69">
        <v>3</v>
      </c>
      <c r="N32" s="70"/>
      <c r="O32" s="70"/>
      <c r="P32" s="71"/>
      <c r="Q32" s="69"/>
      <c r="R32" s="70"/>
      <c r="S32" s="70"/>
      <c r="T32" s="71"/>
      <c r="U32" s="69"/>
      <c r="V32" s="70"/>
      <c r="W32" s="70"/>
      <c r="X32" s="71"/>
      <c r="Y32" s="69"/>
      <c r="Z32" s="70"/>
      <c r="AA32" s="70"/>
      <c r="AB32" s="71"/>
      <c r="AC32" s="69">
        <v>4</v>
      </c>
      <c r="AD32" s="70"/>
      <c r="AE32" s="70"/>
      <c r="AF32" s="71"/>
      <c r="AG32" s="69">
        <v>3</v>
      </c>
      <c r="AH32" s="70"/>
      <c r="AI32" s="70"/>
      <c r="AJ32" s="71"/>
      <c r="AK32" s="69">
        <v>4</v>
      </c>
      <c r="AL32" s="70"/>
      <c r="AM32" s="70"/>
      <c r="AN32" s="71"/>
      <c r="AO32" s="69">
        <v>4</v>
      </c>
      <c r="AP32" s="70"/>
      <c r="AQ32" s="70"/>
      <c r="AR32" s="71"/>
      <c r="AS32" s="69"/>
      <c r="AT32" s="70"/>
      <c r="AU32" s="70"/>
      <c r="AV32" s="71"/>
      <c r="AW32" s="69"/>
      <c r="AX32" s="70"/>
      <c r="AY32" s="70"/>
      <c r="AZ32" s="71"/>
      <c r="BA32" s="38"/>
      <c r="BB32" s="82"/>
      <c r="BC32" s="82"/>
      <c r="BD32" s="83"/>
      <c r="BE32" s="20"/>
      <c r="BH32"/>
      <c r="BI32"/>
      <c r="BJ32"/>
      <c r="BK32"/>
      <c r="BL32"/>
      <c r="BM32"/>
      <c r="BN32"/>
      <c r="BO32"/>
      <c r="BP32"/>
      <c r="BQ32"/>
      <c r="BR32"/>
      <c r="BS32"/>
      <c r="BT32"/>
      <c r="BU32"/>
      <c r="CF32"/>
      <c r="CG32"/>
    </row>
    <row r="33" spans="2:85" ht="6" customHeight="1" x14ac:dyDescent="0.25">
      <c r="B33" s="84" t="s">
        <v>55</v>
      </c>
      <c r="C33" s="84"/>
      <c r="D33" s="27"/>
      <c r="E33" s="28"/>
      <c r="F33" s="29"/>
      <c r="G33" s="29"/>
      <c r="H33" s="30"/>
      <c r="I33" s="28"/>
      <c r="J33" s="29"/>
      <c r="K33" s="29"/>
      <c r="L33" s="30"/>
      <c r="M33" s="28"/>
      <c r="N33" s="29"/>
      <c r="O33" s="29"/>
      <c r="P33" s="30"/>
      <c r="Q33" s="28"/>
      <c r="R33" s="29"/>
      <c r="S33" s="29"/>
      <c r="T33" s="30"/>
      <c r="U33" s="28"/>
      <c r="V33" s="29"/>
      <c r="W33" s="29"/>
      <c r="X33" s="30"/>
      <c r="Y33" s="28"/>
      <c r="Z33" s="29"/>
      <c r="AA33" s="29"/>
      <c r="AB33" s="30"/>
      <c r="AC33" s="28"/>
      <c r="AD33" s="29"/>
      <c r="AE33" s="29"/>
      <c r="AF33" s="30"/>
      <c r="AG33" s="28"/>
      <c r="AH33" s="29"/>
      <c r="AI33" s="29"/>
      <c r="AJ33" s="30"/>
      <c r="AK33" s="28"/>
      <c r="AL33" s="29"/>
      <c r="AM33" s="29"/>
      <c r="AN33" s="30"/>
      <c r="AO33" s="28"/>
      <c r="AP33" s="29"/>
      <c r="AQ33" s="29"/>
      <c r="AR33" s="30"/>
      <c r="AS33" s="28"/>
      <c r="AT33" s="29"/>
      <c r="AU33" s="29"/>
      <c r="AV33" s="30"/>
      <c r="AW33" s="28"/>
      <c r="AX33" s="29"/>
      <c r="AY33" s="29"/>
      <c r="AZ33" s="30"/>
      <c r="BB33" s="31"/>
      <c r="BC33" s="32"/>
      <c r="BD33" s="83">
        <f>IF(ISBLANK(B33),"",IF(BC34&gt;=BB34,3,IF(BC34=(BB34-1),2,1)))</f>
        <v>1</v>
      </c>
      <c r="BE33" s="20"/>
      <c r="BH33"/>
      <c r="BI33"/>
      <c r="BJ33"/>
      <c r="BK33"/>
      <c r="BL33"/>
      <c r="BM33"/>
      <c r="BN33"/>
      <c r="BO33"/>
      <c r="BP33"/>
      <c r="BQ33"/>
      <c r="BR33"/>
      <c r="BS33"/>
      <c r="BT33"/>
      <c r="BU33"/>
      <c r="CF33"/>
      <c r="CG33"/>
    </row>
    <row r="34" spans="2:85" ht="15" customHeight="1" x14ac:dyDescent="0.25">
      <c r="B34" s="84"/>
      <c r="C34" s="84"/>
      <c r="D34" s="27"/>
      <c r="E34" s="33"/>
      <c r="F34" s="34"/>
      <c r="G34" s="34"/>
      <c r="H34" s="35"/>
      <c r="I34" s="33"/>
      <c r="J34" s="34"/>
      <c r="K34" s="34"/>
      <c r="L34" s="35"/>
      <c r="M34" s="33"/>
      <c r="N34" s="34"/>
      <c r="O34" s="34"/>
      <c r="P34" s="35"/>
      <c r="Q34" s="33"/>
      <c r="R34" s="34"/>
      <c r="S34" s="34"/>
      <c r="T34" s="35"/>
      <c r="U34" s="33"/>
      <c r="V34" s="34"/>
      <c r="W34" s="34"/>
      <c r="X34" s="35"/>
      <c r="Y34" s="33"/>
      <c r="Z34" s="34"/>
      <c r="AA34" s="34"/>
      <c r="AB34" s="35"/>
      <c r="AC34" s="33"/>
      <c r="AD34" s="34"/>
      <c r="AE34" s="34"/>
      <c r="AF34" s="35"/>
      <c r="AG34" s="33"/>
      <c r="AH34" s="34"/>
      <c r="AI34" s="34"/>
      <c r="AJ34" s="35"/>
      <c r="AK34" s="33"/>
      <c r="AL34" s="34"/>
      <c r="AM34" s="34"/>
      <c r="AN34" s="35"/>
      <c r="AO34" s="33"/>
      <c r="AP34" s="34"/>
      <c r="AQ34" s="34"/>
      <c r="AR34" s="35"/>
      <c r="AS34" s="33"/>
      <c r="AT34" s="34"/>
      <c r="AU34" s="34"/>
      <c r="AV34" s="35"/>
      <c r="AW34" s="33"/>
      <c r="AX34" s="34"/>
      <c r="AY34" s="34"/>
      <c r="AZ34" s="35"/>
      <c r="BB34" s="36">
        <v>8</v>
      </c>
      <c r="BC34" s="37">
        <f>IF(ISBLANK(B33),"",COUNTIF(B36:AZ36,"&gt;=3"))</f>
        <v>5</v>
      </c>
      <c r="BD34" s="83"/>
      <c r="BE34" s="20"/>
      <c r="BH34"/>
      <c r="BI34"/>
      <c r="BJ34"/>
      <c r="BK34"/>
      <c r="BL34"/>
      <c r="BM34"/>
      <c r="BN34"/>
      <c r="BO34"/>
      <c r="BP34"/>
      <c r="BQ34"/>
      <c r="BR34"/>
      <c r="BS34"/>
      <c r="BT34"/>
      <c r="BU34"/>
      <c r="CF34"/>
      <c r="CG34"/>
    </row>
    <row r="35" spans="2:85" ht="15" customHeight="1" x14ac:dyDescent="0.25">
      <c r="B35" s="84"/>
      <c r="C35" s="84"/>
      <c r="D35" s="27"/>
      <c r="E35" s="33"/>
      <c r="F35" s="34"/>
      <c r="G35" s="34"/>
      <c r="H35" s="35"/>
      <c r="I35" s="33"/>
      <c r="J35" s="34"/>
      <c r="K35" s="34"/>
      <c r="L35" s="35"/>
      <c r="M35" s="33"/>
      <c r="N35" s="34"/>
      <c r="O35" s="34"/>
      <c r="P35" s="35"/>
      <c r="Q35" s="33"/>
      <c r="R35" s="34"/>
      <c r="S35" s="34"/>
      <c r="T35" s="35"/>
      <c r="U35" s="33"/>
      <c r="V35" s="34"/>
      <c r="W35" s="34"/>
      <c r="X35" s="35"/>
      <c r="Y35" s="33"/>
      <c r="Z35" s="34"/>
      <c r="AA35" s="34"/>
      <c r="AB35" s="35"/>
      <c r="AC35" s="33"/>
      <c r="AD35" s="34"/>
      <c r="AE35" s="34"/>
      <c r="AF35" s="35"/>
      <c r="AG35" s="33"/>
      <c r="AH35" s="34"/>
      <c r="AI35" s="34"/>
      <c r="AJ35" s="35"/>
      <c r="AK35" s="33"/>
      <c r="AL35" s="34"/>
      <c r="AM35" s="34"/>
      <c r="AN35" s="35"/>
      <c r="AO35" s="33"/>
      <c r="AP35" s="34"/>
      <c r="AQ35" s="34"/>
      <c r="AR35" s="35"/>
      <c r="AS35" s="33"/>
      <c r="AT35" s="34"/>
      <c r="AU35" s="34"/>
      <c r="AV35" s="35"/>
      <c r="AW35" s="33"/>
      <c r="AX35" s="34"/>
      <c r="AY35" s="34"/>
      <c r="AZ35" s="35"/>
      <c r="BB35" s="81" t="str">
        <f>IF(ISBLANK(B33),"","personas cualificadas")</f>
        <v>personas cualificadas</v>
      </c>
      <c r="BC35" s="81" t="str">
        <f>IF(ISBLANK(B33),"","personas cualificadas")</f>
        <v>personas cualificadas</v>
      </c>
      <c r="BD35" s="83"/>
      <c r="BE35" s="20"/>
      <c r="BH35"/>
      <c r="BI35"/>
      <c r="BJ35"/>
      <c r="BK35"/>
      <c r="BL35"/>
      <c r="BM35"/>
      <c r="BN35"/>
      <c r="BO35"/>
      <c r="BP35"/>
      <c r="BQ35"/>
      <c r="BR35"/>
      <c r="BS35"/>
      <c r="BT35"/>
      <c r="BU35"/>
      <c r="CF35"/>
      <c r="CG35"/>
    </row>
    <row r="36" spans="2:85" ht="14.45" customHeight="1" x14ac:dyDescent="0.25">
      <c r="B36" s="84"/>
      <c r="C36" s="84"/>
      <c r="D36" s="27"/>
      <c r="E36" s="69"/>
      <c r="F36" s="70"/>
      <c r="G36" s="70"/>
      <c r="H36" s="71"/>
      <c r="I36" s="69">
        <v>1</v>
      </c>
      <c r="J36" s="70"/>
      <c r="K36" s="70"/>
      <c r="L36" s="71"/>
      <c r="M36" s="69">
        <v>3</v>
      </c>
      <c r="N36" s="70"/>
      <c r="O36" s="70"/>
      <c r="P36" s="71"/>
      <c r="Q36" s="69"/>
      <c r="R36" s="70"/>
      <c r="S36" s="70"/>
      <c r="T36" s="71"/>
      <c r="U36" s="69"/>
      <c r="V36" s="70"/>
      <c r="W36" s="70"/>
      <c r="X36" s="71"/>
      <c r="Y36" s="69"/>
      <c r="Z36" s="70"/>
      <c r="AA36" s="70"/>
      <c r="AB36" s="71"/>
      <c r="AC36" s="69">
        <v>4</v>
      </c>
      <c r="AD36" s="70"/>
      <c r="AE36" s="70"/>
      <c r="AF36" s="71"/>
      <c r="AG36" s="69">
        <v>3</v>
      </c>
      <c r="AH36" s="70"/>
      <c r="AI36" s="70"/>
      <c r="AJ36" s="71"/>
      <c r="AK36" s="69">
        <v>4</v>
      </c>
      <c r="AL36" s="70"/>
      <c r="AM36" s="70"/>
      <c r="AN36" s="71"/>
      <c r="AO36" s="69">
        <v>4</v>
      </c>
      <c r="AP36" s="70"/>
      <c r="AQ36" s="70"/>
      <c r="AR36" s="71"/>
      <c r="AS36" s="69"/>
      <c r="AT36" s="70"/>
      <c r="AU36" s="70"/>
      <c r="AV36" s="71"/>
      <c r="AW36" s="69"/>
      <c r="AX36" s="70"/>
      <c r="AY36" s="70"/>
      <c r="AZ36" s="71"/>
      <c r="BA36" s="38"/>
      <c r="BB36" s="82"/>
      <c r="BC36" s="82"/>
      <c r="BD36" s="83"/>
      <c r="BE36" s="20"/>
      <c r="BH36"/>
      <c r="BI36"/>
      <c r="BJ36"/>
      <c r="BK36"/>
      <c r="BL36"/>
      <c r="BM36"/>
      <c r="BN36"/>
      <c r="BO36"/>
      <c r="BP36"/>
      <c r="BQ36"/>
      <c r="BR36"/>
      <c r="BS36"/>
      <c r="BT36"/>
      <c r="BU36"/>
      <c r="CF36"/>
      <c r="CG36"/>
    </row>
    <row r="37" spans="2:85" ht="6" customHeight="1" x14ac:dyDescent="0.25">
      <c r="B37" s="84" t="s">
        <v>65</v>
      </c>
      <c r="C37" s="84"/>
      <c r="D37" s="27"/>
      <c r="E37" s="28"/>
      <c r="F37" s="29"/>
      <c r="G37" s="29"/>
      <c r="H37" s="30"/>
      <c r="I37" s="28"/>
      <c r="J37" s="29"/>
      <c r="K37" s="29"/>
      <c r="L37" s="30"/>
      <c r="M37" s="28"/>
      <c r="N37" s="29"/>
      <c r="O37" s="29"/>
      <c r="P37" s="30"/>
      <c r="Q37" s="28"/>
      <c r="R37" s="29"/>
      <c r="S37" s="29"/>
      <c r="T37" s="30"/>
      <c r="U37" s="28"/>
      <c r="V37" s="29"/>
      <c r="W37" s="29"/>
      <c r="X37" s="30"/>
      <c r="Y37" s="28"/>
      <c r="Z37" s="29"/>
      <c r="AA37" s="29"/>
      <c r="AB37" s="30"/>
      <c r="AC37" s="28"/>
      <c r="AD37" s="29"/>
      <c r="AE37" s="29"/>
      <c r="AF37" s="30"/>
      <c r="AG37" s="28"/>
      <c r="AH37" s="29"/>
      <c r="AI37" s="29"/>
      <c r="AJ37" s="30"/>
      <c r="AK37" s="28"/>
      <c r="AL37" s="29"/>
      <c r="AM37" s="29"/>
      <c r="AN37" s="30"/>
      <c r="AO37" s="28"/>
      <c r="AP37" s="29"/>
      <c r="AQ37" s="29"/>
      <c r="AR37" s="30"/>
      <c r="AS37" s="28"/>
      <c r="AT37" s="29"/>
      <c r="AU37" s="29"/>
      <c r="AV37" s="30"/>
      <c r="AW37" s="28"/>
      <c r="AX37" s="29"/>
      <c r="AY37" s="29"/>
      <c r="AZ37" s="30"/>
      <c r="BB37" s="31"/>
      <c r="BC37" s="31"/>
      <c r="BD37" s="83">
        <f>IF(ISBLANK(B37),"",IF(BC38&gt;=BB38,3,IF(BC38=(BB38-1),2,1)))</f>
        <v>1</v>
      </c>
      <c r="BE37" s="20"/>
      <c r="BH37"/>
      <c r="BI37"/>
      <c r="BJ37"/>
      <c r="BK37"/>
      <c r="BL37"/>
      <c r="BM37"/>
      <c r="BN37"/>
      <c r="BO37"/>
      <c r="BP37"/>
      <c r="BQ37"/>
      <c r="BR37"/>
      <c r="BS37"/>
      <c r="BT37"/>
      <c r="BU37"/>
      <c r="CF37"/>
      <c r="CG37"/>
    </row>
    <row r="38" spans="2:85" ht="15" customHeight="1" x14ac:dyDescent="0.25">
      <c r="B38" s="84"/>
      <c r="C38" s="84"/>
      <c r="D38" s="27"/>
      <c r="E38" s="33"/>
      <c r="F38" s="34"/>
      <c r="G38" s="34"/>
      <c r="H38" s="35"/>
      <c r="I38" s="33"/>
      <c r="J38" s="34"/>
      <c r="K38" s="34"/>
      <c r="L38" s="35"/>
      <c r="M38" s="33"/>
      <c r="N38" s="34"/>
      <c r="O38" s="34"/>
      <c r="P38" s="35"/>
      <c r="Q38" s="33"/>
      <c r="R38" s="34"/>
      <c r="S38" s="34"/>
      <c r="T38" s="35"/>
      <c r="U38" s="33"/>
      <c r="V38" s="34"/>
      <c r="W38" s="34"/>
      <c r="X38" s="35"/>
      <c r="Y38" s="33"/>
      <c r="Z38" s="34"/>
      <c r="AA38" s="34"/>
      <c r="AB38" s="35"/>
      <c r="AC38" s="33"/>
      <c r="AD38" s="34"/>
      <c r="AE38" s="34"/>
      <c r="AF38" s="35"/>
      <c r="AG38" s="33"/>
      <c r="AH38" s="34"/>
      <c r="AI38" s="34"/>
      <c r="AJ38" s="35"/>
      <c r="AK38" s="33"/>
      <c r="AL38" s="34"/>
      <c r="AM38" s="34"/>
      <c r="AN38" s="35"/>
      <c r="AO38" s="33"/>
      <c r="AP38" s="34"/>
      <c r="AQ38" s="34"/>
      <c r="AR38" s="35"/>
      <c r="AS38" s="33"/>
      <c r="AT38" s="34"/>
      <c r="AU38" s="34"/>
      <c r="AV38" s="35"/>
      <c r="AW38" s="33"/>
      <c r="AX38" s="34"/>
      <c r="AY38" s="34"/>
      <c r="AZ38" s="35"/>
      <c r="BB38" s="36">
        <v>8</v>
      </c>
      <c r="BC38" s="37">
        <f>IF(ISBLANK(B37),"",COUNTIF(B40:AZ40,"&gt;=3"))</f>
        <v>5</v>
      </c>
      <c r="BD38" s="83"/>
      <c r="BE38" s="20"/>
      <c r="BH38"/>
      <c r="BI38"/>
      <c r="BJ38"/>
      <c r="BK38"/>
      <c r="BL38"/>
      <c r="BM38"/>
      <c r="BN38"/>
      <c r="BO38"/>
      <c r="BP38"/>
      <c r="BQ38"/>
      <c r="BR38"/>
      <c r="BS38"/>
      <c r="BT38"/>
      <c r="BU38"/>
      <c r="CF38"/>
      <c r="CG38"/>
    </row>
    <row r="39" spans="2:85" ht="15" customHeight="1" x14ac:dyDescent="0.25">
      <c r="B39" s="84"/>
      <c r="C39" s="84"/>
      <c r="D39" s="27"/>
      <c r="E39" s="33"/>
      <c r="F39" s="34"/>
      <c r="G39" s="34"/>
      <c r="H39" s="35"/>
      <c r="I39" s="33"/>
      <c r="J39" s="34"/>
      <c r="K39" s="34"/>
      <c r="L39" s="35"/>
      <c r="M39" s="33"/>
      <c r="N39" s="34"/>
      <c r="O39" s="34"/>
      <c r="P39" s="35"/>
      <c r="Q39" s="33"/>
      <c r="R39" s="34"/>
      <c r="S39" s="34"/>
      <c r="T39" s="35"/>
      <c r="U39" s="33"/>
      <c r="V39" s="34"/>
      <c r="W39" s="34"/>
      <c r="X39" s="35"/>
      <c r="Y39" s="33"/>
      <c r="Z39" s="34"/>
      <c r="AA39" s="34"/>
      <c r="AB39" s="35"/>
      <c r="AC39" s="33"/>
      <c r="AD39" s="34"/>
      <c r="AE39" s="34"/>
      <c r="AF39" s="35"/>
      <c r="AG39" s="33"/>
      <c r="AH39" s="34"/>
      <c r="AI39" s="34"/>
      <c r="AJ39" s="35"/>
      <c r="AK39" s="33"/>
      <c r="AL39" s="34"/>
      <c r="AM39" s="34"/>
      <c r="AN39" s="35"/>
      <c r="AO39" s="33"/>
      <c r="AP39" s="34"/>
      <c r="AQ39" s="34"/>
      <c r="AR39" s="35"/>
      <c r="AS39" s="33"/>
      <c r="AT39" s="34"/>
      <c r="AU39" s="34"/>
      <c r="AV39" s="35"/>
      <c r="AW39" s="33"/>
      <c r="AX39" s="34"/>
      <c r="AY39" s="34"/>
      <c r="AZ39" s="35"/>
      <c r="BB39" s="81" t="str">
        <f>IF(ISBLANK(B37),"","personas cualificadas")</f>
        <v>personas cualificadas</v>
      </c>
      <c r="BC39" s="81" t="str">
        <f>IF(ISBLANK(B37),"","personas cualificadas")</f>
        <v>personas cualificadas</v>
      </c>
      <c r="BD39" s="83"/>
      <c r="BE39" s="20"/>
      <c r="BH39"/>
      <c r="BI39"/>
      <c r="BJ39"/>
      <c r="BK39"/>
      <c r="BL39"/>
      <c r="BM39"/>
      <c r="BN39"/>
      <c r="BO39"/>
      <c r="BP39"/>
      <c r="BQ39"/>
      <c r="BR39"/>
      <c r="BS39"/>
      <c r="BT39"/>
      <c r="BU39"/>
      <c r="CF39"/>
      <c r="CG39"/>
    </row>
    <row r="40" spans="2:85" ht="14.45" customHeight="1" x14ac:dyDescent="0.25">
      <c r="B40" s="84"/>
      <c r="C40" s="84"/>
      <c r="D40" s="27"/>
      <c r="E40" s="69"/>
      <c r="F40" s="70"/>
      <c r="G40" s="70"/>
      <c r="H40" s="71"/>
      <c r="I40" s="69">
        <v>1</v>
      </c>
      <c r="J40" s="70"/>
      <c r="K40" s="70"/>
      <c r="L40" s="71"/>
      <c r="M40" s="69">
        <v>3</v>
      </c>
      <c r="N40" s="70"/>
      <c r="O40" s="70"/>
      <c r="P40" s="71"/>
      <c r="Q40" s="69"/>
      <c r="R40" s="70"/>
      <c r="S40" s="70"/>
      <c r="T40" s="71"/>
      <c r="U40" s="69"/>
      <c r="V40" s="70"/>
      <c r="W40" s="70"/>
      <c r="X40" s="71"/>
      <c r="Y40" s="69"/>
      <c r="Z40" s="70"/>
      <c r="AA40" s="70"/>
      <c r="AB40" s="71"/>
      <c r="AC40" s="69">
        <v>4</v>
      </c>
      <c r="AD40" s="70"/>
      <c r="AE40" s="70"/>
      <c r="AF40" s="71"/>
      <c r="AG40" s="69">
        <v>3</v>
      </c>
      <c r="AH40" s="70"/>
      <c r="AI40" s="70"/>
      <c r="AJ40" s="71"/>
      <c r="AK40" s="69">
        <v>4</v>
      </c>
      <c r="AL40" s="70"/>
      <c r="AM40" s="70"/>
      <c r="AN40" s="71"/>
      <c r="AO40" s="69">
        <v>4</v>
      </c>
      <c r="AP40" s="70"/>
      <c r="AQ40" s="70"/>
      <c r="AR40" s="71"/>
      <c r="AS40" s="69"/>
      <c r="AT40" s="70"/>
      <c r="AU40" s="70"/>
      <c r="AV40" s="71"/>
      <c r="AW40" s="69"/>
      <c r="AX40" s="70"/>
      <c r="AY40" s="70"/>
      <c r="AZ40" s="71"/>
      <c r="BA40" s="38"/>
      <c r="BB40" s="82"/>
      <c r="BC40" s="82"/>
      <c r="BD40" s="83"/>
      <c r="BE40" s="20"/>
      <c r="BH40"/>
      <c r="BI40"/>
      <c r="BJ40"/>
      <c r="BK40"/>
      <c r="BL40"/>
      <c r="BM40"/>
      <c r="BN40"/>
      <c r="BO40"/>
      <c r="BP40"/>
      <c r="BQ40"/>
      <c r="BR40"/>
      <c r="BS40"/>
      <c r="BT40"/>
      <c r="BU40"/>
      <c r="CF40"/>
      <c r="CG40"/>
    </row>
    <row r="41" spans="2:85" ht="6" customHeight="1" x14ac:dyDescent="0.25">
      <c r="B41" s="72" t="s">
        <v>57</v>
      </c>
      <c r="C41" s="73"/>
      <c r="D41" s="27"/>
      <c r="E41" s="28"/>
      <c r="F41" s="29"/>
      <c r="G41" s="29"/>
      <c r="H41" s="30"/>
      <c r="I41" s="28"/>
      <c r="J41" s="29"/>
      <c r="K41" s="29"/>
      <c r="L41" s="30"/>
      <c r="M41" s="28"/>
      <c r="N41" s="29"/>
      <c r="O41" s="29"/>
      <c r="P41" s="30"/>
      <c r="Q41" s="28"/>
      <c r="R41" s="29"/>
      <c r="S41" s="29"/>
      <c r="T41" s="30"/>
      <c r="U41" s="28"/>
      <c r="V41" s="29"/>
      <c r="W41" s="29"/>
      <c r="X41" s="30"/>
      <c r="Y41" s="28"/>
      <c r="Z41" s="29"/>
      <c r="AA41" s="29"/>
      <c r="AB41" s="30"/>
      <c r="AC41" s="28"/>
      <c r="AD41" s="29"/>
      <c r="AE41" s="29"/>
      <c r="AF41" s="30"/>
      <c r="AG41" s="28"/>
      <c r="AH41" s="29"/>
      <c r="AI41" s="29"/>
      <c r="AJ41" s="30"/>
      <c r="AK41" s="28"/>
      <c r="AL41" s="29"/>
      <c r="AM41" s="29"/>
      <c r="AN41" s="30"/>
      <c r="AO41" s="28"/>
      <c r="AP41" s="29"/>
      <c r="AQ41" s="29"/>
      <c r="AR41" s="30"/>
      <c r="AS41" s="28"/>
      <c r="AT41" s="29"/>
      <c r="AU41" s="29"/>
      <c r="AV41" s="30"/>
      <c r="AW41" s="28"/>
      <c r="AX41" s="29"/>
      <c r="AY41" s="29"/>
      <c r="AZ41" s="30"/>
      <c r="BB41" s="31"/>
      <c r="BC41" s="31"/>
      <c r="BD41" s="83">
        <f>IF(ISBLANK(B41),"",IF(BC42&gt;=BB42,3,IF(BC42=(BB42-1),2,1)))</f>
        <v>1</v>
      </c>
      <c r="BE41" s="20"/>
      <c r="BH41"/>
      <c r="BI41"/>
      <c r="BJ41"/>
      <c r="BK41"/>
      <c r="BL41"/>
      <c r="BM41"/>
      <c r="BN41"/>
      <c r="BO41"/>
      <c r="BP41"/>
      <c r="BQ41"/>
      <c r="BR41"/>
      <c r="BS41"/>
      <c r="BT41"/>
      <c r="BU41"/>
      <c r="CF41"/>
      <c r="CG41"/>
    </row>
    <row r="42" spans="2:85" ht="15" customHeight="1" x14ac:dyDescent="0.25">
      <c r="B42" s="74"/>
      <c r="C42" s="75"/>
      <c r="D42" s="27"/>
      <c r="E42" s="33"/>
      <c r="F42" s="34"/>
      <c r="G42" s="34"/>
      <c r="H42" s="35"/>
      <c r="I42" s="33"/>
      <c r="J42" s="34"/>
      <c r="K42" s="34"/>
      <c r="L42" s="35"/>
      <c r="M42" s="33"/>
      <c r="N42" s="34"/>
      <c r="O42" s="34"/>
      <c r="P42" s="35"/>
      <c r="Q42" s="33"/>
      <c r="R42" s="34"/>
      <c r="S42" s="34"/>
      <c r="T42" s="35"/>
      <c r="U42" s="33"/>
      <c r="V42" s="34"/>
      <c r="W42" s="34"/>
      <c r="X42" s="35"/>
      <c r="Y42" s="33"/>
      <c r="Z42" s="34"/>
      <c r="AA42" s="34"/>
      <c r="AB42" s="35"/>
      <c r="AC42" s="33"/>
      <c r="AD42" s="34"/>
      <c r="AE42" s="34"/>
      <c r="AF42" s="35"/>
      <c r="AG42" s="33"/>
      <c r="AH42" s="34"/>
      <c r="AI42" s="34"/>
      <c r="AJ42" s="35"/>
      <c r="AK42" s="33"/>
      <c r="AL42" s="34"/>
      <c r="AM42" s="34"/>
      <c r="AN42" s="35"/>
      <c r="AO42" s="33"/>
      <c r="AP42" s="34"/>
      <c r="AQ42" s="34"/>
      <c r="AR42" s="35"/>
      <c r="AS42" s="33"/>
      <c r="AT42" s="34"/>
      <c r="AU42" s="34"/>
      <c r="AV42" s="35"/>
      <c r="AW42" s="33"/>
      <c r="AX42" s="34"/>
      <c r="AY42" s="34"/>
      <c r="AZ42" s="35"/>
      <c r="BB42" s="36">
        <v>5</v>
      </c>
      <c r="BC42" s="37">
        <f>IF(ISBLANK(B41),"",COUNTIF(B44:AZ44,"&gt;=3"))</f>
        <v>1</v>
      </c>
      <c r="BD42" s="83"/>
      <c r="BE42" s="20"/>
      <c r="BH42"/>
      <c r="BI42"/>
      <c r="BJ42"/>
      <c r="BK42"/>
      <c r="BL42"/>
      <c r="BM42"/>
      <c r="BN42"/>
      <c r="BO42"/>
      <c r="BP42"/>
      <c r="BQ42"/>
      <c r="BR42"/>
      <c r="BS42"/>
      <c r="BT42"/>
      <c r="BU42"/>
      <c r="CF42"/>
      <c r="CG42"/>
    </row>
    <row r="43" spans="2:85" ht="15" customHeight="1" x14ac:dyDescent="0.25">
      <c r="B43" s="74"/>
      <c r="C43" s="75"/>
      <c r="D43" s="27"/>
      <c r="E43" s="33"/>
      <c r="F43" s="34"/>
      <c r="G43" s="34"/>
      <c r="H43" s="35"/>
      <c r="I43" s="33"/>
      <c r="J43" s="34"/>
      <c r="K43" s="34"/>
      <c r="L43" s="35"/>
      <c r="M43" s="33"/>
      <c r="N43" s="34"/>
      <c r="O43" s="34"/>
      <c r="P43" s="35"/>
      <c r="Q43" s="33"/>
      <c r="R43" s="34"/>
      <c r="S43" s="34"/>
      <c r="T43" s="35"/>
      <c r="U43" s="33"/>
      <c r="V43" s="34"/>
      <c r="W43" s="34"/>
      <c r="X43" s="35"/>
      <c r="Y43" s="33"/>
      <c r="Z43" s="34"/>
      <c r="AA43" s="34"/>
      <c r="AB43" s="35"/>
      <c r="AC43" s="33"/>
      <c r="AD43" s="34"/>
      <c r="AE43" s="34"/>
      <c r="AF43" s="35"/>
      <c r="AG43" s="33"/>
      <c r="AH43" s="34"/>
      <c r="AI43" s="34"/>
      <c r="AJ43" s="35"/>
      <c r="AK43" s="33"/>
      <c r="AL43" s="34"/>
      <c r="AM43" s="34"/>
      <c r="AN43" s="35"/>
      <c r="AO43" s="33"/>
      <c r="AP43" s="34"/>
      <c r="AQ43" s="34"/>
      <c r="AR43" s="35"/>
      <c r="AS43" s="33"/>
      <c r="AT43" s="34"/>
      <c r="AU43" s="34"/>
      <c r="AV43" s="35"/>
      <c r="AW43" s="33"/>
      <c r="AX43" s="34"/>
      <c r="AY43" s="34"/>
      <c r="AZ43" s="35"/>
      <c r="BB43" s="81" t="str">
        <f>IF(ISBLANK(B41),"","personas cualificadas")</f>
        <v>personas cualificadas</v>
      </c>
      <c r="BC43" s="81" t="str">
        <f>IF(ISBLANK(B41),"","personas cualificadas")</f>
        <v>personas cualificadas</v>
      </c>
      <c r="BD43" s="83"/>
      <c r="BE43" s="20"/>
      <c r="BH43"/>
      <c r="BI43"/>
      <c r="BJ43"/>
      <c r="BK43"/>
      <c r="BL43"/>
      <c r="BM43"/>
      <c r="BN43"/>
      <c r="BO43"/>
      <c r="BP43"/>
      <c r="BQ43"/>
      <c r="BR43"/>
      <c r="BS43"/>
      <c r="BT43"/>
      <c r="BU43"/>
      <c r="CF43"/>
      <c r="CG43"/>
    </row>
    <row r="44" spans="2:85" ht="14.45" customHeight="1" x14ac:dyDescent="0.25">
      <c r="B44" s="76"/>
      <c r="C44" s="77"/>
      <c r="D44" s="27"/>
      <c r="E44" s="69"/>
      <c r="F44" s="70"/>
      <c r="G44" s="70"/>
      <c r="H44" s="71"/>
      <c r="I44" s="69">
        <v>1</v>
      </c>
      <c r="J44" s="70"/>
      <c r="K44" s="70"/>
      <c r="L44" s="71"/>
      <c r="M44" s="69"/>
      <c r="N44" s="70"/>
      <c r="O44" s="70"/>
      <c r="P44" s="71"/>
      <c r="Q44" s="69"/>
      <c r="R44" s="70"/>
      <c r="S44" s="70"/>
      <c r="T44" s="71"/>
      <c r="U44" s="69"/>
      <c r="V44" s="70"/>
      <c r="W44" s="70"/>
      <c r="X44" s="71"/>
      <c r="Y44" s="69">
        <v>4</v>
      </c>
      <c r="Z44" s="70"/>
      <c r="AA44" s="70"/>
      <c r="AB44" s="71"/>
      <c r="AC44" s="69"/>
      <c r="AD44" s="70"/>
      <c r="AE44" s="70"/>
      <c r="AF44" s="71"/>
      <c r="AG44" s="69">
        <v>1</v>
      </c>
      <c r="AH44" s="70"/>
      <c r="AI44" s="70"/>
      <c r="AJ44" s="71"/>
      <c r="AK44" s="69"/>
      <c r="AL44" s="70"/>
      <c r="AM44" s="70"/>
      <c r="AN44" s="71"/>
      <c r="AO44" s="69"/>
      <c r="AP44" s="70"/>
      <c r="AQ44" s="70"/>
      <c r="AR44" s="71"/>
      <c r="AS44" s="69"/>
      <c r="AT44" s="70"/>
      <c r="AU44" s="70"/>
      <c r="AV44" s="71"/>
      <c r="AW44" s="69"/>
      <c r="AX44" s="70"/>
      <c r="AY44" s="70"/>
      <c r="AZ44" s="71"/>
      <c r="BA44" s="38"/>
      <c r="BB44" s="82"/>
      <c r="BC44" s="82"/>
      <c r="BD44" s="83"/>
      <c r="BE44" s="20"/>
      <c r="BH44"/>
      <c r="BI44"/>
      <c r="BJ44"/>
      <c r="BK44"/>
      <c r="BL44"/>
      <c r="BM44"/>
      <c r="BN44"/>
      <c r="BO44"/>
      <c r="BP44"/>
      <c r="BQ44"/>
      <c r="BR44"/>
      <c r="BS44"/>
      <c r="BT44"/>
      <c r="BU44"/>
      <c r="CF44"/>
      <c r="CG44"/>
    </row>
    <row r="45" spans="2:85" ht="6" customHeight="1" x14ac:dyDescent="0.25">
      <c r="B45" s="72" t="s">
        <v>58</v>
      </c>
      <c r="C45" s="73"/>
      <c r="D45" s="27"/>
      <c r="E45" s="28"/>
      <c r="F45" s="29"/>
      <c r="G45" s="29"/>
      <c r="H45" s="30"/>
      <c r="I45" s="28"/>
      <c r="J45" s="29"/>
      <c r="K45" s="29"/>
      <c r="L45" s="30"/>
      <c r="M45" s="28"/>
      <c r="N45" s="29"/>
      <c r="O45" s="29"/>
      <c r="P45" s="30"/>
      <c r="Q45" s="28"/>
      <c r="R45" s="29"/>
      <c r="S45" s="29"/>
      <c r="T45" s="30"/>
      <c r="U45" s="28"/>
      <c r="V45" s="29"/>
      <c r="W45" s="29"/>
      <c r="X45" s="30"/>
      <c r="Y45" s="28"/>
      <c r="Z45" s="29"/>
      <c r="AA45" s="29"/>
      <c r="AB45" s="30"/>
      <c r="AC45" s="28"/>
      <c r="AD45" s="29"/>
      <c r="AE45" s="29"/>
      <c r="AF45" s="30"/>
      <c r="AG45" s="28"/>
      <c r="AH45" s="29"/>
      <c r="AI45" s="29"/>
      <c r="AJ45" s="30"/>
      <c r="AK45" s="28"/>
      <c r="AL45" s="29"/>
      <c r="AM45" s="29"/>
      <c r="AN45" s="30"/>
      <c r="AO45" s="28"/>
      <c r="AP45" s="29"/>
      <c r="AQ45" s="29"/>
      <c r="AR45" s="30"/>
      <c r="AS45" s="28"/>
      <c r="AT45" s="29"/>
      <c r="AU45" s="29"/>
      <c r="AV45" s="30"/>
      <c r="AW45" s="28"/>
      <c r="AX45" s="29"/>
      <c r="AY45" s="29"/>
      <c r="AZ45" s="30"/>
      <c r="BB45" s="31"/>
      <c r="BC45" s="31"/>
      <c r="BD45" s="83">
        <f>IF(ISBLANK(B45),"",IF(BC46&gt;=BB46,3,IF(BC46=(BB46-1),2,1)))</f>
        <v>1</v>
      </c>
      <c r="BE45" s="20"/>
      <c r="BH45"/>
      <c r="BI45"/>
      <c r="BJ45"/>
      <c r="BK45"/>
      <c r="BL45"/>
      <c r="BM45"/>
      <c r="BN45"/>
      <c r="BO45"/>
      <c r="BP45"/>
      <c r="BQ45"/>
      <c r="BR45"/>
      <c r="BS45"/>
      <c r="BT45"/>
      <c r="BU45"/>
      <c r="CF45"/>
      <c r="CG45"/>
    </row>
    <row r="46" spans="2:85" ht="15" customHeight="1" x14ac:dyDescent="0.25">
      <c r="B46" s="74"/>
      <c r="C46" s="75"/>
      <c r="D46" s="27"/>
      <c r="E46" s="33"/>
      <c r="F46" s="34"/>
      <c r="G46" s="34"/>
      <c r="H46" s="35"/>
      <c r="I46" s="33"/>
      <c r="J46" s="34"/>
      <c r="K46" s="34"/>
      <c r="L46" s="35"/>
      <c r="M46" s="33"/>
      <c r="N46" s="34"/>
      <c r="O46" s="34"/>
      <c r="P46" s="35"/>
      <c r="Q46" s="33"/>
      <c r="R46" s="34"/>
      <c r="S46" s="34"/>
      <c r="T46" s="35"/>
      <c r="U46" s="33"/>
      <c r="V46" s="34"/>
      <c r="W46" s="34"/>
      <c r="X46" s="35"/>
      <c r="Y46" s="33"/>
      <c r="Z46" s="34"/>
      <c r="AA46" s="34"/>
      <c r="AB46" s="35"/>
      <c r="AC46" s="33"/>
      <c r="AD46" s="34"/>
      <c r="AE46" s="34"/>
      <c r="AF46" s="35"/>
      <c r="AG46" s="33"/>
      <c r="AH46" s="34"/>
      <c r="AI46" s="34"/>
      <c r="AJ46" s="35"/>
      <c r="AK46" s="33"/>
      <c r="AL46" s="34"/>
      <c r="AM46" s="34"/>
      <c r="AN46" s="35"/>
      <c r="AO46" s="33"/>
      <c r="AP46" s="34"/>
      <c r="AQ46" s="34"/>
      <c r="AR46" s="35"/>
      <c r="AS46" s="33"/>
      <c r="AT46" s="34"/>
      <c r="AU46" s="34"/>
      <c r="AV46" s="35"/>
      <c r="AW46" s="33"/>
      <c r="AX46" s="34"/>
      <c r="AY46" s="34"/>
      <c r="AZ46" s="35"/>
      <c r="BB46" s="36">
        <v>5</v>
      </c>
      <c r="BC46" s="37">
        <f>IF(ISBLANK(B45),"",COUNTIF(B48:AZ48,"&gt;=3"))</f>
        <v>1</v>
      </c>
      <c r="BD46" s="83"/>
      <c r="BE46" s="20"/>
      <c r="BH46"/>
      <c r="BI46"/>
      <c r="BJ46"/>
      <c r="BK46"/>
      <c r="BL46"/>
      <c r="BM46"/>
      <c r="BN46"/>
      <c r="BO46"/>
      <c r="BP46"/>
      <c r="BQ46"/>
      <c r="BR46"/>
      <c r="BS46"/>
      <c r="BT46"/>
      <c r="BU46"/>
      <c r="CF46"/>
      <c r="CG46"/>
    </row>
    <row r="47" spans="2:85" ht="15" customHeight="1" x14ac:dyDescent="0.25">
      <c r="B47" s="74"/>
      <c r="C47" s="75"/>
      <c r="D47" s="27"/>
      <c r="E47" s="33"/>
      <c r="F47" s="34"/>
      <c r="G47" s="34"/>
      <c r="H47" s="35"/>
      <c r="I47" s="33"/>
      <c r="J47" s="34"/>
      <c r="K47" s="34"/>
      <c r="L47" s="35"/>
      <c r="M47" s="33"/>
      <c r="N47" s="34"/>
      <c r="O47" s="34"/>
      <c r="P47" s="35"/>
      <c r="Q47" s="33"/>
      <c r="R47" s="34"/>
      <c r="S47" s="34"/>
      <c r="T47" s="35"/>
      <c r="U47" s="33"/>
      <c r="V47" s="34"/>
      <c r="W47" s="34"/>
      <c r="X47" s="35"/>
      <c r="Y47" s="33"/>
      <c r="Z47" s="34"/>
      <c r="AA47" s="34"/>
      <c r="AB47" s="35"/>
      <c r="AC47" s="33"/>
      <c r="AD47" s="34"/>
      <c r="AE47" s="34"/>
      <c r="AF47" s="35"/>
      <c r="AG47" s="33"/>
      <c r="AH47" s="34"/>
      <c r="AI47" s="34"/>
      <c r="AJ47" s="35"/>
      <c r="AK47" s="33"/>
      <c r="AL47" s="34"/>
      <c r="AM47" s="34"/>
      <c r="AN47" s="35"/>
      <c r="AO47" s="33"/>
      <c r="AP47" s="34"/>
      <c r="AQ47" s="34"/>
      <c r="AR47" s="35"/>
      <c r="AS47" s="33"/>
      <c r="AT47" s="34"/>
      <c r="AU47" s="34"/>
      <c r="AV47" s="35"/>
      <c r="AW47" s="33"/>
      <c r="AX47" s="34"/>
      <c r="AY47" s="34"/>
      <c r="AZ47" s="35"/>
      <c r="BB47" s="81" t="str">
        <f>IF(ISBLANK(B45),"","personas cualificadas")</f>
        <v>personas cualificadas</v>
      </c>
      <c r="BC47" s="81" t="str">
        <f>IF(ISBLANK(B45),"","personas cualificadas")</f>
        <v>personas cualificadas</v>
      </c>
      <c r="BD47" s="83"/>
      <c r="BE47" s="20"/>
      <c r="BH47"/>
      <c r="BI47"/>
      <c r="BJ47"/>
      <c r="BK47"/>
      <c r="BL47"/>
      <c r="BM47"/>
      <c r="BN47"/>
      <c r="BO47"/>
      <c r="BP47"/>
      <c r="BQ47"/>
      <c r="BR47"/>
      <c r="BS47"/>
      <c r="BT47"/>
      <c r="BU47"/>
      <c r="CF47"/>
      <c r="CG47"/>
    </row>
    <row r="48" spans="2:85" ht="14.45" customHeight="1" x14ac:dyDescent="0.25">
      <c r="B48" s="76"/>
      <c r="C48" s="77"/>
      <c r="D48" s="27"/>
      <c r="E48" s="69"/>
      <c r="F48" s="70"/>
      <c r="G48" s="70"/>
      <c r="H48" s="71"/>
      <c r="I48" s="69">
        <v>2</v>
      </c>
      <c r="J48" s="70"/>
      <c r="K48" s="70"/>
      <c r="L48" s="71"/>
      <c r="M48" s="69"/>
      <c r="N48" s="70"/>
      <c r="O48" s="70"/>
      <c r="P48" s="71"/>
      <c r="Q48" s="69"/>
      <c r="R48" s="70"/>
      <c r="S48" s="70"/>
      <c r="T48" s="71"/>
      <c r="U48" s="69"/>
      <c r="V48" s="70"/>
      <c r="W48" s="70"/>
      <c r="X48" s="71"/>
      <c r="Y48" s="69">
        <v>4</v>
      </c>
      <c r="Z48" s="70"/>
      <c r="AA48" s="70"/>
      <c r="AB48" s="71"/>
      <c r="AC48" s="69"/>
      <c r="AD48" s="70"/>
      <c r="AE48" s="70"/>
      <c r="AF48" s="71"/>
      <c r="AG48" s="69">
        <v>1</v>
      </c>
      <c r="AH48" s="70"/>
      <c r="AI48" s="70"/>
      <c r="AJ48" s="71"/>
      <c r="AK48" s="69"/>
      <c r="AL48" s="70"/>
      <c r="AM48" s="70"/>
      <c r="AN48" s="71"/>
      <c r="AO48" s="69"/>
      <c r="AP48" s="70"/>
      <c r="AQ48" s="70"/>
      <c r="AR48" s="71"/>
      <c r="AS48" s="69"/>
      <c r="AT48" s="70"/>
      <c r="AU48" s="70"/>
      <c r="AV48" s="71"/>
      <c r="AW48" s="69"/>
      <c r="AX48" s="70"/>
      <c r="AY48" s="70"/>
      <c r="AZ48" s="71"/>
      <c r="BA48" s="38"/>
      <c r="BB48" s="82"/>
      <c r="BC48" s="82"/>
      <c r="BD48" s="83"/>
      <c r="BE48" s="20"/>
      <c r="BH48"/>
      <c r="BI48"/>
      <c r="BJ48"/>
      <c r="BK48"/>
      <c r="BL48"/>
      <c r="BM48"/>
      <c r="BN48"/>
      <c r="BO48"/>
      <c r="BP48"/>
      <c r="BQ48"/>
      <c r="BR48"/>
      <c r="BS48"/>
      <c r="BT48"/>
      <c r="BU48"/>
      <c r="CF48"/>
      <c r="CG48"/>
    </row>
    <row r="49" spans="2:85" ht="6" customHeight="1" x14ac:dyDescent="0.25">
      <c r="B49" s="72" t="s">
        <v>59</v>
      </c>
      <c r="C49" s="73"/>
      <c r="D49" s="27"/>
      <c r="E49" s="28"/>
      <c r="F49" s="29"/>
      <c r="G49" s="29"/>
      <c r="H49" s="30"/>
      <c r="I49" s="28"/>
      <c r="J49" s="29"/>
      <c r="K49" s="29"/>
      <c r="L49" s="30"/>
      <c r="M49" s="28"/>
      <c r="N49" s="29"/>
      <c r="O49" s="29"/>
      <c r="P49" s="30"/>
      <c r="Q49" s="28"/>
      <c r="R49" s="29"/>
      <c r="S49" s="29"/>
      <c r="T49" s="30"/>
      <c r="U49" s="28"/>
      <c r="V49" s="29"/>
      <c r="W49" s="29"/>
      <c r="X49" s="30"/>
      <c r="Y49" s="28"/>
      <c r="Z49" s="29"/>
      <c r="AA49" s="29"/>
      <c r="AB49" s="30"/>
      <c r="AC49" s="28"/>
      <c r="AD49" s="29"/>
      <c r="AE49" s="29"/>
      <c r="AF49" s="30"/>
      <c r="AG49" s="28"/>
      <c r="AH49" s="29"/>
      <c r="AI49" s="29"/>
      <c r="AJ49" s="30"/>
      <c r="AK49" s="28"/>
      <c r="AL49" s="29"/>
      <c r="AM49" s="29"/>
      <c r="AN49" s="30"/>
      <c r="AO49" s="28"/>
      <c r="AP49" s="29"/>
      <c r="AQ49" s="29"/>
      <c r="AR49" s="30"/>
      <c r="AS49" s="28"/>
      <c r="AT49" s="29"/>
      <c r="AU49" s="29"/>
      <c r="AV49" s="30"/>
      <c r="AW49" s="28"/>
      <c r="AX49" s="29"/>
      <c r="AY49" s="29"/>
      <c r="AZ49" s="30"/>
      <c r="BB49" s="31"/>
      <c r="BC49" s="31"/>
      <c r="BD49" s="83">
        <f>IF(ISBLANK(B49),"",IF(BC50&gt;=BB50,3,IF(BC50=(BB50-1),2,1)))</f>
        <v>2</v>
      </c>
      <c r="BE49" s="20"/>
      <c r="BH49"/>
      <c r="BI49"/>
      <c r="BJ49"/>
      <c r="BK49"/>
      <c r="BL49"/>
      <c r="BM49"/>
      <c r="BN49"/>
      <c r="BO49"/>
      <c r="BP49"/>
      <c r="BQ49"/>
      <c r="BR49"/>
      <c r="BS49"/>
      <c r="BT49"/>
      <c r="BU49"/>
      <c r="CF49"/>
      <c r="CG49"/>
    </row>
    <row r="50" spans="2:85" ht="15" customHeight="1" x14ac:dyDescent="0.25">
      <c r="B50" s="74"/>
      <c r="C50" s="75"/>
      <c r="D50" s="27"/>
      <c r="E50" s="33"/>
      <c r="F50" s="34"/>
      <c r="G50" s="34"/>
      <c r="H50" s="35"/>
      <c r="I50" s="33"/>
      <c r="J50" s="34"/>
      <c r="K50" s="34"/>
      <c r="L50" s="35"/>
      <c r="M50" s="33"/>
      <c r="N50" s="34"/>
      <c r="O50" s="34"/>
      <c r="P50" s="35"/>
      <c r="Q50" s="33"/>
      <c r="R50" s="34"/>
      <c r="S50" s="34"/>
      <c r="T50" s="35"/>
      <c r="U50" s="33"/>
      <c r="V50" s="34"/>
      <c r="W50" s="34"/>
      <c r="X50" s="35"/>
      <c r="Y50" s="33"/>
      <c r="Z50" s="34"/>
      <c r="AA50" s="34"/>
      <c r="AB50" s="35"/>
      <c r="AC50" s="33"/>
      <c r="AD50" s="34"/>
      <c r="AE50" s="34"/>
      <c r="AF50" s="35"/>
      <c r="AG50" s="33"/>
      <c r="AH50" s="34"/>
      <c r="AI50" s="34"/>
      <c r="AJ50" s="35"/>
      <c r="AK50" s="33"/>
      <c r="AL50" s="34"/>
      <c r="AM50" s="34"/>
      <c r="AN50" s="35"/>
      <c r="AO50" s="33"/>
      <c r="AP50" s="34"/>
      <c r="AQ50" s="34"/>
      <c r="AR50" s="35"/>
      <c r="AS50" s="33"/>
      <c r="AT50" s="34"/>
      <c r="AU50" s="34"/>
      <c r="AV50" s="35"/>
      <c r="AW50" s="33"/>
      <c r="AX50" s="34"/>
      <c r="AY50" s="34"/>
      <c r="AZ50" s="35"/>
      <c r="BB50" s="36">
        <v>2</v>
      </c>
      <c r="BC50" s="37">
        <f>IF(ISBLANK(B49),"",COUNTIF(B52:AZ52,"&gt;=3"))</f>
        <v>1</v>
      </c>
      <c r="BD50" s="83"/>
      <c r="BE50" s="20"/>
      <c r="BH50"/>
      <c r="BI50"/>
      <c r="BJ50"/>
      <c r="BK50"/>
      <c r="BL50"/>
      <c r="BM50"/>
      <c r="BN50"/>
      <c r="BO50"/>
      <c r="BP50"/>
      <c r="BQ50"/>
      <c r="BR50"/>
      <c r="BS50"/>
      <c r="BT50"/>
      <c r="BU50"/>
      <c r="CF50"/>
      <c r="CG50"/>
    </row>
    <row r="51" spans="2:85" ht="15" customHeight="1" x14ac:dyDescent="0.25">
      <c r="B51" s="74"/>
      <c r="C51" s="75"/>
      <c r="D51" s="27"/>
      <c r="E51" s="33"/>
      <c r="F51" s="34"/>
      <c r="G51" s="34"/>
      <c r="H51" s="35"/>
      <c r="I51" s="33"/>
      <c r="J51" s="34"/>
      <c r="K51" s="34"/>
      <c r="L51" s="35"/>
      <c r="M51" s="33"/>
      <c r="N51" s="34"/>
      <c r="O51" s="34"/>
      <c r="P51" s="35"/>
      <c r="Q51" s="33"/>
      <c r="R51" s="34"/>
      <c r="S51" s="34"/>
      <c r="T51" s="35"/>
      <c r="U51" s="33"/>
      <c r="V51" s="34"/>
      <c r="W51" s="34"/>
      <c r="X51" s="35"/>
      <c r="Y51" s="33"/>
      <c r="Z51" s="34"/>
      <c r="AA51" s="34"/>
      <c r="AB51" s="35"/>
      <c r="AC51" s="33"/>
      <c r="AD51" s="34"/>
      <c r="AE51" s="34"/>
      <c r="AF51" s="35"/>
      <c r="AG51" s="33"/>
      <c r="AH51" s="34"/>
      <c r="AI51" s="34"/>
      <c r="AJ51" s="35"/>
      <c r="AK51" s="33"/>
      <c r="AL51" s="34"/>
      <c r="AM51" s="34"/>
      <c r="AN51" s="35"/>
      <c r="AO51" s="33"/>
      <c r="AP51" s="34"/>
      <c r="AQ51" s="34"/>
      <c r="AR51" s="35"/>
      <c r="AS51" s="33"/>
      <c r="AT51" s="34"/>
      <c r="AU51" s="34"/>
      <c r="AV51" s="35"/>
      <c r="AW51" s="33"/>
      <c r="AX51" s="34"/>
      <c r="AY51" s="34"/>
      <c r="AZ51" s="35"/>
      <c r="BB51" s="81" t="str">
        <f>IF(ISBLANK(B49),"","personas cualificadas")</f>
        <v>personas cualificadas</v>
      </c>
      <c r="BC51" s="81" t="str">
        <f>IF(ISBLANK(B49),"","personas cualificadas")</f>
        <v>personas cualificadas</v>
      </c>
      <c r="BD51" s="83"/>
      <c r="BE51" s="20"/>
      <c r="BH51"/>
      <c r="BI51"/>
      <c r="BJ51"/>
      <c r="BK51"/>
      <c r="BL51"/>
      <c r="BM51"/>
      <c r="BN51"/>
      <c r="BO51"/>
      <c r="BP51"/>
      <c r="BQ51"/>
      <c r="BR51"/>
      <c r="BS51"/>
      <c r="BT51"/>
      <c r="BU51"/>
      <c r="CF51"/>
      <c r="CG51"/>
    </row>
    <row r="52" spans="2:85" s="42" customFormat="1" ht="16.5" customHeight="1" x14ac:dyDescent="0.2">
      <c r="B52" s="76"/>
      <c r="C52" s="77"/>
      <c r="D52" s="39"/>
      <c r="E52" s="69">
        <v>4</v>
      </c>
      <c r="F52" s="70"/>
      <c r="G52" s="70"/>
      <c r="H52" s="71"/>
      <c r="I52" s="69"/>
      <c r="J52" s="70"/>
      <c r="K52" s="70"/>
      <c r="L52" s="71"/>
      <c r="M52" s="69"/>
      <c r="N52" s="70"/>
      <c r="O52" s="70"/>
      <c r="P52" s="71"/>
      <c r="Q52" s="69"/>
      <c r="R52" s="70"/>
      <c r="S52" s="70"/>
      <c r="T52" s="71"/>
      <c r="U52" s="69"/>
      <c r="V52" s="70"/>
      <c r="W52" s="70"/>
      <c r="X52" s="71"/>
      <c r="Y52" s="69"/>
      <c r="Z52" s="70"/>
      <c r="AA52" s="70"/>
      <c r="AB52" s="71"/>
      <c r="AC52" s="69"/>
      <c r="AD52" s="70"/>
      <c r="AE52" s="70"/>
      <c r="AF52" s="71"/>
      <c r="AG52" s="69"/>
      <c r="AH52" s="70"/>
      <c r="AI52" s="70"/>
      <c r="AJ52" s="71"/>
      <c r="AK52" s="69"/>
      <c r="AL52" s="70"/>
      <c r="AM52" s="70"/>
      <c r="AN52" s="71"/>
      <c r="AO52" s="69"/>
      <c r="AP52" s="70"/>
      <c r="AQ52" s="70"/>
      <c r="AR52" s="71"/>
      <c r="AS52" s="69"/>
      <c r="AT52" s="70"/>
      <c r="AU52" s="70"/>
      <c r="AV52" s="71"/>
      <c r="AW52" s="69"/>
      <c r="AX52" s="70"/>
      <c r="AY52" s="70"/>
      <c r="AZ52" s="71"/>
      <c r="BA52" s="40"/>
      <c r="BB52" s="82"/>
      <c r="BC52" s="82"/>
      <c r="BD52" s="83"/>
      <c r="BE52" s="41"/>
    </row>
    <row r="53" spans="2:85" ht="6" customHeight="1" x14ac:dyDescent="0.25">
      <c r="B53" s="72" t="s">
        <v>60</v>
      </c>
      <c r="C53" s="73"/>
      <c r="D53" s="27"/>
      <c r="E53" s="28"/>
      <c r="F53" s="29"/>
      <c r="G53" s="29"/>
      <c r="H53" s="30"/>
      <c r="I53" s="28"/>
      <c r="J53" s="29"/>
      <c r="K53" s="29"/>
      <c r="L53" s="30"/>
      <c r="M53" s="28"/>
      <c r="N53" s="29"/>
      <c r="O53" s="29"/>
      <c r="P53" s="30"/>
      <c r="Q53" s="28"/>
      <c r="R53" s="29"/>
      <c r="S53" s="29"/>
      <c r="T53" s="30"/>
      <c r="U53" s="28"/>
      <c r="V53" s="29"/>
      <c r="W53" s="29"/>
      <c r="X53" s="30"/>
      <c r="Y53" s="28"/>
      <c r="Z53" s="29"/>
      <c r="AA53" s="29"/>
      <c r="AB53" s="30"/>
      <c r="AC53" s="28"/>
      <c r="AD53" s="29"/>
      <c r="AE53" s="29"/>
      <c r="AF53" s="30"/>
      <c r="AG53" s="28"/>
      <c r="AH53" s="29"/>
      <c r="AI53" s="29"/>
      <c r="AJ53" s="30"/>
      <c r="AK53" s="28"/>
      <c r="AL53" s="29"/>
      <c r="AM53" s="29"/>
      <c r="AN53" s="30"/>
      <c r="AO53" s="28"/>
      <c r="AP53" s="29"/>
      <c r="AQ53" s="29"/>
      <c r="AR53" s="30"/>
      <c r="AS53" s="28"/>
      <c r="AT53" s="29"/>
      <c r="AU53" s="29"/>
      <c r="AV53" s="30"/>
      <c r="AW53" s="28"/>
      <c r="AX53" s="29"/>
      <c r="AY53" s="29"/>
      <c r="AZ53" s="30"/>
      <c r="BB53" s="31"/>
      <c r="BC53" s="31"/>
      <c r="BD53" s="78">
        <f>IF(ISBLANK(B53),"",IF(BC54&gt;=BB54,3,IF(BC54=(BB54-1),2,1)))</f>
        <v>1</v>
      </c>
      <c r="BE53" s="20"/>
      <c r="BH53"/>
      <c r="BI53"/>
      <c r="BJ53"/>
      <c r="BK53"/>
      <c r="BL53"/>
      <c r="BM53"/>
      <c r="BN53"/>
      <c r="BO53"/>
      <c r="BP53"/>
      <c r="BQ53"/>
      <c r="BR53"/>
      <c r="BS53"/>
      <c r="BT53"/>
      <c r="BU53"/>
      <c r="CF53"/>
      <c r="CG53"/>
    </row>
    <row r="54" spans="2:85" ht="15" customHeight="1" x14ac:dyDescent="0.25">
      <c r="B54" s="74"/>
      <c r="C54" s="75"/>
      <c r="D54" s="27"/>
      <c r="E54" s="33"/>
      <c r="F54" s="34"/>
      <c r="G54" s="34"/>
      <c r="H54" s="35"/>
      <c r="I54" s="33"/>
      <c r="J54" s="34"/>
      <c r="K54" s="34"/>
      <c r="L54" s="35"/>
      <c r="M54" s="33"/>
      <c r="N54" s="34"/>
      <c r="O54" s="34"/>
      <c r="P54" s="35"/>
      <c r="Q54" s="33"/>
      <c r="R54" s="34"/>
      <c r="S54" s="34"/>
      <c r="T54" s="35"/>
      <c r="U54" s="33"/>
      <c r="V54" s="34"/>
      <c r="W54" s="34"/>
      <c r="X54" s="35"/>
      <c r="Y54" s="33"/>
      <c r="Z54" s="34"/>
      <c r="AA54" s="34"/>
      <c r="AB54" s="35"/>
      <c r="AC54" s="33"/>
      <c r="AD54" s="34"/>
      <c r="AE54" s="34"/>
      <c r="AF54" s="35"/>
      <c r="AG54" s="33"/>
      <c r="AH54" s="34"/>
      <c r="AI54" s="34"/>
      <c r="AJ54" s="35"/>
      <c r="AK54" s="33"/>
      <c r="AL54" s="34"/>
      <c r="AM54" s="34"/>
      <c r="AN54" s="35"/>
      <c r="AO54" s="33"/>
      <c r="AP54" s="34"/>
      <c r="AQ54" s="34"/>
      <c r="AR54" s="35"/>
      <c r="AS54" s="33"/>
      <c r="AT54" s="34"/>
      <c r="AU54" s="34"/>
      <c r="AV54" s="35"/>
      <c r="AW54" s="33"/>
      <c r="AX54" s="34"/>
      <c r="AY54" s="34"/>
      <c r="AZ54" s="35"/>
      <c r="BB54" s="36">
        <v>3</v>
      </c>
      <c r="BC54" s="37">
        <f>IF(ISBLANK(B53),"",COUNTIF(B56:AZ56,"&gt;=3"))</f>
        <v>1</v>
      </c>
      <c r="BD54" s="79"/>
      <c r="BE54" s="20"/>
      <c r="BH54"/>
      <c r="BI54"/>
      <c r="BJ54"/>
      <c r="BK54"/>
      <c r="BL54"/>
      <c r="BM54"/>
      <c r="BN54"/>
      <c r="BO54"/>
      <c r="BP54"/>
      <c r="BQ54"/>
      <c r="BR54"/>
      <c r="BS54"/>
      <c r="BT54"/>
      <c r="BU54"/>
      <c r="CF54"/>
      <c r="CG54"/>
    </row>
    <row r="55" spans="2:85" ht="15" customHeight="1" x14ac:dyDescent="0.25">
      <c r="B55" s="74"/>
      <c r="C55" s="75"/>
      <c r="D55" s="27"/>
      <c r="E55" s="33"/>
      <c r="F55" s="34"/>
      <c r="G55" s="34"/>
      <c r="H55" s="35"/>
      <c r="I55" s="33"/>
      <c r="J55" s="34"/>
      <c r="K55" s="34"/>
      <c r="L55" s="35"/>
      <c r="M55" s="33"/>
      <c r="N55" s="34"/>
      <c r="O55" s="34"/>
      <c r="P55" s="35"/>
      <c r="Q55" s="33"/>
      <c r="R55" s="34"/>
      <c r="S55" s="34"/>
      <c r="T55" s="35"/>
      <c r="U55" s="33"/>
      <c r="V55" s="34"/>
      <c r="W55" s="34"/>
      <c r="X55" s="35"/>
      <c r="Y55" s="33"/>
      <c r="Z55" s="34"/>
      <c r="AA55" s="34"/>
      <c r="AB55" s="35"/>
      <c r="AC55" s="33"/>
      <c r="AD55" s="34"/>
      <c r="AE55" s="34"/>
      <c r="AF55" s="35"/>
      <c r="AG55" s="33"/>
      <c r="AH55" s="34"/>
      <c r="AI55" s="34"/>
      <c r="AJ55" s="35"/>
      <c r="AK55" s="33"/>
      <c r="AL55" s="34"/>
      <c r="AM55" s="34"/>
      <c r="AN55" s="35"/>
      <c r="AO55" s="33"/>
      <c r="AP55" s="34"/>
      <c r="AQ55" s="34"/>
      <c r="AR55" s="35"/>
      <c r="AS55" s="33"/>
      <c r="AT55" s="34"/>
      <c r="AU55" s="34"/>
      <c r="AV55" s="35"/>
      <c r="AW55" s="33"/>
      <c r="AX55" s="34"/>
      <c r="AY55" s="34"/>
      <c r="AZ55" s="35"/>
      <c r="BB55" s="81" t="str">
        <f>IF(ISBLANK(B53),"","personas cualificadas")</f>
        <v>personas cualificadas</v>
      </c>
      <c r="BC55" s="81" t="str">
        <f>IF(ISBLANK(B53),"","personas cualificadas")</f>
        <v>personas cualificadas</v>
      </c>
      <c r="BD55" s="79"/>
      <c r="BE55" s="20"/>
      <c r="BH55"/>
      <c r="BI55"/>
      <c r="BJ55"/>
      <c r="BK55"/>
      <c r="BL55"/>
      <c r="BM55"/>
      <c r="BN55"/>
      <c r="BO55"/>
      <c r="BP55"/>
      <c r="BQ55"/>
      <c r="BR55"/>
      <c r="BS55"/>
      <c r="BT55"/>
      <c r="BU55"/>
      <c r="CF55"/>
      <c r="CG55"/>
    </row>
    <row r="56" spans="2:85" s="42" customFormat="1" x14ac:dyDescent="0.2">
      <c r="B56" s="76"/>
      <c r="C56" s="77"/>
      <c r="D56" s="39"/>
      <c r="E56" s="69">
        <v>4</v>
      </c>
      <c r="F56" s="70"/>
      <c r="G56" s="70"/>
      <c r="H56" s="71"/>
      <c r="I56" s="69"/>
      <c r="J56" s="70"/>
      <c r="K56" s="70"/>
      <c r="L56" s="71"/>
      <c r="M56" s="69"/>
      <c r="N56" s="70"/>
      <c r="O56" s="70"/>
      <c r="P56" s="71"/>
      <c r="Q56" s="69"/>
      <c r="R56" s="70"/>
      <c r="S56" s="70"/>
      <c r="T56" s="71"/>
      <c r="U56" s="69"/>
      <c r="V56" s="70"/>
      <c r="W56" s="70"/>
      <c r="X56" s="71"/>
      <c r="Y56" s="69"/>
      <c r="Z56" s="70"/>
      <c r="AA56" s="70"/>
      <c r="AB56" s="71"/>
      <c r="AC56" s="69"/>
      <c r="AD56" s="70"/>
      <c r="AE56" s="70"/>
      <c r="AF56" s="71"/>
      <c r="AG56" s="69"/>
      <c r="AH56" s="70"/>
      <c r="AI56" s="70"/>
      <c r="AJ56" s="71"/>
      <c r="AK56" s="69"/>
      <c r="AL56" s="70"/>
      <c r="AM56" s="70"/>
      <c r="AN56" s="71"/>
      <c r="AO56" s="69"/>
      <c r="AP56" s="70"/>
      <c r="AQ56" s="70"/>
      <c r="AR56" s="71"/>
      <c r="AS56" s="69"/>
      <c r="AT56" s="70"/>
      <c r="AU56" s="70"/>
      <c r="AV56" s="71"/>
      <c r="AW56" s="69"/>
      <c r="AX56" s="70"/>
      <c r="AY56" s="70"/>
      <c r="AZ56" s="71"/>
      <c r="BA56" s="40"/>
      <c r="BB56" s="82"/>
      <c r="BC56" s="82"/>
      <c r="BD56" s="80"/>
      <c r="BE56" s="41"/>
    </row>
    <row r="57" spans="2:85" ht="6" customHeight="1" x14ac:dyDescent="0.25">
      <c r="B57" s="72" t="s">
        <v>61</v>
      </c>
      <c r="C57" s="73"/>
      <c r="D57" s="27"/>
      <c r="E57" s="28"/>
      <c r="F57" s="29"/>
      <c r="G57" s="29"/>
      <c r="H57" s="30"/>
      <c r="I57" s="28"/>
      <c r="J57" s="29"/>
      <c r="K57" s="29"/>
      <c r="L57" s="30"/>
      <c r="M57" s="28"/>
      <c r="N57" s="29"/>
      <c r="O57" s="29"/>
      <c r="P57" s="30"/>
      <c r="Q57" s="28"/>
      <c r="R57" s="29"/>
      <c r="S57" s="29"/>
      <c r="T57" s="30"/>
      <c r="U57" s="28"/>
      <c r="V57" s="29"/>
      <c r="W57" s="29"/>
      <c r="X57" s="30"/>
      <c r="Y57" s="28"/>
      <c r="Z57" s="29"/>
      <c r="AA57" s="29"/>
      <c r="AB57" s="30"/>
      <c r="AC57" s="28"/>
      <c r="AD57" s="29"/>
      <c r="AE57" s="29"/>
      <c r="AF57" s="30"/>
      <c r="AG57" s="28"/>
      <c r="AH57" s="29"/>
      <c r="AI57" s="29"/>
      <c r="AJ57" s="30"/>
      <c r="AK57" s="28"/>
      <c r="AL57" s="29"/>
      <c r="AM57" s="29"/>
      <c r="AN57" s="30"/>
      <c r="AO57" s="28"/>
      <c r="AP57" s="29"/>
      <c r="AQ57" s="29"/>
      <c r="AR57" s="30"/>
      <c r="AS57" s="28"/>
      <c r="AT57" s="29"/>
      <c r="AU57" s="29"/>
      <c r="AV57" s="30"/>
      <c r="AW57" s="28"/>
      <c r="AX57" s="29"/>
      <c r="AY57" s="29"/>
      <c r="AZ57" s="30"/>
      <c r="BB57" s="31"/>
      <c r="BC57" s="31"/>
      <c r="BD57" s="78">
        <f>IF(ISBLANK(B57),"",IF(BC58&gt;=BB58,3,IF(BC58=(BB58-1),2,1)))</f>
        <v>1</v>
      </c>
      <c r="BE57" s="20"/>
      <c r="BH57"/>
      <c r="BI57"/>
      <c r="BJ57"/>
      <c r="BK57"/>
      <c r="BL57"/>
      <c r="BM57"/>
      <c r="BN57"/>
      <c r="BO57"/>
      <c r="BP57"/>
      <c r="BQ57"/>
      <c r="BR57"/>
      <c r="BS57"/>
      <c r="BT57"/>
      <c r="BU57"/>
      <c r="CF57"/>
      <c r="CG57"/>
    </row>
    <row r="58" spans="2:85" ht="15" customHeight="1" x14ac:dyDescent="0.25">
      <c r="B58" s="74"/>
      <c r="C58" s="75"/>
      <c r="D58" s="27"/>
      <c r="E58" s="33"/>
      <c r="F58" s="34"/>
      <c r="G58" s="34"/>
      <c r="H58" s="35"/>
      <c r="I58" s="33"/>
      <c r="J58" s="34"/>
      <c r="K58" s="34"/>
      <c r="L58" s="35"/>
      <c r="M58" s="33"/>
      <c r="N58" s="34"/>
      <c r="O58" s="34"/>
      <c r="P58" s="35"/>
      <c r="Q58" s="33"/>
      <c r="R58" s="34"/>
      <c r="S58" s="34"/>
      <c r="T58" s="35"/>
      <c r="U58" s="33"/>
      <c r="V58" s="34"/>
      <c r="W58" s="34"/>
      <c r="X58" s="35"/>
      <c r="Y58" s="33"/>
      <c r="Z58" s="34"/>
      <c r="AA58" s="34"/>
      <c r="AB58" s="35"/>
      <c r="AC58" s="33"/>
      <c r="AD58" s="34"/>
      <c r="AE58" s="34"/>
      <c r="AF58" s="35"/>
      <c r="AG58" s="33"/>
      <c r="AH58" s="34"/>
      <c r="AI58" s="34"/>
      <c r="AJ58" s="35"/>
      <c r="AK58" s="33"/>
      <c r="AL58" s="34"/>
      <c r="AM58" s="34"/>
      <c r="AN58" s="35"/>
      <c r="AO58" s="33"/>
      <c r="AP58" s="34"/>
      <c r="AQ58" s="34"/>
      <c r="AR58" s="35"/>
      <c r="AS58" s="33"/>
      <c r="AT58" s="34"/>
      <c r="AU58" s="34"/>
      <c r="AV58" s="35"/>
      <c r="AW58" s="33"/>
      <c r="AX58" s="34"/>
      <c r="AY58" s="34"/>
      <c r="AZ58" s="35"/>
      <c r="BB58" s="36">
        <v>5</v>
      </c>
      <c r="BC58" s="37">
        <f>IF(ISBLANK(B57),"",COUNTIF(B60:AZ60,"&gt;=3"))</f>
        <v>2</v>
      </c>
      <c r="BD58" s="79"/>
      <c r="BE58" s="20"/>
      <c r="BH58"/>
      <c r="BI58"/>
      <c r="BJ58"/>
      <c r="BK58"/>
      <c r="BL58"/>
      <c r="BM58"/>
      <c r="BN58"/>
      <c r="BO58"/>
      <c r="BP58"/>
      <c r="BQ58"/>
      <c r="BR58"/>
      <c r="BS58"/>
      <c r="BT58"/>
      <c r="BU58"/>
      <c r="CF58"/>
      <c r="CG58"/>
    </row>
    <row r="59" spans="2:85" ht="15" customHeight="1" x14ac:dyDescent="0.25">
      <c r="B59" s="74"/>
      <c r="C59" s="75"/>
      <c r="D59" s="27"/>
      <c r="E59" s="33"/>
      <c r="F59" s="34"/>
      <c r="G59" s="34"/>
      <c r="H59" s="35"/>
      <c r="I59" s="33"/>
      <c r="J59" s="34"/>
      <c r="K59" s="34"/>
      <c r="L59" s="35"/>
      <c r="M59" s="33"/>
      <c r="N59" s="34"/>
      <c r="O59" s="34"/>
      <c r="P59" s="35"/>
      <c r="Q59" s="33"/>
      <c r="R59" s="34"/>
      <c r="S59" s="34"/>
      <c r="T59" s="35"/>
      <c r="U59" s="33"/>
      <c r="V59" s="34"/>
      <c r="W59" s="34"/>
      <c r="X59" s="35"/>
      <c r="Y59" s="33"/>
      <c r="Z59" s="34"/>
      <c r="AA59" s="34"/>
      <c r="AB59" s="35"/>
      <c r="AC59" s="33"/>
      <c r="AD59" s="34"/>
      <c r="AE59" s="34"/>
      <c r="AF59" s="35"/>
      <c r="AG59" s="33"/>
      <c r="AH59" s="34"/>
      <c r="AI59" s="34"/>
      <c r="AJ59" s="35"/>
      <c r="AK59" s="33"/>
      <c r="AL59" s="34"/>
      <c r="AM59" s="34"/>
      <c r="AN59" s="35"/>
      <c r="AO59" s="33"/>
      <c r="AP59" s="34"/>
      <c r="AQ59" s="34"/>
      <c r="AR59" s="35"/>
      <c r="AS59" s="33"/>
      <c r="AT59" s="34"/>
      <c r="AU59" s="34"/>
      <c r="AV59" s="35"/>
      <c r="AW59" s="33"/>
      <c r="AX59" s="34"/>
      <c r="AY59" s="34"/>
      <c r="AZ59" s="35"/>
      <c r="BB59" s="81" t="str">
        <f>IF(ISBLANK(B57),"","personas cualificadas")</f>
        <v>personas cualificadas</v>
      </c>
      <c r="BC59" s="81" t="str">
        <f>IF(ISBLANK(B57),"","personas cualificadas")</f>
        <v>personas cualificadas</v>
      </c>
      <c r="BD59" s="79"/>
      <c r="BE59" s="20"/>
      <c r="BH59"/>
      <c r="BI59"/>
      <c r="BJ59"/>
      <c r="BK59"/>
      <c r="BL59"/>
      <c r="BM59"/>
      <c r="BN59"/>
      <c r="BO59"/>
      <c r="BP59"/>
      <c r="BQ59"/>
      <c r="BR59"/>
      <c r="BS59"/>
      <c r="BT59"/>
      <c r="BU59"/>
      <c r="CF59"/>
      <c r="CG59"/>
    </row>
    <row r="60" spans="2:85" s="42" customFormat="1" x14ac:dyDescent="0.2">
      <c r="B60" s="76"/>
      <c r="C60" s="77"/>
      <c r="D60" s="39"/>
      <c r="E60" s="69"/>
      <c r="F60" s="70"/>
      <c r="G60" s="70"/>
      <c r="H60" s="71"/>
      <c r="I60" s="69"/>
      <c r="J60" s="70"/>
      <c r="K60" s="70"/>
      <c r="L60" s="71"/>
      <c r="M60" s="69"/>
      <c r="N60" s="70"/>
      <c r="O60" s="70"/>
      <c r="P60" s="71"/>
      <c r="Q60" s="69">
        <v>4</v>
      </c>
      <c r="R60" s="70"/>
      <c r="S60" s="70"/>
      <c r="T60" s="71"/>
      <c r="U60" s="69"/>
      <c r="V60" s="70"/>
      <c r="W60" s="70"/>
      <c r="X60" s="71"/>
      <c r="Y60" s="69"/>
      <c r="Z60" s="70"/>
      <c r="AA60" s="70"/>
      <c r="AB60" s="71"/>
      <c r="AC60" s="69"/>
      <c r="AD60" s="70"/>
      <c r="AE60" s="70"/>
      <c r="AF60" s="71"/>
      <c r="AG60" s="69"/>
      <c r="AH60" s="70"/>
      <c r="AI60" s="70"/>
      <c r="AJ60" s="71"/>
      <c r="AK60" s="69"/>
      <c r="AL60" s="70"/>
      <c r="AM60" s="70"/>
      <c r="AN60" s="71"/>
      <c r="AO60" s="69"/>
      <c r="AP60" s="70"/>
      <c r="AQ60" s="70"/>
      <c r="AR60" s="71"/>
      <c r="AS60" s="69">
        <v>4</v>
      </c>
      <c r="AT60" s="70"/>
      <c r="AU60" s="70"/>
      <c r="AV60" s="71"/>
      <c r="AW60" s="69"/>
      <c r="AX60" s="70"/>
      <c r="AY60" s="70"/>
      <c r="AZ60" s="71"/>
      <c r="BA60" s="40"/>
      <c r="BB60" s="82"/>
      <c r="BC60" s="82"/>
      <c r="BD60" s="80"/>
      <c r="BE60" s="41"/>
    </row>
    <row r="61" spans="2:85" s="43" customFormat="1" ht="6.75" customHeight="1" x14ac:dyDescent="0.2">
      <c r="D61" s="44"/>
      <c r="E61" s="67">
        <f>SUM(E13:H60)</f>
        <v>8</v>
      </c>
      <c r="F61" s="67"/>
      <c r="G61" s="67">
        <f>COUNT(E13:H60)*4</f>
        <v>8</v>
      </c>
      <c r="H61" s="67"/>
      <c r="I61" s="67">
        <f>SUM(I13:L60)</f>
        <v>6</v>
      </c>
      <c r="J61" s="67"/>
      <c r="K61" s="67">
        <f>COUNT(I13:L60)*4</f>
        <v>20</v>
      </c>
      <c r="L61" s="67"/>
      <c r="M61" s="67">
        <f>SUM(M13:P60)</f>
        <v>11</v>
      </c>
      <c r="N61" s="67"/>
      <c r="O61" s="67">
        <f>COUNT(M13:P60)*4</f>
        <v>16</v>
      </c>
      <c r="P61" s="67"/>
      <c r="Q61" s="67">
        <f>SUM(Q13:T60)</f>
        <v>5</v>
      </c>
      <c r="R61" s="67"/>
      <c r="S61" s="67">
        <f>COUNT(Q13:T60)*4</f>
        <v>8</v>
      </c>
      <c r="T61" s="67"/>
      <c r="U61" s="67">
        <f>SUM(U13:X60)</f>
        <v>10</v>
      </c>
      <c r="V61" s="67"/>
      <c r="W61" s="67">
        <f>COUNT(U13:X60)*4</f>
        <v>12</v>
      </c>
      <c r="X61" s="67"/>
      <c r="Y61" s="67">
        <f>SUM(Y13:AB60)</f>
        <v>8</v>
      </c>
      <c r="Z61" s="67"/>
      <c r="AA61" s="67">
        <f>COUNT(Y13:AB60)*4</f>
        <v>8</v>
      </c>
      <c r="AB61" s="67"/>
      <c r="AC61" s="67">
        <f>SUM(AC13:AF60)</f>
        <v>16</v>
      </c>
      <c r="AD61" s="67"/>
      <c r="AE61" s="67">
        <f>COUNT(AC13:AF60)*4</f>
        <v>16</v>
      </c>
      <c r="AF61" s="67"/>
      <c r="AG61" s="67">
        <f>SUM(AG13:AJ60)</f>
        <v>11</v>
      </c>
      <c r="AH61" s="67"/>
      <c r="AI61" s="67">
        <f>COUNT(AG13:AJ60)*4</f>
        <v>20</v>
      </c>
      <c r="AJ61" s="67"/>
      <c r="AK61" s="67">
        <f>SUM(AK13:AN60)</f>
        <v>16</v>
      </c>
      <c r="AL61" s="67"/>
      <c r="AM61" s="67">
        <f>COUNT(AK13:AN60)*4</f>
        <v>16</v>
      </c>
      <c r="AN61" s="67"/>
      <c r="AO61" s="67">
        <f>SUM(AO13:AR60)</f>
        <v>14</v>
      </c>
      <c r="AP61" s="67"/>
      <c r="AQ61" s="67">
        <f>COUNT(AO13:AR60)*4</f>
        <v>16</v>
      </c>
      <c r="AR61" s="67"/>
      <c r="AS61" s="67">
        <f>SUM(AS13:AV60)</f>
        <v>4</v>
      </c>
      <c r="AT61" s="67"/>
      <c r="AU61" s="67">
        <f>COUNT(AS13:AV60)*4</f>
        <v>4</v>
      </c>
      <c r="AV61" s="67"/>
      <c r="AW61" s="67">
        <f>SUM(AW13:AZ60)</f>
        <v>0</v>
      </c>
      <c r="AX61" s="67"/>
      <c r="AY61" s="67">
        <f>COUNT(AW13:AZ60)*4</f>
        <v>0</v>
      </c>
      <c r="AZ61" s="67"/>
      <c r="BA61" s="45"/>
    </row>
    <row r="62" spans="2:85" x14ac:dyDescent="0.25">
      <c r="B62" s="68" t="s">
        <v>62</v>
      </c>
      <c r="C62" s="68"/>
      <c r="E62" s="65">
        <f>IFERROR(E61/G61,"")</f>
        <v>1</v>
      </c>
      <c r="F62" s="65"/>
      <c r="G62" s="65"/>
      <c r="H62" s="65"/>
      <c r="I62" s="65">
        <f>IFERROR(I61/K61,"")</f>
        <v>0.3</v>
      </c>
      <c r="J62" s="65"/>
      <c r="K62" s="65"/>
      <c r="L62" s="65"/>
      <c r="M62" s="65">
        <f>IFERROR(M61/O61,"")</f>
        <v>0.6875</v>
      </c>
      <c r="N62" s="65"/>
      <c r="O62" s="65"/>
      <c r="P62" s="65"/>
      <c r="Q62" s="65">
        <f>IFERROR(Q61/S61,"")</f>
        <v>0.625</v>
      </c>
      <c r="R62" s="65"/>
      <c r="S62" s="65"/>
      <c r="T62" s="65"/>
      <c r="U62" s="65">
        <f>IFERROR(U61/W61,"")</f>
        <v>0.83333333333333337</v>
      </c>
      <c r="V62" s="65"/>
      <c r="W62" s="65"/>
      <c r="X62" s="65"/>
      <c r="Y62" s="65">
        <f>IFERROR(Y61/AA61,"")</f>
        <v>1</v>
      </c>
      <c r="Z62" s="65"/>
      <c r="AA62" s="65"/>
      <c r="AB62" s="65"/>
      <c r="AC62" s="65">
        <f>IFERROR(AC61/AE61,"")</f>
        <v>1</v>
      </c>
      <c r="AD62" s="65"/>
      <c r="AE62" s="65"/>
      <c r="AF62" s="65"/>
      <c r="AG62" s="65">
        <f>IFERROR(AG61/AI61,"")</f>
        <v>0.55000000000000004</v>
      </c>
      <c r="AH62" s="65"/>
      <c r="AI62" s="65"/>
      <c r="AJ62" s="65"/>
      <c r="AK62" s="65">
        <f>IFERROR(AK61/AM61,"")</f>
        <v>1</v>
      </c>
      <c r="AL62" s="65"/>
      <c r="AM62" s="65"/>
      <c r="AN62" s="65"/>
      <c r="AO62" s="65">
        <f>IFERROR(AO61/AQ61,"")</f>
        <v>0.875</v>
      </c>
      <c r="AP62" s="65"/>
      <c r="AQ62" s="65"/>
      <c r="AR62" s="65"/>
      <c r="AS62" s="65">
        <f>IFERROR(AS61/AU61,"")</f>
        <v>1</v>
      </c>
      <c r="AT62" s="65"/>
      <c r="AU62" s="65"/>
      <c r="AV62" s="65"/>
      <c r="AW62" s="65" t="str">
        <f>IFERROR(AW61/AY61,"")</f>
        <v/>
      </c>
      <c r="AX62" s="65"/>
      <c r="AY62" s="65"/>
      <c r="AZ62" s="65"/>
      <c r="BA62" s="46"/>
      <c r="BB62" s="59" t="s">
        <v>63</v>
      </c>
      <c r="BC62" s="60"/>
      <c r="BD62" s="63">
        <f>IFERROR(AVERAGE(AG62:AZ63),"")</f>
        <v>0.85624999999999996</v>
      </c>
      <c r="BH62"/>
      <c r="BI62"/>
      <c r="BJ62"/>
      <c r="BK62"/>
      <c r="BL62"/>
      <c r="BM62"/>
      <c r="BN62"/>
      <c r="BO62"/>
      <c r="BP62"/>
      <c r="BQ62"/>
      <c r="BR62"/>
      <c r="BS62"/>
      <c r="BT62"/>
      <c r="BU62"/>
      <c r="CF62"/>
      <c r="CG62"/>
    </row>
    <row r="63" spans="2:85" ht="15.75" x14ac:dyDescent="0.25">
      <c r="B63" s="68"/>
      <c r="C63" s="68"/>
      <c r="D63" s="47"/>
      <c r="E63" s="66"/>
      <c r="F63" s="66"/>
      <c r="G63" s="66"/>
      <c r="H63" s="66"/>
      <c r="I63" s="66"/>
      <c r="J63" s="66"/>
      <c r="K63" s="66"/>
      <c r="L63" s="66"/>
      <c r="M63" s="66"/>
      <c r="N63" s="66"/>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48"/>
      <c r="BB63" s="61"/>
      <c r="BC63" s="62"/>
      <c r="BD63" s="64"/>
      <c r="BE63" s="20"/>
      <c r="BH63"/>
      <c r="BI63"/>
      <c r="BJ63"/>
      <c r="BK63"/>
      <c r="BL63"/>
      <c r="BM63"/>
      <c r="BN63"/>
      <c r="BO63"/>
      <c r="BP63"/>
      <c r="BQ63"/>
      <c r="BR63"/>
      <c r="BS63"/>
      <c r="BT63"/>
      <c r="BU63"/>
      <c r="CF63"/>
      <c r="CG63"/>
    </row>
    <row r="64" spans="2:85" x14ac:dyDescent="0.25">
      <c r="BB64"/>
      <c r="BC64"/>
    </row>
    <row r="65" spans="54:55" x14ac:dyDescent="0.25">
      <c r="BB65"/>
      <c r="BC65"/>
    </row>
  </sheetData>
  <mergeCells count="268">
    <mergeCell ref="Q5:T8"/>
    <mergeCell ref="BD5:BD8"/>
    <mergeCell ref="B7:B8"/>
    <mergeCell ref="C7:C8"/>
    <mergeCell ref="E8:H8"/>
    <mergeCell ref="M8:P8"/>
    <mergeCell ref="B3:B4"/>
    <mergeCell ref="C3:C4"/>
    <mergeCell ref="E3:AZ4"/>
    <mergeCell ref="BB3:BD4"/>
    <mergeCell ref="B5:B6"/>
    <mergeCell ref="C5:C6"/>
    <mergeCell ref="I5:L8"/>
    <mergeCell ref="Y5:AF8"/>
    <mergeCell ref="AG5:AN8"/>
    <mergeCell ref="AO8:AR8"/>
    <mergeCell ref="B10:C12"/>
    <mergeCell ref="E10:AF10"/>
    <mergeCell ref="AG10:AZ10"/>
    <mergeCell ref="BB10:BB12"/>
    <mergeCell ref="BC10:BC12"/>
    <mergeCell ref="Q11:T12"/>
    <mergeCell ref="U11:X12"/>
    <mergeCell ref="AS5:AZ8"/>
    <mergeCell ref="BB5:BB8"/>
    <mergeCell ref="BC5:BC8"/>
    <mergeCell ref="BD10:BD12"/>
    <mergeCell ref="E11:H12"/>
    <mergeCell ref="I11:L12"/>
    <mergeCell ref="M11:P12"/>
    <mergeCell ref="AS11:AV12"/>
    <mergeCell ref="AW11:AZ12"/>
    <mergeCell ref="B13:C16"/>
    <mergeCell ref="Q16:T16"/>
    <mergeCell ref="AG11:AJ12"/>
    <mergeCell ref="AK11:AN12"/>
    <mergeCell ref="AO11:AR12"/>
    <mergeCell ref="Y11:AB12"/>
    <mergeCell ref="AC11:AF12"/>
    <mergeCell ref="Y16:AB16"/>
    <mergeCell ref="BD13:BD16"/>
    <mergeCell ref="BB15:BB16"/>
    <mergeCell ref="BC15:BC16"/>
    <mergeCell ref="E16:H16"/>
    <mergeCell ref="I16:L16"/>
    <mergeCell ref="M16:P16"/>
    <mergeCell ref="AW16:AZ16"/>
    <mergeCell ref="B17:C20"/>
    <mergeCell ref="BD17:BD20"/>
    <mergeCell ref="BB19:BB20"/>
    <mergeCell ref="BC19:BC20"/>
    <mergeCell ref="E20:H20"/>
    <mergeCell ref="I20:L20"/>
    <mergeCell ref="AK16:AN16"/>
    <mergeCell ref="AO16:AR16"/>
    <mergeCell ref="AS16:AV16"/>
    <mergeCell ref="AC16:AF16"/>
    <mergeCell ref="AG16:AJ16"/>
    <mergeCell ref="U16:X16"/>
    <mergeCell ref="Y20:AB20"/>
    <mergeCell ref="M20:P20"/>
    <mergeCell ref="Q20:T20"/>
    <mergeCell ref="AW20:AZ20"/>
    <mergeCell ref="B21:C24"/>
    <mergeCell ref="BD21:BD24"/>
    <mergeCell ref="BB23:BB24"/>
    <mergeCell ref="BC23:BC24"/>
    <mergeCell ref="E24:H24"/>
    <mergeCell ref="I24:L24"/>
    <mergeCell ref="AK20:AN20"/>
    <mergeCell ref="AO20:AR20"/>
    <mergeCell ref="AS20:AV20"/>
    <mergeCell ref="AC20:AF20"/>
    <mergeCell ref="AG20:AJ20"/>
    <mergeCell ref="U20:X20"/>
    <mergeCell ref="Y24:AB24"/>
    <mergeCell ref="M24:P24"/>
    <mergeCell ref="Q24:T24"/>
    <mergeCell ref="AW24:AZ24"/>
    <mergeCell ref="B25:C28"/>
    <mergeCell ref="BD25:BD28"/>
    <mergeCell ref="BB27:BB28"/>
    <mergeCell ref="BC27:BC28"/>
    <mergeCell ref="E28:H28"/>
    <mergeCell ref="I28:L28"/>
    <mergeCell ref="AK24:AN24"/>
    <mergeCell ref="AO24:AR24"/>
    <mergeCell ref="AS24:AV24"/>
    <mergeCell ref="AC24:AF24"/>
    <mergeCell ref="AG24:AJ24"/>
    <mergeCell ref="U24:X24"/>
    <mergeCell ref="Y28:AB28"/>
    <mergeCell ref="M28:P28"/>
    <mergeCell ref="Q28:T28"/>
    <mergeCell ref="AW28:AZ28"/>
    <mergeCell ref="B29:C32"/>
    <mergeCell ref="BD29:BD32"/>
    <mergeCell ref="BB31:BB32"/>
    <mergeCell ref="BC31:BC32"/>
    <mergeCell ref="E32:H32"/>
    <mergeCell ref="I32:L32"/>
    <mergeCell ref="AK28:AN28"/>
    <mergeCell ref="AO28:AR28"/>
    <mergeCell ref="AS28:AV28"/>
    <mergeCell ref="AC28:AF28"/>
    <mergeCell ref="AG28:AJ28"/>
    <mergeCell ref="U28:X28"/>
    <mergeCell ref="Y32:AB32"/>
    <mergeCell ref="M32:P32"/>
    <mergeCell ref="Q32:T32"/>
    <mergeCell ref="AW32:AZ32"/>
    <mergeCell ref="B33:C36"/>
    <mergeCell ref="BD33:BD36"/>
    <mergeCell ref="BB35:BB36"/>
    <mergeCell ref="BC35:BC36"/>
    <mergeCell ref="E36:H36"/>
    <mergeCell ref="I36:L36"/>
    <mergeCell ref="AK32:AN32"/>
    <mergeCell ref="AO32:AR32"/>
    <mergeCell ref="AS32:AV32"/>
    <mergeCell ref="AC32:AF32"/>
    <mergeCell ref="AG32:AJ32"/>
    <mergeCell ref="U32:X32"/>
    <mergeCell ref="Y36:AB36"/>
    <mergeCell ref="M36:P36"/>
    <mergeCell ref="Q36:T36"/>
    <mergeCell ref="AW36:AZ36"/>
    <mergeCell ref="B37:C40"/>
    <mergeCell ref="BD37:BD40"/>
    <mergeCell ref="BB39:BB40"/>
    <mergeCell ref="BC39:BC40"/>
    <mergeCell ref="E40:H40"/>
    <mergeCell ref="I40:L40"/>
    <mergeCell ref="AK36:AN36"/>
    <mergeCell ref="AO36:AR36"/>
    <mergeCell ref="AS36:AV36"/>
    <mergeCell ref="AC36:AF36"/>
    <mergeCell ref="AG36:AJ36"/>
    <mergeCell ref="U36:X36"/>
    <mergeCell ref="Y40:AB40"/>
    <mergeCell ref="M40:P40"/>
    <mergeCell ref="Q40:T40"/>
    <mergeCell ref="AW40:AZ40"/>
    <mergeCell ref="B41:C44"/>
    <mergeCell ref="BD41:BD44"/>
    <mergeCell ref="BB43:BB44"/>
    <mergeCell ref="BC43:BC44"/>
    <mergeCell ref="E44:H44"/>
    <mergeCell ref="I44:L44"/>
    <mergeCell ref="AK40:AN40"/>
    <mergeCell ref="AO40:AR40"/>
    <mergeCell ref="AS40:AV40"/>
    <mergeCell ref="AC40:AF40"/>
    <mergeCell ref="AG40:AJ40"/>
    <mergeCell ref="U40:X40"/>
    <mergeCell ref="Y44:AB44"/>
    <mergeCell ref="M44:P44"/>
    <mergeCell ref="Q44:T44"/>
    <mergeCell ref="AW44:AZ44"/>
    <mergeCell ref="B45:C48"/>
    <mergeCell ref="BD45:BD48"/>
    <mergeCell ref="BB47:BB48"/>
    <mergeCell ref="BC47:BC48"/>
    <mergeCell ref="E48:H48"/>
    <mergeCell ref="I48:L48"/>
    <mergeCell ref="AK44:AN44"/>
    <mergeCell ref="AO44:AR44"/>
    <mergeCell ref="AS44:AV44"/>
    <mergeCell ref="AC44:AF44"/>
    <mergeCell ref="AG44:AJ44"/>
    <mergeCell ref="U44:X44"/>
    <mergeCell ref="Y48:AB48"/>
    <mergeCell ref="M48:P48"/>
    <mergeCell ref="Q48:T48"/>
    <mergeCell ref="AW48:AZ48"/>
    <mergeCell ref="B49:C52"/>
    <mergeCell ref="BD49:BD52"/>
    <mergeCell ref="BB51:BB52"/>
    <mergeCell ref="BC51:BC52"/>
    <mergeCell ref="E52:H52"/>
    <mergeCell ref="I52:L52"/>
    <mergeCell ref="AK48:AN48"/>
    <mergeCell ref="AO48:AR48"/>
    <mergeCell ref="AS48:AV48"/>
    <mergeCell ref="AC48:AF48"/>
    <mergeCell ref="AG48:AJ48"/>
    <mergeCell ref="U48:X48"/>
    <mergeCell ref="Y52:AB52"/>
    <mergeCell ref="M52:P52"/>
    <mergeCell ref="Q52:T52"/>
    <mergeCell ref="AW52:AZ52"/>
    <mergeCell ref="B53:C56"/>
    <mergeCell ref="BD53:BD56"/>
    <mergeCell ref="BB55:BB56"/>
    <mergeCell ref="BC55:BC56"/>
    <mergeCell ref="E56:H56"/>
    <mergeCell ref="I56:L56"/>
    <mergeCell ref="AK52:AN52"/>
    <mergeCell ref="AO52:AR52"/>
    <mergeCell ref="AS52:AV52"/>
    <mergeCell ref="AC52:AF52"/>
    <mergeCell ref="AG52:AJ52"/>
    <mergeCell ref="U52:X52"/>
    <mergeCell ref="Y56:AB56"/>
    <mergeCell ref="M56:P56"/>
    <mergeCell ref="Q56:T56"/>
    <mergeCell ref="AW56:AZ56"/>
    <mergeCell ref="B57:C60"/>
    <mergeCell ref="BD57:BD60"/>
    <mergeCell ref="BB59:BB60"/>
    <mergeCell ref="BC59:BC60"/>
    <mergeCell ref="E60:H60"/>
    <mergeCell ref="I60:L60"/>
    <mergeCell ref="AK56:AN56"/>
    <mergeCell ref="AO56:AR56"/>
    <mergeCell ref="AS56:AV56"/>
    <mergeCell ref="AC56:AF56"/>
    <mergeCell ref="AG56:AJ56"/>
    <mergeCell ref="U56:X56"/>
    <mergeCell ref="Y60:AB60"/>
    <mergeCell ref="M60:P60"/>
    <mergeCell ref="Q60:T60"/>
    <mergeCell ref="AW60:AZ60"/>
    <mergeCell ref="E61:F61"/>
    <mergeCell ref="G61:H61"/>
    <mergeCell ref="I61:J61"/>
    <mergeCell ref="K61:L61"/>
    <mergeCell ref="AK60:AN60"/>
    <mergeCell ref="AO60:AR60"/>
    <mergeCell ref="AS60:AV60"/>
    <mergeCell ref="AC60:AF60"/>
    <mergeCell ref="AG60:AJ60"/>
    <mergeCell ref="U60:X60"/>
    <mergeCell ref="Q61:R61"/>
    <mergeCell ref="S61:T61"/>
    <mergeCell ref="M61:N61"/>
    <mergeCell ref="O61:P61"/>
    <mergeCell ref="Y61:Z61"/>
    <mergeCell ref="AA61:AB61"/>
    <mergeCell ref="U61:V61"/>
    <mergeCell ref="W61:X61"/>
    <mergeCell ref="AG61:AH61"/>
    <mergeCell ref="AC61:AD61"/>
    <mergeCell ref="AE61:AF61"/>
    <mergeCell ref="AU61:AV61"/>
    <mergeCell ref="AW61:AX61"/>
    <mergeCell ref="AY61:AZ61"/>
    <mergeCell ref="B62:C63"/>
    <mergeCell ref="E62:H63"/>
    <mergeCell ref="I62:L63"/>
    <mergeCell ref="AS61:AT61"/>
    <mergeCell ref="AI61:AJ61"/>
    <mergeCell ref="AK61:AL61"/>
    <mergeCell ref="AM61:AN61"/>
    <mergeCell ref="AO61:AP61"/>
    <mergeCell ref="AQ61:AR61"/>
    <mergeCell ref="Y62:AB63"/>
    <mergeCell ref="AC62:AF63"/>
    <mergeCell ref="M62:P63"/>
    <mergeCell ref="Q62:T63"/>
    <mergeCell ref="U62:X63"/>
    <mergeCell ref="BB62:BC63"/>
    <mergeCell ref="BD62:BD63"/>
    <mergeCell ref="AO62:AR63"/>
    <mergeCell ref="AS62:AV63"/>
    <mergeCell ref="AW62:AZ63"/>
    <mergeCell ref="AG62:AJ63"/>
    <mergeCell ref="AK62:AN63"/>
  </mergeCells>
  <conditionalFormatting sqref="C3:C6">
    <cfRule type="containsBlanks" dxfId="195" priority="45">
      <formula>LEN(TRIM(C3))=0</formula>
    </cfRule>
  </conditionalFormatting>
  <conditionalFormatting sqref="F6">
    <cfRule type="expression" dxfId="194" priority="32" stopIfTrue="1">
      <formula>AND(E8&gt;0)</formula>
    </cfRule>
  </conditionalFormatting>
  <conditionalFormatting sqref="F7">
    <cfRule type="expression" dxfId="193" priority="30" stopIfTrue="1">
      <formula>AND(E8&gt;2)</formula>
    </cfRule>
  </conditionalFormatting>
  <conditionalFormatting sqref="F14">
    <cfRule type="expression" dxfId="192" priority="44" stopIfTrue="1">
      <formula>AND(E16&gt;0)</formula>
    </cfRule>
  </conditionalFormatting>
  <conditionalFormatting sqref="F15">
    <cfRule type="expression" dxfId="191" priority="42" stopIfTrue="1">
      <formula>AND(E16&gt;2)</formula>
    </cfRule>
  </conditionalFormatting>
  <conditionalFormatting sqref="F18 F22 F26 F30 F34 F38 F42 F46 F50 F54 F58">
    <cfRule type="expression" dxfId="190" priority="36" stopIfTrue="1">
      <formula>AND(E20&gt;0)</formula>
    </cfRule>
  </conditionalFormatting>
  <conditionalFormatting sqref="F19 F23 F27 F31 F35 F39 F43 F47 F51 F55 F59">
    <cfRule type="expression" dxfId="189" priority="34" stopIfTrue="1">
      <formula>AND(E20&gt;2)</formula>
    </cfRule>
  </conditionalFormatting>
  <conditionalFormatting sqref="G6">
    <cfRule type="expression" dxfId="188" priority="31" stopIfTrue="1">
      <formula>AND(E8&gt;1)</formula>
    </cfRule>
  </conditionalFormatting>
  <conditionalFormatting sqref="G7">
    <cfRule type="expression" dxfId="187" priority="29" stopIfTrue="1">
      <formula>AND(E8&gt;3)</formula>
    </cfRule>
  </conditionalFormatting>
  <conditionalFormatting sqref="G14">
    <cfRule type="expression" dxfId="186" priority="43" stopIfTrue="1">
      <formula>AND(E16&gt;1)</formula>
    </cfRule>
  </conditionalFormatting>
  <conditionalFormatting sqref="G15">
    <cfRule type="expression" dxfId="185" priority="41" stopIfTrue="1">
      <formula>AND(E16&gt;3)</formula>
    </cfRule>
  </conditionalFormatting>
  <conditionalFormatting sqref="G18 G22 G26 G30 G34 G38 G42 G46 G50 G54 G58">
    <cfRule type="expression" dxfId="184" priority="35" stopIfTrue="1">
      <formula>AND(E20&gt;1)</formula>
    </cfRule>
  </conditionalFormatting>
  <conditionalFormatting sqref="G19 G23 G27 G31 G35 G39 G43 G47 G51 G55 G59">
    <cfRule type="expression" dxfId="183" priority="33" stopIfTrue="1">
      <formula>AND(E20&gt;3)</formula>
    </cfRule>
  </conditionalFormatting>
  <conditionalFormatting sqref="J14 N14 R14 V14 Z14 AD14 AH14 AL14 AP14 AX14 J18 N18 R18 V18 Z18 AD18 AH18 AL18 AP18 AX18 J22 R22 V22 Z22 AD22 AH22 AL22 AP22 AX22 J26 N26 R26 V26 Z26 AD26 AH26 AL26 AP26 AX26 J30 N30 R30 V30 Z30 AD30 AH30 AL30 AP30 AX30 J34 N34 R34 V34 Z34 AD34 AH34 AL34 AP34 AX34 J38 N38 R38 V38 Z38 AD38 AH38 AL38 AP38 AX38 J42 N42 R42 V42 Z42 AD42 AH42 AL42 AP42 AX42 J46 N46 R46 V46 Z46 AD46 AH46 AL46 AP46 AX46 J50 N50 R50 V50 Z50 AD50 AH50 AL50 AP50 AX50 J54 N54 R54 V54 Z54 AD54 AH54 AL54 AP54 AX54 J58 N58 R58 V58 Z58 AD58 AH58 AL58 AP58 AX58">
    <cfRule type="expression" dxfId="182" priority="40" stopIfTrue="1">
      <formula>AND(I16&gt;0)</formula>
    </cfRule>
  </conditionalFormatting>
  <conditionalFormatting sqref="J15 N15 R15 V15 Z15 AD15 AH15 AL15 AP15 AX15 J19 N19 R19 V19 Z19 AD19 AH19 AL19 AP19 AX19 J23 R23 V23 Z23 AD23 AH23 AL23 AP23 AX23 J27 N27 R27 V27 Z27 AD27 AH27 AL27 AP27 AX27 J31 N31 R31 V31 Z31 AD31 AH31 AL31 AP31 AX31 J35 N35 R35 V35 Z35 AD35 AH35 AL35 AP35 AX35 J39 N39 R39 V39 Z39 AD39 AH39 AL39 AP39 AX39 J43 N43 R43 V43 Z43 AD43 AH43 AL43 AP43 AX43 J47 N47 R47 V47 Z47 AD47 AH47 AL47 AP47 AX47 J51 N51 R51 V51 Z51 AD51 AH51 AL51 AP51 AX51 J55 N55 R55 V55 Z55 AD55 AH55 AL55 AP55 AX55 J59 N59 R59 V59 Z59 AD59 AH59 AL59 AP59 AX59">
    <cfRule type="expression" dxfId="181" priority="38" stopIfTrue="1">
      <formula>AND(I16&gt;2)</formula>
    </cfRule>
  </conditionalFormatting>
  <conditionalFormatting sqref="K14 O14 S14 W14 AA14 AE14 AI14 AM14 AQ14 AY14 K18 O18 S18 W18 AA18 AE18 AI18 AM18 AQ18 AY18 K22 S22 W22 AA22 AE22 AI22 AM22 AQ22 AY22 K26 O26 S26 W26 AA26 AE26 AI26 AM26 AQ26 AY26 K30 O30 S30 W30 AA30 AE30 AI30 AM30 AQ30 AY30 K34 O34 S34 W34 AA34 AE34 AI34 AM34 AQ34 AY34 K38 O38 S38 W38 AA38 AE38 AI38 AM38 AQ38 AY38 K42 O42 S42 W42 AA42 AE42 AI42 AM42 AQ42 AY42 K46 O46 S46 W46 AA46 AE46 AI46 AM46 AQ46 AY46 K50 O50 S50 W50 AA50 AE50 AI50 AM50 AQ50 AY50 K54 O54 S54 W54 AA54 AE54 AI54 AM54 AQ54 AY54 K58 O58 S58 W58 AA58 AE58 AI58 AM58 AQ58 AY58">
    <cfRule type="expression" dxfId="180" priority="39" stopIfTrue="1">
      <formula>AND(I16&gt;1)</formula>
    </cfRule>
  </conditionalFormatting>
  <conditionalFormatting sqref="K15 O15 S15 W15 AA15 AE15 AI15 AM15 AQ15 AY15 K19 O19 S19 W19 AA19 AE19 AI19 AM19 AQ19 AY19 K23 S23 W23 AA23 AE23 AI23 AM23 AQ23 AY23 K27 O27 S27 W27 AA27 AE27 AI27 AM27 AQ27 AY27 K31 O31 S31 W31 AA31 AE31 AI31 AM31 AQ31 AY31 K35 O35 S35 W35 AA35 AE35 AI35 AM35 AQ35 AY35 K39 O39 S39 W39 AA39 AE39 AI39 AM39 AQ39 AY39 K43 O43 S43 W43 AA43 AE43 AI43 AM43 AQ43 AY43 K47 O47 S47 W47 AA47 AE47 AI47 AM47 AQ47 AY47 K51 O51 S51 W51 AA51 AE51 AI51 AM51 AQ51 AY51 K55 O55 S55 W55 AA55 AE55 AI55 AM55 AQ55 AY55 K59 O59 S59 W59 AA59 AE59 AI59 AM59 AQ59 AY59">
    <cfRule type="expression" dxfId="179" priority="37" stopIfTrue="1">
      <formula>AND(I16&gt;3)</formula>
    </cfRule>
  </conditionalFormatting>
  <conditionalFormatting sqref="N6">
    <cfRule type="expression" dxfId="178" priority="28" stopIfTrue="1">
      <formula>AND(M8&gt;0)</formula>
    </cfRule>
  </conditionalFormatting>
  <conditionalFormatting sqref="N7">
    <cfRule type="expression" dxfId="177" priority="26" stopIfTrue="1">
      <formula>AND(M8&gt;2)</formula>
    </cfRule>
  </conditionalFormatting>
  <conditionalFormatting sqref="O6">
    <cfRule type="expression" dxfId="176" priority="27" stopIfTrue="1">
      <formula>AND(M8&gt;1)</formula>
    </cfRule>
  </conditionalFormatting>
  <conditionalFormatting sqref="O7">
    <cfRule type="expression" dxfId="175" priority="25" stopIfTrue="1">
      <formula>AND(M8&gt;3)</formula>
    </cfRule>
  </conditionalFormatting>
  <conditionalFormatting sqref="AP6">
    <cfRule type="expression" dxfId="166" priority="12" stopIfTrue="1">
      <formula>AND(AO8&gt;0)</formula>
    </cfRule>
  </conditionalFormatting>
  <conditionalFormatting sqref="AP7">
    <cfRule type="expression" dxfId="165" priority="10" stopIfTrue="1">
      <formula>AND(AO8&gt;2)</formula>
    </cfRule>
  </conditionalFormatting>
  <conditionalFormatting sqref="AQ6">
    <cfRule type="expression" dxfId="164" priority="11" stopIfTrue="1">
      <formula>AND(AO8&gt;1)</formula>
    </cfRule>
  </conditionalFormatting>
  <conditionalFormatting sqref="AQ7">
    <cfRule type="expression" dxfId="163" priority="9" stopIfTrue="1">
      <formula>AND(AO8&gt;3)</formula>
    </cfRule>
  </conditionalFormatting>
  <conditionalFormatting sqref="AT14 AT18 AT22 AT26 AT30 AT34 AT38 AT42 AT46 AT50 AT54 AT58">
    <cfRule type="expression" dxfId="162" priority="16" stopIfTrue="1">
      <formula>AND(AS16&gt;0)</formula>
    </cfRule>
  </conditionalFormatting>
  <conditionalFormatting sqref="AT15 AT19 AT23 AT27 AT31 AT35 AT39 AT43 AT47 AT51 AT55 AT59">
    <cfRule type="expression" dxfId="161" priority="14" stopIfTrue="1">
      <formula>AND(AS16&gt;2)</formula>
    </cfRule>
  </conditionalFormatting>
  <conditionalFormatting sqref="AU14 AU18 AU22 AU26 AU30 AU34 AU38 AU42 AU46 AU50 AU54 AU58">
    <cfRule type="expression" dxfId="160" priority="15" stopIfTrue="1">
      <formula>AND(AS16&gt;1)</formula>
    </cfRule>
  </conditionalFormatting>
  <conditionalFormatting sqref="AU15 AU19 AU23 AU27 AU31 AU35 AU39 AU43 AU47 AU51 AU55 AU59">
    <cfRule type="expression" dxfId="159" priority="13" stopIfTrue="1">
      <formula>AND(AS16&gt;3)</formula>
    </cfRule>
  </conditionalFormatting>
  <conditionalFormatting sqref="BD13:BD60">
    <cfRule type="cellIs" dxfId="158" priority="46" operator="equal">
      <formula>1</formula>
    </cfRule>
    <cfRule type="cellIs" dxfId="157" priority="47" operator="equal">
      <formula>2</formula>
    </cfRule>
    <cfRule type="cellIs" dxfId="156" priority="48" operator="equal">
      <formula>3</formula>
    </cfRule>
  </conditionalFormatting>
  <conditionalFormatting sqref="N22">
    <cfRule type="expression" dxfId="147" priority="4" stopIfTrue="1">
      <formula>AND(M24&gt;0)</formula>
    </cfRule>
  </conditionalFormatting>
  <conditionalFormatting sqref="N23">
    <cfRule type="expression" dxfId="146" priority="2" stopIfTrue="1">
      <formula>AND(M24&gt;2)</formula>
    </cfRule>
  </conditionalFormatting>
  <conditionalFormatting sqref="O22">
    <cfRule type="expression" dxfId="145" priority="3" stopIfTrue="1">
      <formula>AND(M24&gt;1)</formula>
    </cfRule>
  </conditionalFormatting>
  <conditionalFormatting sqref="O23">
    <cfRule type="expression" dxfId="144" priority="1" stopIfTrue="1">
      <formula>AND(M24&gt;3)</formula>
    </cfRule>
  </conditionalFormatting>
  <printOptions horizontalCentered="1" verticalCentered="1"/>
  <pageMargins left="0.70866141732283472" right="0.70866141732283472" top="0.74803149606299213" bottom="0.74803149606299213" header="0.31496062992125984" footer="0.31496062992125984"/>
  <pageSetup paperSize="8" scale="6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204AA-D54E-45F3-A745-5055B10E3BF2}">
  <sheetPr>
    <pageSetUpPr fitToPage="1"/>
  </sheetPr>
  <dimension ref="B1:DC65"/>
  <sheetViews>
    <sheetView showGridLines="0" zoomScale="55" zoomScaleNormal="55" workbookViewId="0">
      <pane xSplit="4" ySplit="12" topLeftCell="E13" activePane="bottomRight" state="frozen"/>
      <selection pane="topRight" activeCell="E1" sqref="E1"/>
      <selection pane="bottomLeft" activeCell="A13" sqref="A13"/>
      <selection pane="bottomRight" activeCell="BF3" sqref="BF3:BH4"/>
    </sheetView>
  </sheetViews>
  <sheetFormatPr baseColWidth="10" defaultColWidth="10" defaultRowHeight="15" x14ac:dyDescent="0.25"/>
  <cols>
    <col min="1" max="1" width="2.42578125" customWidth="1"/>
    <col min="2" max="2" width="32.140625" customWidth="1"/>
    <col min="3" max="3" width="22.42578125" customWidth="1"/>
    <col min="4" max="4" width="0.7109375" style="1" customWidth="1"/>
    <col min="5" max="56" width="3.42578125" customWidth="1"/>
    <col min="57" max="57" width="0.7109375" style="1" customWidth="1"/>
    <col min="58" max="58" width="15.42578125" style="2" customWidth="1"/>
    <col min="59" max="59" width="23.28515625" style="2" customWidth="1"/>
    <col min="60" max="60" width="13.7109375" customWidth="1"/>
    <col min="61" max="61" width="2.42578125" customWidth="1"/>
    <col min="62" max="63" width="8.140625" customWidth="1"/>
    <col min="64" max="77" width="8.140625" style="5" customWidth="1"/>
    <col min="78" max="82" width="8.140625" customWidth="1"/>
    <col min="83" max="87" width="9.42578125" customWidth="1"/>
    <col min="88" max="89" width="9.42578125" style="5" customWidth="1"/>
    <col min="90" max="102" width="9.42578125" customWidth="1"/>
    <col min="103" max="104" width="1.28515625" customWidth="1"/>
    <col min="105" max="106" width="2.42578125" customWidth="1"/>
    <col min="107" max="107" width="1.28515625" customWidth="1"/>
  </cols>
  <sheetData>
    <row r="1" spans="2:107" ht="40.15" customHeight="1" x14ac:dyDescent="0.3">
      <c r="BG1" s="3" t="s">
        <v>0</v>
      </c>
      <c r="BH1" s="4">
        <v>46082</v>
      </c>
    </row>
    <row r="2" spans="2:107" ht="40.15" customHeight="1" x14ac:dyDescent="0.25">
      <c r="BG2" s="6" t="s">
        <v>1</v>
      </c>
      <c r="BH2" s="7">
        <v>46266</v>
      </c>
    </row>
    <row r="3" spans="2:107" ht="15" customHeight="1" x14ac:dyDescent="0.25">
      <c r="B3" s="117" t="s">
        <v>2</v>
      </c>
      <c r="C3" s="118" t="s">
        <v>3</v>
      </c>
      <c r="D3" s="8"/>
      <c r="E3" s="120"/>
      <c r="F3" s="120"/>
      <c r="G3" s="120"/>
      <c r="H3" s="120"/>
      <c r="I3" s="120"/>
      <c r="J3" s="120"/>
      <c r="K3" s="120"/>
      <c r="L3" s="120"/>
      <c r="M3" s="120"/>
      <c r="N3" s="120"/>
      <c r="O3" s="120"/>
      <c r="P3" s="120"/>
      <c r="Q3" s="120"/>
      <c r="R3" s="120"/>
      <c r="S3" s="120"/>
      <c r="T3" s="120"/>
      <c r="U3" s="120"/>
      <c r="V3" s="120"/>
      <c r="W3" s="120"/>
      <c r="X3" s="120"/>
      <c r="Y3" s="120"/>
      <c r="Z3" s="120"/>
      <c r="AA3" s="120"/>
      <c r="AB3" s="120"/>
      <c r="AC3" s="120"/>
      <c r="AD3" s="120"/>
      <c r="AE3" s="120"/>
      <c r="AF3" s="120"/>
      <c r="AG3" s="120"/>
      <c r="AH3" s="120"/>
      <c r="AI3" s="120"/>
      <c r="AJ3" s="120"/>
      <c r="AK3" s="120"/>
      <c r="AL3" s="120"/>
      <c r="AM3" s="120"/>
      <c r="AN3" s="120"/>
      <c r="AO3" s="120"/>
      <c r="AP3" s="120"/>
      <c r="AQ3" s="120"/>
      <c r="AR3" s="120"/>
      <c r="AS3" s="120"/>
      <c r="AT3" s="120"/>
      <c r="AU3" s="120"/>
      <c r="AV3" s="120"/>
      <c r="AW3" s="120"/>
      <c r="AX3" s="120"/>
      <c r="AY3" s="120"/>
      <c r="AZ3" s="120"/>
      <c r="BA3" s="120"/>
      <c r="BB3" s="120"/>
      <c r="BC3" s="120"/>
      <c r="BD3" s="121"/>
      <c r="BE3" s="9"/>
      <c r="BF3" s="117" t="s">
        <v>5</v>
      </c>
      <c r="BG3" s="117"/>
      <c r="BH3" s="117"/>
      <c r="CA3" s="10"/>
      <c r="CE3" s="10"/>
      <c r="CI3" s="10"/>
      <c r="CM3" s="10"/>
      <c r="CQ3" s="10"/>
      <c r="CU3" s="10"/>
      <c r="CY3" s="10"/>
      <c r="DC3" s="10"/>
    </row>
    <row r="4" spans="2:107" ht="15" customHeight="1" x14ac:dyDescent="0.25">
      <c r="B4" s="117"/>
      <c r="C4" s="118"/>
      <c r="D4" s="11"/>
      <c r="E4" s="123"/>
      <c r="F4" s="123"/>
      <c r="G4" s="123"/>
      <c r="H4" s="123"/>
      <c r="I4" s="123"/>
      <c r="J4" s="123"/>
      <c r="K4" s="123"/>
      <c r="L4" s="123"/>
      <c r="M4" s="123"/>
      <c r="N4" s="123"/>
      <c r="O4" s="123"/>
      <c r="P4" s="123"/>
      <c r="Q4" s="123"/>
      <c r="R4" s="123"/>
      <c r="S4" s="123"/>
      <c r="T4" s="123"/>
      <c r="U4" s="123"/>
      <c r="V4" s="123"/>
      <c r="W4" s="123"/>
      <c r="X4" s="123"/>
      <c r="Y4" s="123"/>
      <c r="Z4" s="123"/>
      <c r="AA4" s="123"/>
      <c r="AB4" s="123"/>
      <c r="AC4" s="123"/>
      <c r="AD4" s="123"/>
      <c r="AE4" s="123"/>
      <c r="AF4" s="123"/>
      <c r="AG4" s="123"/>
      <c r="AH4" s="123"/>
      <c r="AI4" s="123"/>
      <c r="AJ4" s="123"/>
      <c r="AK4" s="123"/>
      <c r="AL4" s="123"/>
      <c r="AM4" s="123"/>
      <c r="AN4" s="123"/>
      <c r="AO4" s="123"/>
      <c r="AP4" s="123"/>
      <c r="AQ4" s="123"/>
      <c r="AR4" s="123"/>
      <c r="AS4" s="123"/>
      <c r="AT4" s="123"/>
      <c r="AU4" s="123"/>
      <c r="AV4" s="123"/>
      <c r="AW4" s="123"/>
      <c r="AX4" s="123"/>
      <c r="AY4" s="123"/>
      <c r="AZ4" s="123"/>
      <c r="BA4" s="123"/>
      <c r="BB4" s="123"/>
      <c r="BC4" s="123"/>
      <c r="BD4" s="124"/>
      <c r="BE4" s="9"/>
      <c r="BF4" s="117"/>
      <c r="BG4" s="117"/>
      <c r="BH4" s="117"/>
    </row>
    <row r="5" spans="2:107" ht="15" customHeight="1" x14ac:dyDescent="0.25">
      <c r="B5" s="117" t="s">
        <v>6</v>
      </c>
      <c r="C5" s="125">
        <v>46134</v>
      </c>
      <c r="D5" s="12"/>
      <c r="E5" s="105"/>
      <c r="F5" s="105"/>
      <c r="G5" s="105"/>
      <c r="H5" s="105"/>
      <c r="I5" s="105"/>
      <c r="J5" s="105"/>
      <c r="K5" s="105"/>
      <c r="L5" s="105"/>
      <c r="M5" s="52"/>
      <c r="N5" s="53"/>
      <c r="O5" s="53"/>
      <c r="P5" s="54"/>
      <c r="Q5" s="104" t="s">
        <v>9</v>
      </c>
      <c r="R5" s="105"/>
      <c r="S5" s="105"/>
      <c r="T5" s="105"/>
      <c r="U5" s="105"/>
      <c r="V5" s="105"/>
      <c r="W5" s="105"/>
      <c r="X5" s="105"/>
      <c r="Y5" s="52"/>
      <c r="Z5" s="53"/>
      <c r="AA5" s="53"/>
      <c r="AB5" s="54"/>
      <c r="AC5" s="104" t="s">
        <v>10</v>
      </c>
      <c r="AD5" s="105"/>
      <c r="AE5" s="105"/>
      <c r="AF5" s="105"/>
      <c r="AG5" s="105"/>
      <c r="AH5" s="105"/>
      <c r="AI5" s="105"/>
      <c r="AJ5" s="105"/>
      <c r="AK5" s="105"/>
      <c r="AL5" s="105"/>
      <c r="AM5" s="105"/>
      <c r="AN5" s="105"/>
      <c r="AO5" s="104" t="s">
        <v>11</v>
      </c>
      <c r="AP5" s="105"/>
      <c r="AQ5" s="105"/>
      <c r="AR5" s="105"/>
      <c r="AS5" s="105"/>
      <c r="AT5" s="105"/>
      <c r="AU5" s="105"/>
      <c r="AV5" s="105"/>
      <c r="AW5" s="105"/>
      <c r="AX5" s="105"/>
      <c r="AY5" s="105"/>
      <c r="AZ5" s="105"/>
      <c r="BA5" s="105"/>
      <c r="BB5" s="105"/>
      <c r="BC5" s="105"/>
      <c r="BD5" s="105"/>
      <c r="BE5" s="16"/>
      <c r="BF5" s="110" t="s">
        <v>12</v>
      </c>
      <c r="BG5" s="111" t="s">
        <v>13</v>
      </c>
      <c r="BH5" s="112" t="s">
        <v>14</v>
      </c>
      <c r="BI5" s="5"/>
      <c r="BL5"/>
      <c r="BM5"/>
      <c r="BN5"/>
      <c r="BO5"/>
      <c r="BP5"/>
      <c r="BQ5"/>
      <c r="BR5"/>
      <c r="BS5"/>
      <c r="BT5"/>
      <c r="BU5"/>
      <c r="BV5"/>
      <c r="BW5"/>
      <c r="BX5"/>
      <c r="BY5"/>
      <c r="CJ5"/>
      <c r="CK5"/>
    </row>
    <row r="6" spans="2:107" ht="15" customHeight="1" x14ac:dyDescent="0.25">
      <c r="B6" s="117"/>
      <c r="C6" s="125"/>
      <c r="D6" s="12"/>
      <c r="E6" s="107"/>
      <c r="F6" s="107"/>
      <c r="G6" s="107"/>
      <c r="H6" s="107"/>
      <c r="I6" s="107"/>
      <c r="J6" s="107"/>
      <c r="K6" s="107"/>
      <c r="L6" s="107"/>
      <c r="M6" s="55"/>
      <c r="N6" s="56"/>
      <c r="O6" s="56"/>
      <c r="P6" s="57"/>
      <c r="Q6" s="106"/>
      <c r="R6" s="107"/>
      <c r="S6" s="107"/>
      <c r="T6" s="107"/>
      <c r="U6" s="107"/>
      <c r="V6" s="107"/>
      <c r="W6" s="107"/>
      <c r="X6" s="107"/>
      <c r="Y6" s="55"/>
      <c r="Z6" s="56"/>
      <c r="AA6" s="56"/>
      <c r="AB6" s="57"/>
      <c r="AC6" s="106"/>
      <c r="AD6" s="107"/>
      <c r="AE6" s="107"/>
      <c r="AF6" s="107"/>
      <c r="AG6" s="107"/>
      <c r="AH6" s="107"/>
      <c r="AI6" s="107"/>
      <c r="AJ6" s="107"/>
      <c r="AK6" s="107"/>
      <c r="AL6" s="107"/>
      <c r="AM6" s="107"/>
      <c r="AN6" s="107"/>
      <c r="AO6" s="106"/>
      <c r="AP6" s="107"/>
      <c r="AQ6" s="107"/>
      <c r="AR6" s="107"/>
      <c r="AS6" s="107"/>
      <c r="AT6" s="107"/>
      <c r="AU6" s="107"/>
      <c r="AV6" s="107"/>
      <c r="AW6" s="107"/>
      <c r="AX6" s="107"/>
      <c r="AY6" s="107"/>
      <c r="AZ6" s="107"/>
      <c r="BA6" s="107"/>
      <c r="BB6" s="107"/>
      <c r="BC6" s="107"/>
      <c r="BD6" s="107"/>
      <c r="BE6" s="16"/>
      <c r="BF6" s="110"/>
      <c r="BG6" s="111"/>
      <c r="BH6" s="112"/>
      <c r="BI6" s="20"/>
      <c r="BL6"/>
      <c r="BM6"/>
      <c r="BN6"/>
      <c r="BO6"/>
      <c r="BP6"/>
      <c r="BQ6"/>
      <c r="BR6"/>
      <c r="BS6"/>
      <c r="BT6"/>
      <c r="BU6"/>
      <c r="BV6"/>
      <c r="BW6"/>
      <c r="BX6"/>
      <c r="BY6"/>
      <c r="CJ6"/>
      <c r="CK6"/>
    </row>
    <row r="7" spans="2:107" ht="15" customHeight="1" x14ac:dyDescent="0.25">
      <c r="B7" s="68" t="s">
        <v>15</v>
      </c>
      <c r="C7" s="113">
        <v>12</v>
      </c>
      <c r="E7" s="107"/>
      <c r="F7" s="107"/>
      <c r="G7" s="107"/>
      <c r="H7" s="107"/>
      <c r="I7" s="107"/>
      <c r="J7" s="107"/>
      <c r="K7" s="107"/>
      <c r="L7" s="107"/>
      <c r="M7" s="55"/>
      <c r="N7" s="56"/>
      <c r="O7" s="56"/>
      <c r="P7" s="57"/>
      <c r="Q7" s="106"/>
      <c r="R7" s="107"/>
      <c r="S7" s="107"/>
      <c r="T7" s="107"/>
      <c r="U7" s="107"/>
      <c r="V7" s="107"/>
      <c r="W7" s="107"/>
      <c r="X7" s="107"/>
      <c r="Y7" s="55"/>
      <c r="Z7" s="56"/>
      <c r="AA7" s="56"/>
      <c r="AB7" s="57"/>
      <c r="AC7" s="106"/>
      <c r="AD7" s="107"/>
      <c r="AE7" s="107"/>
      <c r="AF7" s="107"/>
      <c r="AG7" s="107"/>
      <c r="AH7" s="107"/>
      <c r="AI7" s="107"/>
      <c r="AJ7" s="107"/>
      <c r="AK7" s="107"/>
      <c r="AL7" s="107"/>
      <c r="AM7" s="107"/>
      <c r="AN7" s="107"/>
      <c r="AO7" s="106"/>
      <c r="AP7" s="107"/>
      <c r="AQ7" s="107"/>
      <c r="AR7" s="107"/>
      <c r="AS7" s="107"/>
      <c r="AT7" s="107"/>
      <c r="AU7" s="107"/>
      <c r="AV7" s="107"/>
      <c r="AW7" s="107"/>
      <c r="AX7" s="107"/>
      <c r="AY7" s="107"/>
      <c r="AZ7" s="107"/>
      <c r="BA7" s="107"/>
      <c r="BB7" s="107"/>
      <c r="BC7" s="107"/>
      <c r="BD7" s="107"/>
      <c r="BE7" s="16"/>
      <c r="BF7" s="110"/>
      <c r="BG7" s="111"/>
      <c r="BH7" s="112"/>
      <c r="BI7" s="20"/>
      <c r="BL7"/>
      <c r="BM7"/>
      <c r="BN7"/>
      <c r="BO7"/>
      <c r="BP7"/>
      <c r="BQ7"/>
      <c r="BR7"/>
      <c r="BS7"/>
      <c r="BT7"/>
      <c r="BU7"/>
      <c r="BV7"/>
      <c r="BW7"/>
      <c r="BX7"/>
      <c r="BY7"/>
      <c r="CJ7"/>
      <c r="CK7"/>
    </row>
    <row r="8" spans="2:107" ht="15" customHeight="1" x14ac:dyDescent="0.25">
      <c r="B8" s="68"/>
      <c r="C8" s="113"/>
      <c r="E8" s="109"/>
      <c r="F8" s="109"/>
      <c r="G8" s="109"/>
      <c r="H8" s="109"/>
      <c r="I8" s="109"/>
      <c r="J8" s="109"/>
      <c r="K8" s="109"/>
      <c r="L8" s="109"/>
      <c r="M8" s="96">
        <v>2</v>
      </c>
      <c r="N8" s="97"/>
      <c r="O8" s="97"/>
      <c r="P8" s="98"/>
      <c r="Q8" s="108"/>
      <c r="R8" s="109"/>
      <c r="S8" s="109"/>
      <c r="T8" s="109"/>
      <c r="U8" s="109"/>
      <c r="V8" s="109"/>
      <c r="W8" s="109"/>
      <c r="X8" s="109"/>
      <c r="Y8" s="96">
        <v>3</v>
      </c>
      <c r="Z8" s="97"/>
      <c r="AA8" s="97"/>
      <c r="AB8" s="98"/>
      <c r="AC8" s="108"/>
      <c r="AD8" s="109"/>
      <c r="AE8" s="109"/>
      <c r="AF8" s="109"/>
      <c r="AG8" s="109"/>
      <c r="AH8" s="109"/>
      <c r="AI8" s="109"/>
      <c r="AJ8" s="109"/>
      <c r="AK8" s="109"/>
      <c r="AL8" s="109"/>
      <c r="AM8" s="109"/>
      <c r="AN8" s="109"/>
      <c r="AO8" s="108"/>
      <c r="AP8" s="109"/>
      <c r="AQ8" s="109"/>
      <c r="AR8" s="109"/>
      <c r="AS8" s="109"/>
      <c r="AT8" s="109"/>
      <c r="AU8" s="109"/>
      <c r="AV8" s="109"/>
      <c r="AW8" s="109"/>
      <c r="AX8" s="109"/>
      <c r="AY8" s="109"/>
      <c r="AZ8" s="109"/>
      <c r="BA8" s="109"/>
      <c r="BB8" s="109"/>
      <c r="BC8" s="109"/>
      <c r="BD8" s="109"/>
      <c r="BE8" s="21"/>
      <c r="BF8" s="110"/>
      <c r="BG8" s="111"/>
      <c r="BH8" s="112"/>
      <c r="BI8" s="20"/>
      <c r="BL8"/>
      <c r="BM8"/>
      <c r="BN8"/>
      <c r="BO8"/>
      <c r="BP8"/>
      <c r="BQ8"/>
      <c r="BR8"/>
      <c r="BS8"/>
      <c r="BT8"/>
      <c r="BU8"/>
      <c r="BV8"/>
      <c r="BW8"/>
      <c r="BX8"/>
      <c r="BY8"/>
      <c r="CJ8"/>
      <c r="CK8"/>
    </row>
    <row r="9" spans="2:107" ht="5.0999999999999996" customHeight="1" x14ac:dyDescent="0.25">
      <c r="D9" s="22"/>
      <c r="BH9" s="23"/>
      <c r="BL9"/>
      <c r="BM9"/>
      <c r="BN9"/>
      <c r="BO9"/>
      <c r="BP9"/>
      <c r="BQ9"/>
      <c r="BR9"/>
      <c r="BS9"/>
      <c r="BT9"/>
      <c r="BU9"/>
      <c r="BV9"/>
      <c r="BW9"/>
      <c r="BX9"/>
      <c r="BY9"/>
    </row>
    <row r="10" spans="2:107" ht="20.100000000000001" customHeight="1" x14ac:dyDescent="0.25">
      <c r="B10" s="99" t="s">
        <v>16</v>
      </c>
      <c r="C10" s="99"/>
      <c r="E10" s="100"/>
      <c r="F10" s="100"/>
      <c r="G10" s="100"/>
      <c r="H10" s="100"/>
      <c r="I10" s="100"/>
      <c r="J10" s="100"/>
      <c r="K10" s="100"/>
      <c r="L10" s="100"/>
      <c r="M10" s="100"/>
      <c r="N10" s="100"/>
      <c r="O10" s="100"/>
      <c r="P10" s="100"/>
      <c r="Q10" s="100"/>
      <c r="R10" s="100"/>
      <c r="S10" s="100"/>
      <c r="T10" s="100"/>
      <c r="U10" s="100"/>
      <c r="V10" s="100"/>
      <c r="W10" s="100"/>
      <c r="X10" s="100"/>
      <c r="Y10" s="100"/>
      <c r="Z10" s="100"/>
      <c r="AA10" s="100"/>
      <c r="AB10" s="100"/>
      <c r="AC10" s="100"/>
      <c r="AD10" s="100"/>
      <c r="AE10" s="100"/>
      <c r="AF10" s="100"/>
      <c r="AG10" s="100"/>
      <c r="AH10" s="100"/>
      <c r="AI10" s="100"/>
      <c r="AJ10" s="100"/>
      <c r="AK10" s="100"/>
      <c r="AL10" s="100"/>
      <c r="AM10" s="100"/>
      <c r="AN10" s="100"/>
      <c r="AO10" s="100"/>
      <c r="AP10" s="100"/>
      <c r="AQ10" s="100"/>
      <c r="AR10" s="100"/>
      <c r="AS10" s="100"/>
      <c r="AT10" s="100"/>
      <c r="AU10" s="100"/>
      <c r="AV10" s="100"/>
      <c r="AW10" s="100"/>
      <c r="AX10" s="100"/>
      <c r="AY10" s="100"/>
      <c r="AZ10" s="100"/>
      <c r="BA10" s="100"/>
      <c r="BB10" s="100"/>
      <c r="BC10" s="100"/>
      <c r="BD10" s="100"/>
      <c r="BE10" s="8"/>
      <c r="BF10" s="101" t="s">
        <v>18</v>
      </c>
      <c r="BG10" s="101" t="s">
        <v>19</v>
      </c>
      <c r="BH10" s="93" t="s">
        <v>20</v>
      </c>
      <c r="BI10" s="24"/>
      <c r="BL10"/>
      <c r="BM10"/>
      <c r="BN10"/>
      <c r="BO10"/>
      <c r="BP10"/>
      <c r="BQ10"/>
      <c r="BR10"/>
      <c r="BS10"/>
      <c r="BT10"/>
      <c r="BU10"/>
      <c r="BV10"/>
      <c r="BW10"/>
      <c r="BX10"/>
      <c r="BY10"/>
      <c r="CJ10"/>
      <c r="CK10"/>
    </row>
    <row r="11" spans="2:107" ht="34.15" customHeight="1" x14ac:dyDescent="0.25">
      <c r="B11" s="99"/>
      <c r="C11" s="99"/>
      <c r="D11" s="8"/>
      <c r="E11" s="85" t="s">
        <v>26</v>
      </c>
      <c r="F11" s="85"/>
      <c r="G11" s="85"/>
      <c r="H11" s="85"/>
      <c r="I11" s="87" t="s">
        <v>29</v>
      </c>
      <c r="J11" s="88"/>
      <c r="K11" s="88"/>
      <c r="L11" s="89"/>
      <c r="M11" s="87" t="s">
        <v>33</v>
      </c>
      <c r="N11" s="88"/>
      <c r="O11" s="88"/>
      <c r="P11" s="89"/>
      <c r="Q11" s="87" t="s">
        <v>34</v>
      </c>
      <c r="R11" s="88"/>
      <c r="S11" s="88"/>
      <c r="T11" s="89"/>
      <c r="U11" s="87" t="s">
        <v>35</v>
      </c>
      <c r="V11" s="88"/>
      <c r="W11" s="88"/>
      <c r="X11" s="89"/>
      <c r="Y11" s="87" t="s">
        <v>39</v>
      </c>
      <c r="Z11" s="88"/>
      <c r="AA11" s="88"/>
      <c r="AB11" s="89"/>
      <c r="AC11" s="87" t="s">
        <v>40</v>
      </c>
      <c r="AD11" s="88"/>
      <c r="AE11" s="88"/>
      <c r="AF11" s="89"/>
      <c r="AG11" s="85" t="s">
        <v>41</v>
      </c>
      <c r="AH11" s="85"/>
      <c r="AI11" s="85"/>
      <c r="AJ11" s="85"/>
      <c r="AK11" s="85" t="s">
        <v>42</v>
      </c>
      <c r="AL11" s="85"/>
      <c r="AM11" s="85"/>
      <c r="AN11" s="85"/>
      <c r="AO11" s="85" t="s">
        <v>46</v>
      </c>
      <c r="AP11" s="85"/>
      <c r="AQ11" s="85"/>
      <c r="AR11" s="85"/>
      <c r="AS11" s="87" t="s">
        <v>47</v>
      </c>
      <c r="AT11" s="88"/>
      <c r="AU11" s="88"/>
      <c r="AV11" s="89"/>
      <c r="AW11" s="87" t="s">
        <v>48</v>
      </c>
      <c r="AX11" s="88"/>
      <c r="AY11" s="88"/>
      <c r="AZ11" s="89"/>
      <c r="BA11" s="85"/>
      <c r="BB11" s="85"/>
      <c r="BC11" s="85"/>
      <c r="BD11" s="85"/>
      <c r="BE11" s="25"/>
      <c r="BF11" s="102"/>
      <c r="BG11" s="102"/>
      <c r="BH11" s="94"/>
      <c r="BI11" s="26"/>
      <c r="BM11"/>
      <c r="BN11"/>
      <c r="BO11"/>
      <c r="BP11"/>
      <c r="BQ11"/>
      <c r="BR11"/>
      <c r="BS11"/>
      <c r="BT11"/>
      <c r="BU11"/>
      <c r="BV11"/>
      <c r="BW11"/>
      <c r="BX11"/>
      <c r="BY11"/>
      <c r="CJ11"/>
      <c r="CK11"/>
    </row>
    <row r="12" spans="2:107" ht="34.15" customHeight="1" x14ac:dyDescent="0.25">
      <c r="B12" s="99"/>
      <c r="C12" s="99"/>
      <c r="D12" s="8"/>
      <c r="E12" s="86"/>
      <c r="F12" s="86"/>
      <c r="G12" s="86"/>
      <c r="H12" s="86"/>
      <c r="I12" s="90"/>
      <c r="J12" s="91"/>
      <c r="K12" s="91"/>
      <c r="L12" s="92"/>
      <c r="M12" s="90"/>
      <c r="N12" s="91"/>
      <c r="O12" s="91"/>
      <c r="P12" s="92"/>
      <c r="Q12" s="90"/>
      <c r="R12" s="91"/>
      <c r="S12" s="91"/>
      <c r="T12" s="92"/>
      <c r="U12" s="90"/>
      <c r="V12" s="91"/>
      <c r="W12" s="91"/>
      <c r="X12" s="92"/>
      <c r="Y12" s="90"/>
      <c r="Z12" s="91"/>
      <c r="AA12" s="91"/>
      <c r="AB12" s="92"/>
      <c r="AC12" s="90"/>
      <c r="AD12" s="91"/>
      <c r="AE12" s="91"/>
      <c r="AF12" s="92"/>
      <c r="AG12" s="86"/>
      <c r="AH12" s="86"/>
      <c r="AI12" s="86"/>
      <c r="AJ12" s="86"/>
      <c r="AK12" s="86"/>
      <c r="AL12" s="86"/>
      <c r="AM12" s="86"/>
      <c r="AN12" s="86"/>
      <c r="AO12" s="86"/>
      <c r="AP12" s="86"/>
      <c r="AQ12" s="86"/>
      <c r="AR12" s="86"/>
      <c r="AS12" s="90"/>
      <c r="AT12" s="91"/>
      <c r="AU12" s="91"/>
      <c r="AV12" s="92"/>
      <c r="AW12" s="90"/>
      <c r="AX12" s="91"/>
      <c r="AY12" s="91"/>
      <c r="AZ12" s="92"/>
      <c r="BA12" s="86"/>
      <c r="BB12" s="86"/>
      <c r="BC12" s="86"/>
      <c r="BD12" s="86"/>
      <c r="BE12" s="25"/>
      <c r="BF12" s="103"/>
      <c r="BG12" s="103"/>
      <c r="BH12" s="95"/>
      <c r="BI12" s="5"/>
      <c r="BM12"/>
      <c r="BN12"/>
      <c r="BO12"/>
      <c r="BP12"/>
      <c r="BQ12"/>
      <c r="BR12"/>
      <c r="BS12"/>
      <c r="BT12"/>
      <c r="BU12"/>
      <c r="BV12"/>
      <c r="BW12"/>
      <c r="BX12"/>
      <c r="BY12"/>
      <c r="CJ12"/>
      <c r="CK12"/>
    </row>
    <row r="13" spans="2:107" ht="6" customHeight="1" x14ac:dyDescent="0.25">
      <c r="B13" s="84" t="s">
        <v>50</v>
      </c>
      <c r="C13" s="84"/>
      <c r="D13" s="27"/>
      <c r="E13" s="28"/>
      <c r="F13" s="29"/>
      <c r="G13" s="29"/>
      <c r="H13" s="30"/>
      <c r="I13" s="28"/>
      <c r="J13" s="29"/>
      <c r="K13" s="29"/>
      <c r="L13" s="30"/>
      <c r="M13" s="28"/>
      <c r="N13" s="29"/>
      <c r="O13" s="29"/>
      <c r="P13" s="30"/>
      <c r="Q13" s="28"/>
      <c r="R13" s="29"/>
      <c r="S13" s="29"/>
      <c r="T13" s="30"/>
      <c r="U13" s="28"/>
      <c r="V13" s="29"/>
      <c r="W13" s="29"/>
      <c r="X13" s="30"/>
      <c r="Y13" s="28"/>
      <c r="Z13" s="29"/>
      <c r="AA13" s="29"/>
      <c r="AB13" s="30"/>
      <c r="AC13" s="28"/>
      <c r="AD13" s="29"/>
      <c r="AE13" s="29"/>
      <c r="AF13" s="30"/>
      <c r="AG13" s="28"/>
      <c r="AH13" s="29"/>
      <c r="AI13" s="29"/>
      <c r="AJ13" s="30"/>
      <c r="AK13" s="28"/>
      <c r="AL13" s="29"/>
      <c r="AM13" s="29"/>
      <c r="AN13" s="30"/>
      <c r="AO13" s="28"/>
      <c r="AP13" s="29"/>
      <c r="AQ13" s="29"/>
      <c r="AR13" s="30"/>
      <c r="AS13" s="28"/>
      <c r="AT13" s="29"/>
      <c r="AU13" s="29"/>
      <c r="AV13" s="30"/>
      <c r="AW13" s="28"/>
      <c r="AX13" s="29"/>
      <c r="AY13" s="29"/>
      <c r="AZ13" s="30"/>
      <c r="BA13" s="28"/>
      <c r="BB13" s="29"/>
      <c r="BC13" s="29"/>
      <c r="BD13" s="30"/>
      <c r="BF13" s="31"/>
      <c r="BG13" s="32"/>
      <c r="BH13" s="83">
        <f>IF(ISBLANK(B13),"",IF(BG14&gt;=BF14,3,IF(BG14=(BF14-1),2,1)))</f>
        <v>1</v>
      </c>
      <c r="BI13" s="5"/>
      <c r="BM13"/>
      <c r="BN13"/>
      <c r="BO13"/>
      <c r="BP13"/>
      <c r="BQ13"/>
      <c r="BR13"/>
      <c r="BS13"/>
      <c r="BT13"/>
      <c r="BU13"/>
      <c r="BV13"/>
      <c r="BW13"/>
      <c r="BX13"/>
      <c r="BY13"/>
      <c r="CJ13"/>
      <c r="CK13"/>
    </row>
    <row r="14" spans="2:107" ht="15" customHeight="1" x14ac:dyDescent="0.25">
      <c r="B14" s="84"/>
      <c r="C14" s="84"/>
      <c r="D14" s="27"/>
      <c r="E14" s="33"/>
      <c r="F14" s="34"/>
      <c r="G14" s="34"/>
      <c r="H14" s="35"/>
      <c r="I14" s="33"/>
      <c r="J14" s="34"/>
      <c r="K14" s="34"/>
      <c r="L14" s="35"/>
      <c r="M14" s="33"/>
      <c r="N14" s="34"/>
      <c r="O14" s="34"/>
      <c r="P14" s="35"/>
      <c r="Q14" s="33"/>
      <c r="R14" s="34"/>
      <c r="S14" s="34"/>
      <c r="T14" s="35"/>
      <c r="U14" s="33"/>
      <c r="V14" s="34"/>
      <c r="W14" s="34"/>
      <c r="X14" s="35"/>
      <c r="Y14" s="33"/>
      <c r="Z14" s="34"/>
      <c r="AA14" s="34"/>
      <c r="AB14" s="35"/>
      <c r="AC14" s="33"/>
      <c r="AD14" s="34"/>
      <c r="AE14" s="34"/>
      <c r="AF14" s="35"/>
      <c r="AG14" s="33"/>
      <c r="AH14" s="34"/>
      <c r="AI14" s="34"/>
      <c r="AJ14" s="35"/>
      <c r="AK14" s="33"/>
      <c r="AL14" s="34"/>
      <c r="AM14" s="34"/>
      <c r="AN14" s="35"/>
      <c r="AO14" s="33"/>
      <c r="AP14" s="34"/>
      <c r="AQ14" s="34"/>
      <c r="AR14" s="35"/>
      <c r="AS14" s="33"/>
      <c r="AT14" s="34"/>
      <c r="AU14" s="34"/>
      <c r="AV14" s="35"/>
      <c r="AW14" s="33"/>
      <c r="AX14" s="34"/>
      <c r="AY14" s="34"/>
      <c r="AZ14" s="35"/>
      <c r="BA14" s="33"/>
      <c r="BB14" s="34"/>
      <c r="BC14" s="34"/>
      <c r="BD14" s="35"/>
      <c r="BF14" s="36">
        <v>3</v>
      </c>
      <c r="BG14" s="37">
        <f>IF(ISBLANK(B13),"",COUNTIF(B16:BD16,"&gt;=3"))</f>
        <v>1</v>
      </c>
      <c r="BH14" s="83"/>
      <c r="BI14" s="20"/>
      <c r="BM14"/>
      <c r="BN14"/>
      <c r="BO14"/>
      <c r="BP14"/>
      <c r="BQ14"/>
      <c r="BR14"/>
      <c r="BS14"/>
      <c r="BT14"/>
      <c r="BU14"/>
      <c r="BV14"/>
      <c r="BW14"/>
      <c r="BX14"/>
      <c r="BY14"/>
      <c r="CJ14"/>
      <c r="CK14"/>
    </row>
    <row r="15" spans="2:107" ht="15" customHeight="1" x14ac:dyDescent="0.25">
      <c r="B15" s="84"/>
      <c r="C15" s="84"/>
      <c r="D15" s="27"/>
      <c r="E15" s="33"/>
      <c r="F15" s="34"/>
      <c r="G15" s="34"/>
      <c r="H15" s="35"/>
      <c r="I15" s="33"/>
      <c r="J15" s="34"/>
      <c r="K15" s="34"/>
      <c r="L15" s="35"/>
      <c r="M15" s="33"/>
      <c r="N15" s="34"/>
      <c r="O15" s="34"/>
      <c r="P15" s="35"/>
      <c r="Q15" s="33"/>
      <c r="R15" s="34"/>
      <c r="S15" s="34"/>
      <c r="T15" s="35"/>
      <c r="U15" s="33"/>
      <c r="V15" s="34"/>
      <c r="W15" s="34"/>
      <c r="X15" s="35"/>
      <c r="Y15" s="33"/>
      <c r="Z15" s="34"/>
      <c r="AA15" s="34"/>
      <c r="AB15" s="35"/>
      <c r="AC15" s="33"/>
      <c r="AD15" s="34"/>
      <c r="AE15" s="34"/>
      <c r="AF15" s="35"/>
      <c r="AG15" s="33"/>
      <c r="AH15" s="34"/>
      <c r="AI15" s="34"/>
      <c r="AJ15" s="35"/>
      <c r="AK15" s="33"/>
      <c r="AL15" s="34"/>
      <c r="AM15" s="34"/>
      <c r="AN15" s="35"/>
      <c r="AO15" s="33"/>
      <c r="AP15" s="34"/>
      <c r="AQ15" s="34"/>
      <c r="AR15" s="35"/>
      <c r="AS15" s="33"/>
      <c r="AT15" s="34"/>
      <c r="AU15" s="34"/>
      <c r="AV15" s="35"/>
      <c r="AW15" s="33"/>
      <c r="AX15" s="34"/>
      <c r="AY15" s="34"/>
      <c r="AZ15" s="35"/>
      <c r="BA15" s="33"/>
      <c r="BB15" s="34"/>
      <c r="BC15" s="34"/>
      <c r="BD15" s="35"/>
      <c r="BF15" s="81" t="str">
        <f>IF(ISBLANK(B13),"","personas cualificadas")</f>
        <v>personas cualificadas</v>
      </c>
      <c r="BG15" s="81" t="str">
        <f>IF(ISBLANK(B13),"","personas cualificadas")</f>
        <v>personas cualificadas</v>
      </c>
      <c r="BH15" s="83"/>
      <c r="BI15" s="20"/>
      <c r="BM15"/>
      <c r="BN15"/>
      <c r="BQ15"/>
      <c r="BR15"/>
      <c r="BS15"/>
      <c r="BT15"/>
      <c r="BU15"/>
      <c r="BV15"/>
      <c r="BW15"/>
      <c r="BX15"/>
      <c r="BY15"/>
      <c r="CJ15"/>
      <c r="CK15"/>
    </row>
    <row r="16" spans="2:107" x14ac:dyDescent="0.25">
      <c r="B16" s="84"/>
      <c r="C16" s="84"/>
      <c r="D16" s="27"/>
      <c r="E16" s="69"/>
      <c r="F16" s="70"/>
      <c r="G16" s="70"/>
      <c r="H16" s="71"/>
      <c r="I16" s="69"/>
      <c r="J16" s="70"/>
      <c r="K16" s="70"/>
      <c r="L16" s="71"/>
      <c r="M16" s="69"/>
      <c r="N16" s="70"/>
      <c r="O16" s="70"/>
      <c r="P16" s="71"/>
      <c r="Q16" s="69"/>
      <c r="R16" s="70"/>
      <c r="S16" s="70"/>
      <c r="T16" s="71"/>
      <c r="U16" s="69"/>
      <c r="V16" s="70"/>
      <c r="W16" s="70"/>
      <c r="X16" s="71"/>
      <c r="Y16" s="69"/>
      <c r="Z16" s="70"/>
      <c r="AA16" s="70"/>
      <c r="AB16" s="71"/>
      <c r="AC16" s="69"/>
      <c r="AD16" s="70"/>
      <c r="AE16" s="70"/>
      <c r="AF16" s="71"/>
      <c r="AG16" s="69">
        <v>3</v>
      </c>
      <c r="AH16" s="70"/>
      <c r="AI16" s="70"/>
      <c r="AJ16" s="71"/>
      <c r="AK16" s="69"/>
      <c r="AL16" s="70"/>
      <c r="AM16" s="70"/>
      <c r="AN16" s="71"/>
      <c r="AO16" s="69"/>
      <c r="AP16" s="70"/>
      <c r="AQ16" s="70"/>
      <c r="AR16" s="71"/>
      <c r="AS16" s="69">
        <v>2</v>
      </c>
      <c r="AT16" s="70"/>
      <c r="AU16" s="70"/>
      <c r="AV16" s="71"/>
      <c r="AW16" s="69"/>
      <c r="AX16" s="70"/>
      <c r="AY16" s="70"/>
      <c r="AZ16" s="71"/>
      <c r="BA16" s="69"/>
      <c r="BB16" s="70"/>
      <c r="BC16" s="70"/>
      <c r="BD16" s="71"/>
      <c r="BE16" s="38"/>
      <c r="BF16" s="82"/>
      <c r="BG16" s="82"/>
      <c r="BH16" s="83"/>
      <c r="BI16" s="20"/>
      <c r="BM16"/>
      <c r="BN16"/>
      <c r="BQ16"/>
      <c r="BR16"/>
      <c r="BS16"/>
      <c r="BT16"/>
      <c r="BU16"/>
      <c r="BV16"/>
      <c r="BW16"/>
      <c r="BX16"/>
      <c r="BY16"/>
      <c r="CJ16"/>
      <c r="CK16"/>
    </row>
    <row r="17" spans="2:89" ht="6" customHeight="1" x14ac:dyDescent="0.25">
      <c r="B17" s="84" t="s">
        <v>51</v>
      </c>
      <c r="C17" s="84"/>
      <c r="D17" s="27"/>
      <c r="E17" s="28"/>
      <c r="F17" s="29"/>
      <c r="G17" s="29"/>
      <c r="H17" s="30"/>
      <c r="I17" s="28"/>
      <c r="J17" s="29"/>
      <c r="K17" s="29"/>
      <c r="L17" s="30"/>
      <c r="M17" s="28"/>
      <c r="N17" s="29"/>
      <c r="O17" s="29"/>
      <c r="P17" s="30"/>
      <c r="Q17" s="28"/>
      <c r="R17" s="29"/>
      <c r="S17" s="29"/>
      <c r="T17" s="30"/>
      <c r="U17" s="28"/>
      <c r="V17" s="29"/>
      <c r="W17" s="29"/>
      <c r="X17" s="30"/>
      <c r="Y17" s="28"/>
      <c r="Z17" s="29"/>
      <c r="AA17" s="29"/>
      <c r="AB17" s="30"/>
      <c r="AC17" s="28"/>
      <c r="AD17" s="29"/>
      <c r="AE17" s="29"/>
      <c r="AF17" s="30"/>
      <c r="AG17" s="28"/>
      <c r="AH17" s="29"/>
      <c r="AI17" s="29"/>
      <c r="AJ17" s="30"/>
      <c r="AK17" s="28"/>
      <c r="AL17" s="29"/>
      <c r="AM17" s="29"/>
      <c r="AN17" s="30"/>
      <c r="AO17" s="28"/>
      <c r="AP17" s="29"/>
      <c r="AQ17" s="29"/>
      <c r="AR17" s="30"/>
      <c r="AS17" s="28"/>
      <c r="AT17" s="29"/>
      <c r="AU17" s="29"/>
      <c r="AV17" s="30"/>
      <c r="AW17" s="28"/>
      <c r="AX17" s="29"/>
      <c r="AY17" s="29"/>
      <c r="AZ17" s="30"/>
      <c r="BA17" s="28"/>
      <c r="BB17" s="29"/>
      <c r="BC17" s="29"/>
      <c r="BD17" s="30"/>
      <c r="BF17" s="31"/>
      <c r="BG17" s="32"/>
      <c r="BH17" s="83">
        <f>IF(ISBLANK(B17),"",IF(BG18&gt;=BF18,3,IF(BG18=(BF18-1),2,1)))</f>
        <v>2</v>
      </c>
      <c r="BI17" s="20"/>
      <c r="BL17"/>
      <c r="BM17"/>
      <c r="BN17"/>
      <c r="BO17"/>
      <c r="BP17"/>
      <c r="BQ17"/>
      <c r="BR17"/>
      <c r="BS17"/>
      <c r="BT17"/>
      <c r="BU17"/>
      <c r="BV17"/>
      <c r="BW17"/>
      <c r="BX17"/>
      <c r="BY17"/>
      <c r="CJ17"/>
      <c r="CK17"/>
    </row>
    <row r="18" spans="2:89" ht="15" customHeight="1" x14ac:dyDescent="0.25">
      <c r="B18" s="84"/>
      <c r="C18" s="84"/>
      <c r="D18" s="27"/>
      <c r="E18" s="33"/>
      <c r="F18" s="34"/>
      <c r="G18" s="34"/>
      <c r="H18" s="35"/>
      <c r="I18" s="33"/>
      <c r="J18" s="34"/>
      <c r="K18" s="34"/>
      <c r="L18" s="35"/>
      <c r="M18" s="33"/>
      <c r="N18" s="34"/>
      <c r="O18" s="34"/>
      <c r="P18" s="35"/>
      <c r="Q18" s="33"/>
      <c r="R18" s="34"/>
      <c r="S18" s="34"/>
      <c r="T18" s="35"/>
      <c r="U18" s="33"/>
      <c r="V18" s="34"/>
      <c r="W18" s="34"/>
      <c r="X18" s="35"/>
      <c r="Y18" s="33"/>
      <c r="Z18" s="34"/>
      <c r="AA18" s="34"/>
      <c r="AB18" s="35"/>
      <c r="AC18" s="33"/>
      <c r="AD18" s="34"/>
      <c r="AE18" s="34"/>
      <c r="AF18" s="35"/>
      <c r="AG18" s="33"/>
      <c r="AH18" s="34"/>
      <c r="AI18" s="34"/>
      <c r="AJ18" s="35"/>
      <c r="AK18" s="33"/>
      <c r="AL18" s="34"/>
      <c r="AM18" s="34"/>
      <c r="AN18" s="35"/>
      <c r="AO18" s="33"/>
      <c r="AP18" s="34"/>
      <c r="AQ18" s="34"/>
      <c r="AR18" s="35"/>
      <c r="AS18" s="33"/>
      <c r="AT18" s="34"/>
      <c r="AU18" s="34"/>
      <c r="AV18" s="35"/>
      <c r="AW18" s="33"/>
      <c r="AX18" s="34"/>
      <c r="AY18" s="34"/>
      <c r="AZ18" s="35"/>
      <c r="BA18" s="33"/>
      <c r="BB18" s="34"/>
      <c r="BC18" s="34"/>
      <c r="BD18" s="35"/>
      <c r="BF18" s="36">
        <v>4</v>
      </c>
      <c r="BG18" s="37">
        <f>IF(ISBLANK(B17),"",COUNTIF(B20:BD20,"&gt;=3"))</f>
        <v>3</v>
      </c>
      <c r="BH18" s="83"/>
      <c r="BI18" s="20"/>
      <c r="BL18"/>
      <c r="BM18"/>
      <c r="BN18"/>
      <c r="BO18"/>
      <c r="BP18"/>
      <c r="BQ18"/>
      <c r="BR18"/>
      <c r="BS18"/>
      <c r="BT18"/>
      <c r="BU18"/>
      <c r="BV18"/>
      <c r="BW18"/>
      <c r="BX18"/>
      <c r="BY18"/>
      <c r="CJ18"/>
      <c r="CK18"/>
    </row>
    <row r="19" spans="2:89" ht="15" customHeight="1" x14ac:dyDescent="0.25">
      <c r="B19" s="84"/>
      <c r="C19" s="84"/>
      <c r="D19" s="27"/>
      <c r="E19" s="33"/>
      <c r="F19" s="34"/>
      <c r="G19" s="34"/>
      <c r="H19" s="35"/>
      <c r="I19" s="33"/>
      <c r="J19" s="34"/>
      <c r="K19" s="34"/>
      <c r="L19" s="35"/>
      <c r="M19" s="33"/>
      <c r="N19" s="34"/>
      <c r="O19" s="34"/>
      <c r="P19" s="35"/>
      <c r="Q19" s="33"/>
      <c r="R19" s="34"/>
      <c r="S19" s="34"/>
      <c r="T19" s="35"/>
      <c r="U19" s="33"/>
      <c r="V19" s="34"/>
      <c r="W19" s="34"/>
      <c r="X19" s="35"/>
      <c r="Y19" s="33"/>
      <c r="Z19" s="34"/>
      <c r="AA19" s="34"/>
      <c r="AB19" s="35"/>
      <c r="AC19" s="33"/>
      <c r="AD19" s="34"/>
      <c r="AE19" s="34"/>
      <c r="AF19" s="35"/>
      <c r="AG19" s="33"/>
      <c r="AH19" s="34"/>
      <c r="AI19" s="34"/>
      <c r="AJ19" s="35"/>
      <c r="AK19" s="33"/>
      <c r="AL19" s="34"/>
      <c r="AM19" s="34"/>
      <c r="AN19" s="35"/>
      <c r="AO19" s="33"/>
      <c r="AP19" s="34"/>
      <c r="AQ19" s="34"/>
      <c r="AR19" s="35"/>
      <c r="AS19" s="33"/>
      <c r="AT19" s="34"/>
      <c r="AU19" s="34"/>
      <c r="AV19" s="35"/>
      <c r="AW19" s="33"/>
      <c r="AX19" s="34"/>
      <c r="AY19" s="34"/>
      <c r="AZ19" s="35"/>
      <c r="BA19" s="33"/>
      <c r="BB19" s="34"/>
      <c r="BC19" s="34"/>
      <c r="BD19" s="35"/>
      <c r="BF19" s="81" t="str">
        <f>IF(ISBLANK(B17),"","personas cualificadas")</f>
        <v>personas cualificadas</v>
      </c>
      <c r="BG19" s="81" t="str">
        <f>IF(ISBLANK(B17),"","personas cualificadas")</f>
        <v>personas cualificadas</v>
      </c>
      <c r="BH19" s="83"/>
      <c r="BI19" s="20"/>
      <c r="BL19"/>
      <c r="BM19"/>
      <c r="BN19"/>
      <c r="BO19"/>
      <c r="BP19"/>
      <c r="BQ19"/>
      <c r="BR19"/>
      <c r="BS19"/>
      <c r="BT19"/>
      <c r="BU19"/>
      <c r="BV19"/>
      <c r="BW19"/>
      <c r="BX19"/>
      <c r="BY19"/>
      <c r="CJ19"/>
      <c r="CK19"/>
    </row>
    <row r="20" spans="2:89" x14ac:dyDescent="0.25">
      <c r="B20" s="84"/>
      <c r="C20" s="84"/>
      <c r="D20" s="27"/>
      <c r="E20" s="69"/>
      <c r="F20" s="70"/>
      <c r="G20" s="70"/>
      <c r="H20" s="71"/>
      <c r="I20" s="69"/>
      <c r="J20" s="70"/>
      <c r="K20" s="70"/>
      <c r="L20" s="71"/>
      <c r="M20" s="69"/>
      <c r="N20" s="70"/>
      <c r="O20" s="70"/>
      <c r="P20" s="71"/>
      <c r="Q20" s="69"/>
      <c r="R20" s="70"/>
      <c r="S20" s="70"/>
      <c r="T20" s="71"/>
      <c r="U20" s="69">
        <v>3</v>
      </c>
      <c r="V20" s="70"/>
      <c r="W20" s="70"/>
      <c r="X20" s="71"/>
      <c r="Y20" s="69"/>
      <c r="Z20" s="70"/>
      <c r="AA20" s="70"/>
      <c r="AB20" s="71"/>
      <c r="AC20" s="69"/>
      <c r="AD20" s="70"/>
      <c r="AE20" s="70"/>
      <c r="AF20" s="71"/>
      <c r="AG20" s="69">
        <v>3</v>
      </c>
      <c r="AH20" s="70"/>
      <c r="AI20" s="70"/>
      <c r="AJ20" s="71"/>
      <c r="AK20" s="69"/>
      <c r="AL20" s="70"/>
      <c r="AM20" s="70"/>
      <c r="AN20" s="71"/>
      <c r="AO20" s="69"/>
      <c r="AP20" s="70"/>
      <c r="AQ20" s="70"/>
      <c r="AR20" s="71"/>
      <c r="AS20" s="69">
        <v>4</v>
      </c>
      <c r="AT20" s="70"/>
      <c r="AU20" s="70"/>
      <c r="AV20" s="71"/>
      <c r="AW20" s="69"/>
      <c r="AX20" s="70"/>
      <c r="AY20" s="70"/>
      <c r="AZ20" s="71"/>
      <c r="BA20" s="69"/>
      <c r="BB20" s="70"/>
      <c r="BC20" s="70"/>
      <c r="BD20" s="71"/>
      <c r="BE20" s="38"/>
      <c r="BF20" s="82"/>
      <c r="BG20" s="82"/>
      <c r="BH20" s="83"/>
      <c r="BI20" s="20"/>
      <c r="BL20"/>
      <c r="BM20"/>
      <c r="BN20"/>
      <c r="BO20"/>
      <c r="BP20"/>
      <c r="BQ20"/>
      <c r="BR20"/>
      <c r="BS20"/>
      <c r="BT20"/>
      <c r="BU20"/>
      <c r="BV20"/>
      <c r="BW20"/>
      <c r="BX20"/>
      <c r="BY20"/>
      <c r="CJ20"/>
      <c r="CK20"/>
    </row>
    <row r="21" spans="2:89" ht="6" customHeight="1" x14ac:dyDescent="0.25">
      <c r="B21" s="84" t="s">
        <v>52</v>
      </c>
      <c r="C21" s="84"/>
      <c r="D21" s="27"/>
      <c r="E21" s="28"/>
      <c r="F21" s="29"/>
      <c r="G21" s="29"/>
      <c r="H21" s="30"/>
      <c r="I21" s="28"/>
      <c r="J21" s="29"/>
      <c r="K21" s="29"/>
      <c r="L21" s="30"/>
      <c r="M21" s="28"/>
      <c r="N21" s="29"/>
      <c r="O21" s="29"/>
      <c r="P21" s="30"/>
      <c r="Q21" s="28"/>
      <c r="R21" s="29"/>
      <c r="S21" s="29"/>
      <c r="T21" s="30"/>
      <c r="U21" s="28"/>
      <c r="V21" s="29"/>
      <c r="W21" s="29"/>
      <c r="X21" s="30"/>
      <c r="Y21" s="28"/>
      <c r="Z21" s="29"/>
      <c r="AA21" s="29"/>
      <c r="AB21" s="30"/>
      <c r="AC21" s="28"/>
      <c r="AD21" s="29"/>
      <c r="AE21" s="29"/>
      <c r="AF21" s="30"/>
      <c r="AG21" s="28"/>
      <c r="AH21" s="29"/>
      <c r="AI21" s="29"/>
      <c r="AJ21" s="30"/>
      <c r="AK21" s="28"/>
      <c r="AL21" s="29"/>
      <c r="AM21" s="29"/>
      <c r="AN21" s="30"/>
      <c r="AO21" s="28"/>
      <c r="AP21" s="29"/>
      <c r="AQ21" s="29"/>
      <c r="AR21" s="30"/>
      <c r="AS21" s="28"/>
      <c r="AT21" s="29"/>
      <c r="AU21" s="29"/>
      <c r="AV21" s="30"/>
      <c r="AW21" s="28"/>
      <c r="AX21" s="29"/>
      <c r="AY21" s="29"/>
      <c r="AZ21" s="30"/>
      <c r="BA21" s="28"/>
      <c r="BB21" s="29"/>
      <c r="BC21" s="29"/>
      <c r="BD21" s="30"/>
      <c r="BF21" s="31"/>
      <c r="BG21" s="32"/>
      <c r="BH21" s="83">
        <f>IF(ISBLANK(B21),"",IF(BG22&gt;=BF22,3,IF(BG22=(BF22-1),2,1)))</f>
        <v>1</v>
      </c>
      <c r="BI21" s="20"/>
      <c r="BL21"/>
      <c r="BM21"/>
      <c r="BN21"/>
      <c r="BO21"/>
      <c r="BP21"/>
      <c r="BQ21"/>
      <c r="BR21"/>
      <c r="BS21"/>
      <c r="BT21"/>
      <c r="BU21"/>
      <c r="BV21"/>
      <c r="BW21"/>
      <c r="BX21"/>
      <c r="BY21"/>
      <c r="CJ21"/>
      <c r="CK21"/>
    </row>
    <row r="22" spans="2:89" ht="15" customHeight="1" x14ac:dyDescent="0.25">
      <c r="B22" s="84"/>
      <c r="C22" s="84"/>
      <c r="D22" s="27"/>
      <c r="E22" s="33"/>
      <c r="F22" s="34"/>
      <c r="G22" s="34"/>
      <c r="H22" s="35"/>
      <c r="I22" s="33"/>
      <c r="J22" s="34"/>
      <c r="K22" s="34"/>
      <c r="L22" s="35"/>
      <c r="M22" s="33"/>
      <c r="N22" s="34"/>
      <c r="O22" s="34"/>
      <c r="P22" s="35"/>
      <c r="Q22" s="33"/>
      <c r="R22" s="34"/>
      <c r="S22" s="34"/>
      <c r="T22" s="35"/>
      <c r="U22" s="33"/>
      <c r="V22" s="34"/>
      <c r="W22" s="34"/>
      <c r="X22" s="35"/>
      <c r="Y22" s="33"/>
      <c r="Z22" s="34"/>
      <c r="AA22" s="34"/>
      <c r="AB22" s="35"/>
      <c r="AC22" s="33"/>
      <c r="AD22" s="34"/>
      <c r="AE22" s="34"/>
      <c r="AF22" s="35"/>
      <c r="AG22" s="33"/>
      <c r="AH22" s="34"/>
      <c r="AI22" s="34"/>
      <c r="AJ22" s="35"/>
      <c r="AK22" s="33"/>
      <c r="AL22" s="34"/>
      <c r="AM22" s="34"/>
      <c r="AN22" s="35"/>
      <c r="AO22" s="33"/>
      <c r="AP22" s="34"/>
      <c r="AQ22" s="34"/>
      <c r="AR22" s="35"/>
      <c r="AS22" s="33"/>
      <c r="AT22" s="34"/>
      <c r="AU22" s="34"/>
      <c r="AV22" s="35"/>
      <c r="AW22" s="33"/>
      <c r="AX22" s="34"/>
      <c r="AY22" s="34"/>
      <c r="AZ22" s="35"/>
      <c r="BA22" s="33"/>
      <c r="BB22" s="34"/>
      <c r="BC22" s="34"/>
      <c r="BD22" s="35"/>
      <c r="BF22" s="36">
        <v>4</v>
      </c>
      <c r="BG22" s="37">
        <f>IF(ISBLANK(B21),"",COUNTIF(B24:BD24,"&gt;=3"))</f>
        <v>2</v>
      </c>
      <c r="BH22" s="83"/>
      <c r="BI22" s="20"/>
      <c r="BL22"/>
      <c r="BM22"/>
      <c r="BN22"/>
      <c r="BO22"/>
      <c r="BP22"/>
      <c r="BQ22"/>
      <c r="BR22"/>
      <c r="BS22"/>
      <c r="BT22"/>
      <c r="BU22"/>
      <c r="BV22"/>
      <c r="BW22"/>
      <c r="BX22"/>
      <c r="BY22"/>
      <c r="CJ22"/>
      <c r="CK22"/>
    </row>
    <row r="23" spans="2:89" ht="15" customHeight="1" x14ac:dyDescent="0.25">
      <c r="B23" s="84"/>
      <c r="C23" s="84"/>
      <c r="D23" s="27"/>
      <c r="E23" s="33"/>
      <c r="F23" s="34"/>
      <c r="G23" s="34"/>
      <c r="H23" s="35"/>
      <c r="I23" s="33"/>
      <c r="J23" s="34"/>
      <c r="K23" s="34"/>
      <c r="L23" s="35"/>
      <c r="M23" s="33"/>
      <c r="N23" s="34"/>
      <c r="O23" s="34"/>
      <c r="P23" s="35"/>
      <c r="Q23" s="33"/>
      <c r="R23" s="34"/>
      <c r="S23" s="34"/>
      <c r="T23" s="35"/>
      <c r="U23" s="33"/>
      <c r="V23" s="34"/>
      <c r="W23" s="34"/>
      <c r="X23" s="35"/>
      <c r="Y23" s="33"/>
      <c r="Z23" s="34"/>
      <c r="AA23" s="34"/>
      <c r="AB23" s="35"/>
      <c r="AC23" s="33"/>
      <c r="AD23" s="34"/>
      <c r="AE23" s="34"/>
      <c r="AF23" s="35"/>
      <c r="AG23" s="33"/>
      <c r="AH23" s="34"/>
      <c r="AI23" s="34"/>
      <c r="AJ23" s="35"/>
      <c r="AK23" s="33"/>
      <c r="AL23" s="34"/>
      <c r="AM23" s="34"/>
      <c r="AN23" s="35"/>
      <c r="AO23" s="33"/>
      <c r="AP23" s="34"/>
      <c r="AQ23" s="34"/>
      <c r="AR23" s="35"/>
      <c r="AS23" s="33"/>
      <c r="AT23" s="34"/>
      <c r="AU23" s="34"/>
      <c r="AV23" s="35"/>
      <c r="AW23" s="33"/>
      <c r="AX23" s="34"/>
      <c r="AY23" s="34"/>
      <c r="AZ23" s="35"/>
      <c r="BA23" s="33"/>
      <c r="BB23" s="34"/>
      <c r="BC23" s="34"/>
      <c r="BD23" s="35"/>
      <c r="BF23" s="81" t="str">
        <f>IF(ISBLANK(B21),"","personas cualificadas")</f>
        <v>personas cualificadas</v>
      </c>
      <c r="BG23" s="81" t="str">
        <f>IF(ISBLANK(B21),"","personas cualificadas")</f>
        <v>personas cualificadas</v>
      </c>
      <c r="BH23" s="83"/>
      <c r="BI23" s="20"/>
      <c r="BL23"/>
      <c r="BM23"/>
      <c r="BN23"/>
      <c r="BO23"/>
      <c r="BP23"/>
      <c r="BQ23"/>
      <c r="BR23"/>
      <c r="BS23"/>
      <c r="BT23"/>
      <c r="BU23"/>
      <c r="BV23"/>
      <c r="BW23"/>
      <c r="BX23"/>
      <c r="BY23"/>
      <c r="CJ23"/>
      <c r="CK23"/>
    </row>
    <row r="24" spans="2:89" x14ac:dyDescent="0.25">
      <c r="B24" s="84"/>
      <c r="C24" s="84"/>
      <c r="D24" s="27"/>
      <c r="E24" s="69"/>
      <c r="F24" s="70"/>
      <c r="G24" s="70"/>
      <c r="H24" s="71"/>
      <c r="I24" s="69"/>
      <c r="J24" s="70"/>
      <c r="K24" s="70"/>
      <c r="L24" s="71"/>
      <c r="M24" s="69"/>
      <c r="N24" s="70"/>
      <c r="O24" s="70"/>
      <c r="P24" s="71"/>
      <c r="Q24" s="69"/>
      <c r="R24" s="70"/>
      <c r="S24" s="70"/>
      <c r="T24" s="71"/>
      <c r="U24" s="69"/>
      <c r="V24" s="70"/>
      <c r="W24" s="70"/>
      <c r="X24" s="71"/>
      <c r="Y24" s="69"/>
      <c r="Z24" s="70"/>
      <c r="AA24" s="70"/>
      <c r="AB24" s="71"/>
      <c r="AC24" s="69"/>
      <c r="AD24" s="70"/>
      <c r="AE24" s="70"/>
      <c r="AF24" s="71"/>
      <c r="AG24" s="69">
        <v>4</v>
      </c>
      <c r="AH24" s="70"/>
      <c r="AI24" s="70"/>
      <c r="AJ24" s="71"/>
      <c r="AK24" s="69"/>
      <c r="AL24" s="70"/>
      <c r="AM24" s="70"/>
      <c r="AN24" s="71"/>
      <c r="AO24" s="69"/>
      <c r="AP24" s="70"/>
      <c r="AQ24" s="70"/>
      <c r="AR24" s="71"/>
      <c r="AS24" s="69">
        <v>4</v>
      </c>
      <c r="AT24" s="70"/>
      <c r="AU24" s="70"/>
      <c r="AV24" s="71"/>
      <c r="AW24" s="69"/>
      <c r="AX24" s="70"/>
      <c r="AY24" s="70"/>
      <c r="AZ24" s="71"/>
      <c r="BA24" s="69"/>
      <c r="BB24" s="70"/>
      <c r="BC24" s="70"/>
      <c r="BD24" s="71"/>
      <c r="BE24" s="38"/>
      <c r="BF24" s="82"/>
      <c r="BG24" s="82"/>
      <c r="BH24" s="83"/>
      <c r="BI24" s="20"/>
      <c r="BL24"/>
      <c r="BM24"/>
      <c r="BN24"/>
      <c r="BO24"/>
      <c r="BP24"/>
      <c r="BQ24"/>
      <c r="BR24"/>
      <c r="BS24"/>
      <c r="BT24"/>
      <c r="BU24"/>
      <c r="BV24"/>
      <c r="BW24"/>
      <c r="BX24"/>
      <c r="BY24"/>
      <c r="CJ24"/>
      <c r="CK24"/>
    </row>
    <row r="25" spans="2:89" ht="6" customHeight="1" x14ac:dyDescent="0.25">
      <c r="B25" s="84" t="s">
        <v>53</v>
      </c>
      <c r="C25" s="84"/>
      <c r="D25" s="27"/>
      <c r="E25" s="28"/>
      <c r="F25" s="29"/>
      <c r="G25" s="29"/>
      <c r="H25" s="30"/>
      <c r="I25" s="28"/>
      <c r="J25" s="29"/>
      <c r="K25" s="29"/>
      <c r="L25" s="30"/>
      <c r="M25" s="28"/>
      <c r="N25" s="29"/>
      <c r="O25" s="29"/>
      <c r="P25" s="30"/>
      <c r="Q25" s="28"/>
      <c r="R25" s="29"/>
      <c r="S25" s="29"/>
      <c r="T25" s="30"/>
      <c r="U25" s="28"/>
      <c r="V25" s="29"/>
      <c r="W25" s="29"/>
      <c r="X25" s="30"/>
      <c r="Y25" s="28"/>
      <c r="Z25" s="29"/>
      <c r="AA25" s="29"/>
      <c r="AB25" s="30"/>
      <c r="AC25" s="28"/>
      <c r="AD25" s="29"/>
      <c r="AE25" s="29"/>
      <c r="AF25" s="30"/>
      <c r="AG25" s="28"/>
      <c r="AH25" s="29"/>
      <c r="AI25" s="29"/>
      <c r="AJ25" s="30"/>
      <c r="AK25" s="28"/>
      <c r="AL25" s="29"/>
      <c r="AM25" s="29"/>
      <c r="AN25" s="30"/>
      <c r="AO25" s="28"/>
      <c r="AP25" s="29"/>
      <c r="AQ25" s="29"/>
      <c r="AR25" s="30"/>
      <c r="AS25" s="28"/>
      <c r="AT25" s="29"/>
      <c r="AU25" s="29"/>
      <c r="AV25" s="30"/>
      <c r="AW25" s="28"/>
      <c r="AX25" s="29"/>
      <c r="AY25" s="29"/>
      <c r="AZ25" s="30"/>
      <c r="BA25" s="28"/>
      <c r="BB25" s="29"/>
      <c r="BC25" s="29"/>
      <c r="BD25" s="30"/>
      <c r="BF25" s="31"/>
      <c r="BG25" s="32"/>
      <c r="BH25" s="83">
        <f>IF(ISBLANK(B25),"",IF(BG26&gt;=BF26,3,IF(BG26=(BF26-1),2,1)))</f>
        <v>1</v>
      </c>
      <c r="BI25" s="20"/>
      <c r="BL25"/>
      <c r="BM25"/>
      <c r="BN25"/>
      <c r="BO25"/>
      <c r="BP25"/>
      <c r="BQ25"/>
      <c r="BR25"/>
      <c r="BS25"/>
      <c r="BT25"/>
      <c r="BU25"/>
      <c r="BV25"/>
      <c r="BW25"/>
      <c r="BX25"/>
      <c r="BY25"/>
      <c r="CJ25"/>
      <c r="CK25"/>
    </row>
    <row r="26" spans="2:89" ht="15" customHeight="1" x14ac:dyDescent="0.25">
      <c r="B26" s="84"/>
      <c r="C26" s="84"/>
      <c r="D26" s="27"/>
      <c r="E26" s="33"/>
      <c r="F26" s="34"/>
      <c r="G26" s="34"/>
      <c r="H26" s="35"/>
      <c r="I26" s="33"/>
      <c r="J26" s="34"/>
      <c r="K26" s="34"/>
      <c r="L26" s="35"/>
      <c r="M26" s="33"/>
      <c r="N26" s="34"/>
      <c r="O26" s="34"/>
      <c r="P26" s="35"/>
      <c r="Q26" s="33"/>
      <c r="R26" s="34"/>
      <c r="S26" s="34"/>
      <c r="T26" s="35"/>
      <c r="U26" s="33"/>
      <c r="V26" s="34"/>
      <c r="W26" s="34"/>
      <c r="X26" s="35"/>
      <c r="Y26" s="33"/>
      <c r="Z26" s="34"/>
      <c r="AA26" s="34"/>
      <c r="AB26" s="35"/>
      <c r="AC26" s="33"/>
      <c r="AD26" s="34"/>
      <c r="AE26" s="34"/>
      <c r="AF26" s="35"/>
      <c r="AG26" s="33"/>
      <c r="AH26" s="34"/>
      <c r="AI26" s="34"/>
      <c r="AJ26" s="35"/>
      <c r="AK26" s="33"/>
      <c r="AL26" s="34"/>
      <c r="AM26" s="34"/>
      <c r="AN26" s="35"/>
      <c r="AO26" s="33"/>
      <c r="AP26" s="34"/>
      <c r="AQ26" s="34"/>
      <c r="AR26" s="35"/>
      <c r="AS26" s="33"/>
      <c r="AT26" s="34"/>
      <c r="AU26" s="34"/>
      <c r="AV26" s="35"/>
      <c r="AW26" s="33"/>
      <c r="AX26" s="34"/>
      <c r="AY26" s="34"/>
      <c r="AZ26" s="35"/>
      <c r="BA26" s="33"/>
      <c r="BB26" s="34"/>
      <c r="BC26" s="34"/>
      <c r="BD26" s="35"/>
      <c r="BF26" s="36">
        <v>4</v>
      </c>
      <c r="BG26" s="37">
        <f>IF(ISBLANK(B25),"",COUNTIF(B28:BD28,"&gt;=3"))</f>
        <v>2</v>
      </c>
      <c r="BH26" s="83"/>
      <c r="BI26" s="20"/>
      <c r="BL26"/>
      <c r="BM26"/>
      <c r="BN26"/>
      <c r="BO26"/>
      <c r="BP26"/>
      <c r="BQ26"/>
      <c r="BR26"/>
      <c r="BS26"/>
      <c r="BT26"/>
      <c r="BU26"/>
      <c r="BV26"/>
      <c r="BW26"/>
      <c r="BX26"/>
      <c r="BY26"/>
      <c r="CJ26"/>
      <c r="CK26"/>
    </row>
    <row r="27" spans="2:89" ht="15" customHeight="1" x14ac:dyDescent="0.25">
      <c r="B27" s="84"/>
      <c r="C27" s="84"/>
      <c r="D27" s="27"/>
      <c r="E27" s="33"/>
      <c r="F27" s="34"/>
      <c r="G27" s="34"/>
      <c r="H27" s="35"/>
      <c r="I27" s="33"/>
      <c r="J27" s="34"/>
      <c r="K27" s="34"/>
      <c r="L27" s="35"/>
      <c r="M27" s="33"/>
      <c r="N27" s="34"/>
      <c r="O27" s="34"/>
      <c r="P27" s="35"/>
      <c r="Q27" s="33"/>
      <c r="R27" s="34"/>
      <c r="S27" s="34"/>
      <c r="T27" s="35"/>
      <c r="U27" s="33"/>
      <c r="V27" s="34"/>
      <c r="W27" s="34"/>
      <c r="X27" s="35"/>
      <c r="Y27" s="33"/>
      <c r="Z27" s="34"/>
      <c r="AA27" s="34"/>
      <c r="AB27" s="35"/>
      <c r="AC27" s="33"/>
      <c r="AD27" s="34"/>
      <c r="AE27" s="34"/>
      <c r="AF27" s="35"/>
      <c r="AG27" s="33"/>
      <c r="AH27" s="34"/>
      <c r="AI27" s="34"/>
      <c r="AJ27" s="35"/>
      <c r="AK27" s="33"/>
      <c r="AL27" s="34"/>
      <c r="AM27" s="34"/>
      <c r="AN27" s="35"/>
      <c r="AO27" s="33"/>
      <c r="AP27" s="34"/>
      <c r="AQ27" s="34"/>
      <c r="AR27" s="35"/>
      <c r="AS27" s="33"/>
      <c r="AT27" s="34"/>
      <c r="AU27" s="34"/>
      <c r="AV27" s="35"/>
      <c r="AW27" s="33"/>
      <c r="AX27" s="34"/>
      <c r="AY27" s="34"/>
      <c r="AZ27" s="35"/>
      <c r="BA27" s="33"/>
      <c r="BB27" s="34"/>
      <c r="BC27" s="34"/>
      <c r="BD27" s="35"/>
      <c r="BF27" s="81" t="str">
        <f>IF(ISBLANK(B25),"","personas cualificadas")</f>
        <v>personas cualificadas</v>
      </c>
      <c r="BG27" s="81" t="str">
        <f>IF(ISBLANK(B25),"","personas cualificadas")</f>
        <v>personas cualificadas</v>
      </c>
      <c r="BH27" s="83"/>
      <c r="BI27" s="20"/>
      <c r="BL27"/>
      <c r="BM27"/>
      <c r="BN27"/>
      <c r="BO27"/>
      <c r="BP27"/>
      <c r="BQ27"/>
      <c r="BR27"/>
      <c r="BS27"/>
      <c r="BT27"/>
      <c r="BU27"/>
      <c r="BV27"/>
      <c r="BW27"/>
      <c r="BX27"/>
      <c r="BY27"/>
      <c r="CJ27"/>
      <c r="CK27"/>
    </row>
    <row r="28" spans="2:89" x14ac:dyDescent="0.25">
      <c r="B28" s="84"/>
      <c r="C28" s="84"/>
      <c r="D28" s="27"/>
      <c r="E28" s="69"/>
      <c r="F28" s="70"/>
      <c r="G28" s="70"/>
      <c r="H28" s="71"/>
      <c r="I28" s="69"/>
      <c r="J28" s="70"/>
      <c r="K28" s="70"/>
      <c r="L28" s="71"/>
      <c r="M28" s="69"/>
      <c r="N28" s="70"/>
      <c r="O28" s="70"/>
      <c r="P28" s="71"/>
      <c r="Q28" s="69"/>
      <c r="R28" s="70"/>
      <c r="S28" s="70"/>
      <c r="T28" s="71"/>
      <c r="U28" s="69"/>
      <c r="V28" s="70"/>
      <c r="W28" s="70"/>
      <c r="X28" s="71"/>
      <c r="Y28" s="69"/>
      <c r="Z28" s="70"/>
      <c r="AA28" s="70"/>
      <c r="AB28" s="71"/>
      <c r="AC28" s="69">
        <v>4</v>
      </c>
      <c r="AD28" s="70"/>
      <c r="AE28" s="70"/>
      <c r="AF28" s="71"/>
      <c r="AG28" s="69">
        <v>4</v>
      </c>
      <c r="AH28" s="70"/>
      <c r="AI28" s="70"/>
      <c r="AJ28" s="71"/>
      <c r="AK28" s="69"/>
      <c r="AL28" s="70"/>
      <c r="AM28" s="70"/>
      <c r="AN28" s="71"/>
      <c r="AO28" s="69"/>
      <c r="AP28" s="70"/>
      <c r="AQ28" s="70"/>
      <c r="AR28" s="71"/>
      <c r="AS28" s="69"/>
      <c r="AT28" s="70"/>
      <c r="AU28" s="70"/>
      <c r="AV28" s="71"/>
      <c r="AW28" s="69"/>
      <c r="AX28" s="70"/>
      <c r="AY28" s="70"/>
      <c r="AZ28" s="71"/>
      <c r="BA28" s="69"/>
      <c r="BB28" s="70"/>
      <c r="BC28" s="70"/>
      <c r="BD28" s="71"/>
      <c r="BE28" s="38"/>
      <c r="BF28" s="82"/>
      <c r="BG28" s="82"/>
      <c r="BH28" s="83"/>
      <c r="BI28" s="20"/>
      <c r="BL28"/>
      <c r="BM28"/>
      <c r="BN28"/>
      <c r="BO28"/>
      <c r="BP28"/>
      <c r="BQ28"/>
      <c r="BR28"/>
      <c r="BS28"/>
      <c r="BT28"/>
      <c r="BU28"/>
      <c r="BV28"/>
      <c r="BW28"/>
      <c r="BX28"/>
      <c r="BY28"/>
      <c r="CJ28"/>
      <c r="CK28"/>
    </row>
    <row r="29" spans="2:89" ht="6" customHeight="1" x14ac:dyDescent="0.25">
      <c r="B29" s="84" t="s">
        <v>54</v>
      </c>
      <c r="C29" s="84"/>
      <c r="D29" s="27"/>
      <c r="E29" s="28"/>
      <c r="F29" s="29"/>
      <c r="G29" s="29"/>
      <c r="H29" s="30"/>
      <c r="I29" s="28"/>
      <c r="J29" s="29"/>
      <c r="K29" s="29"/>
      <c r="L29" s="30"/>
      <c r="M29" s="28"/>
      <c r="N29" s="29"/>
      <c r="O29" s="29"/>
      <c r="P29" s="30"/>
      <c r="Q29" s="28"/>
      <c r="R29" s="29"/>
      <c r="S29" s="29"/>
      <c r="T29" s="30"/>
      <c r="U29" s="28"/>
      <c r="V29" s="29"/>
      <c r="W29" s="29"/>
      <c r="X29" s="30"/>
      <c r="Y29" s="28"/>
      <c r="Z29" s="29"/>
      <c r="AA29" s="29"/>
      <c r="AB29" s="30"/>
      <c r="AC29" s="28"/>
      <c r="AD29" s="29"/>
      <c r="AE29" s="29"/>
      <c r="AF29" s="30"/>
      <c r="AG29" s="28"/>
      <c r="AH29" s="29"/>
      <c r="AI29" s="29"/>
      <c r="AJ29" s="30"/>
      <c r="AK29" s="28"/>
      <c r="AL29" s="29"/>
      <c r="AM29" s="29"/>
      <c r="AN29" s="30"/>
      <c r="AO29" s="28"/>
      <c r="AP29" s="29"/>
      <c r="AQ29" s="29"/>
      <c r="AR29" s="30"/>
      <c r="AS29" s="28"/>
      <c r="AT29" s="29"/>
      <c r="AU29" s="29"/>
      <c r="AV29" s="30"/>
      <c r="AW29" s="28"/>
      <c r="AX29" s="29"/>
      <c r="AY29" s="29"/>
      <c r="AZ29" s="30"/>
      <c r="BA29" s="28"/>
      <c r="BB29" s="29"/>
      <c r="BC29" s="29"/>
      <c r="BD29" s="30"/>
      <c r="BF29" s="31"/>
      <c r="BG29" s="32"/>
      <c r="BH29" s="83">
        <f>IF(ISBLANK(B29),"",IF(BG30&gt;=BF30,3,IF(BG30=(BF30-1),2,1)))</f>
        <v>1</v>
      </c>
      <c r="BI29" s="20"/>
      <c r="BL29"/>
      <c r="BM29"/>
      <c r="BN29"/>
      <c r="BO29"/>
      <c r="BP29"/>
      <c r="BQ29"/>
      <c r="BR29"/>
      <c r="BS29"/>
      <c r="BT29"/>
      <c r="BU29"/>
      <c r="BV29"/>
      <c r="BW29"/>
      <c r="BX29"/>
      <c r="BY29"/>
      <c r="CJ29"/>
      <c r="CK29"/>
    </row>
    <row r="30" spans="2:89" ht="15" customHeight="1" x14ac:dyDescent="0.25">
      <c r="B30" s="84"/>
      <c r="C30" s="84"/>
      <c r="D30" s="27"/>
      <c r="E30" s="33"/>
      <c r="F30" s="34"/>
      <c r="G30" s="34"/>
      <c r="H30" s="35"/>
      <c r="I30" s="33"/>
      <c r="J30" s="34"/>
      <c r="K30" s="34"/>
      <c r="L30" s="35"/>
      <c r="M30" s="33"/>
      <c r="N30" s="34"/>
      <c r="O30" s="34"/>
      <c r="P30" s="35"/>
      <c r="Q30" s="33"/>
      <c r="R30" s="34"/>
      <c r="S30" s="34"/>
      <c r="T30" s="35"/>
      <c r="U30" s="33"/>
      <c r="V30" s="34"/>
      <c r="W30" s="34"/>
      <c r="X30" s="35"/>
      <c r="Y30" s="33"/>
      <c r="Z30" s="34"/>
      <c r="AA30" s="34"/>
      <c r="AB30" s="35"/>
      <c r="AC30" s="33"/>
      <c r="AD30" s="34"/>
      <c r="AE30" s="34"/>
      <c r="AF30" s="35"/>
      <c r="AG30" s="33"/>
      <c r="AH30" s="34"/>
      <c r="AI30" s="34"/>
      <c r="AJ30" s="35"/>
      <c r="AK30" s="33"/>
      <c r="AL30" s="34"/>
      <c r="AM30" s="34"/>
      <c r="AN30" s="35"/>
      <c r="AO30" s="33"/>
      <c r="AP30" s="34"/>
      <c r="AQ30" s="34"/>
      <c r="AR30" s="35"/>
      <c r="AS30" s="33"/>
      <c r="AT30" s="34"/>
      <c r="AU30" s="34"/>
      <c r="AV30" s="35"/>
      <c r="AW30" s="33"/>
      <c r="AX30" s="34"/>
      <c r="AY30" s="34"/>
      <c r="AZ30" s="35"/>
      <c r="BA30" s="33"/>
      <c r="BB30" s="34"/>
      <c r="BC30" s="34"/>
      <c r="BD30" s="35"/>
      <c r="BF30" s="36">
        <v>8</v>
      </c>
      <c r="BG30" s="37">
        <f>IF(ISBLANK(B29),"",COUNTIF(B32:BD32,"&gt;=3"))</f>
        <v>3</v>
      </c>
      <c r="BH30" s="83"/>
      <c r="BI30" s="20"/>
      <c r="BL30"/>
      <c r="BM30"/>
      <c r="BN30"/>
      <c r="BO30"/>
      <c r="BP30"/>
      <c r="BQ30"/>
      <c r="BR30"/>
      <c r="BS30"/>
      <c r="BT30"/>
      <c r="BU30"/>
      <c r="BV30"/>
      <c r="BW30"/>
      <c r="BX30"/>
      <c r="BY30"/>
      <c r="CJ30"/>
      <c r="CK30"/>
    </row>
    <row r="31" spans="2:89" ht="15" customHeight="1" x14ac:dyDescent="0.25">
      <c r="B31" s="84"/>
      <c r="C31" s="84"/>
      <c r="D31" s="27"/>
      <c r="E31" s="33"/>
      <c r="F31" s="34"/>
      <c r="G31" s="34"/>
      <c r="H31" s="35"/>
      <c r="I31" s="33"/>
      <c r="J31" s="34"/>
      <c r="K31" s="34"/>
      <c r="L31" s="35"/>
      <c r="M31" s="33"/>
      <c r="N31" s="34"/>
      <c r="O31" s="34"/>
      <c r="P31" s="35"/>
      <c r="Q31" s="33"/>
      <c r="R31" s="34"/>
      <c r="S31" s="34"/>
      <c r="T31" s="35"/>
      <c r="U31" s="33"/>
      <c r="V31" s="34"/>
      <c r="W31" s="34"/>
      <c r="X31" s="35"/>
      <c r="Y31" s="33"/>
      <c r="Z31" s="34"/>
      <c r="AA31" s="34"/>
      <c r="AB31" s="35"/>
      <c r="AC31" s="33"/>
      <c r="AD31" s="34"/>
      <c r="AE31" s="34"/>
      <c r="AF31" s="35"/>
      <c r="AG31" s="33"/>
      <c r="AH31" s="34"/>
      <c r="AI31" s="34"/>
      <c r="AJ31" s="35"/>
      <c r="AK31" s="33"/>
      <c r="AL31" s="34"/>
      <c r="AM31" s="34"/>
      <c r="AN31" s="35"/>
      <c r="AO31" s="33"/>
      <c r="AP31" s="34"/>
      <c r="AQ31" s="34"/>
      <c r="AR31" s="35"/>
      <c r="AS31" s="33"/>
      <c r="AT31" s="34"/>
      <c r="AU31" s="34"/>
      <c r="AV31" s="35"/>
      <c r="AW31" s="33"/>
      <c r="AX31" s="34"/>
      <c r="AY31" s="34"/>
      <c r="AZ31" s="35"/>
      <c r="BA31" s="33"/>
      <c r="BB31" s="34"/>
      <c r="BC31" s="34"/>
      <c r="BD31" s="35"/>
      <c r="BF31" s="81" t="str">
        <f>IF(ISBLANK(B29),"","personas cualificadas")</f>
        <v>personas cualificadas</v>
      </c>
      <c r="BG31" s="81" t="str">
        <f>IF(ISBLANK(B29),"","personas cualificadas")</f>
        <v>personas cualificadas</v>
      </c>
      <c r="BH31" s="83"/>
      <c r="BI31" s="20"/>
      <c r="BL31"/>
      <c r="BM31"/>
      <c r="BN31"/>
      <c r="BO31"/>
      <c r="BP31"/>
      <c r="BQ31"/>
      <c r="BR31"/>
      <c r="BS31"/>
      <c r="BT31"/>
      <c r="BU31"/>
      <c r="BV31"/>
      <c r="BW31"/>
      <c r="BX31"/>
      <c r="BY31"/>
      <c r="CJ31"/>
      <c r="CK31"/>
    </row>
    <row r="32" spans="2:89" ht="14.45" customHeight="1" x14ac:dyDescent="0.25">
      <c r="B32" s="84"/>
      <c r="C32" s="84"/>
      <c r="D32" s="27"/>
      <c r="E32" s="69">
        <v>4</v>
      </c>
      <c r="F32" s="70"/>
      <c r="G32" s="70"/>
      <c r="H32" s="71"/>
      <c r="I32" s="69"/>
      <c r="J32" s="70"/>
      <c r="K32" s="70"/>
      <c r="L32" s="71"/>
      <c r="M32" s="69">
        <v>4</v>
      </c>
      <c r="N32" s="70"/>
      <c r="O32" s="70"/>
      <c r="P32" s="71"/>
      <c r="Q32" s="69"/>
      <c r="R32" s="70"/>
      <c r="S32" s="70"/>
      <c r="T32" s="71"/>
      <c r="U32" s="69"/>
      <c r="V32" s="70"/>
      <c r="W32" s="70"/>
      <c r="X32" s="71"/>
      <c r="Y32" s="69"/>
      <c r="Z32" s="70"/>
      <c r="AA32" s="70"/>
      <c r="AB32" s="71"/>
      <c r="AC32" s="69">
        <v>2</v>
      </c>
      <c r="AD32" s="70"/>
      <c r="AE32" s="70"/>
      <c r="AF32" s="71"/>
      <c r="AG32" s="69">
        <v>2</v>
      </c>
      <c r="AH32" s="70"/>
      <c r="AI32" s="70"/>
      <c r="AJ32" s="71"/>
      <c r="AK32" s="69">
        <v>3</v>
      </c>
      <c r="AL32" s="70"/>
      <c r="AM32" s="70"/>
      <c r="AN32" s="71"/>
      <c r="AO32" s="69">
        <v>1</v>
      </c>
      <c r="AP32" s="70"/>
      <c r="AQ32" s="70"/>
      <c r="AR32" s="71"/>
      <c r="AS32" s="69"/>
      <c r="AT32" s="70"/>
      <c r="AU32" s="70"/>
      <c r="AV32" s="71"/>
      <c r="AW32" s="69"/>
      <c r="AX32" s="70"/>
      <c r="AY32" s="70"/>
      <c r="AZ32" s="71"/>
      <c r="BA32" s="69"/>
      <c r="BB32" s="70"/>
      <c r="BC32" s="70"/>
      <c r="BD32" s="71"/>
      <c r="BE32" s="38"/>
      <c r="BF32" s="82"/>
      <c r="BG32" s="82"/>
      <c r="BH32" s="83"/>
      <c r="BI32" s="20"/>
      <c r="BL32"/>
      <c r="BM32"/>
      <c r="BN32"/>
      <c r="BO32"/>
      <c r="BP32"/>
      <c r="BQ32"/>
      <c r="BR32"/>
      <c r="BS32"/>
      <c r="BT32"/>
      <c r="BU32"/>
      <c r="BV32"/>
      <c r="BW32"/>
      <c r="BX32"/>
      <c r="BY32"/>
      <c r="CJ32"/>
      <c r="CK32"/>
    </row>
    <row r="33" spans="2:89" ht="6" customHeight="1" x14ac:dyDescent="0.25">
      <c r="B33" s="84" t="s">
        <v>55</v>
      </c>
      <c r="C33" s="84"/>
      <c r="D33" s="27"/>
      <c r="E33" s="28"/>
      <c r="F33" s="29"/>
      <c r="G33" s="29"/>
      <c r="H33" s="30"/>
      <c r="I33" s="28"/>
      <c r="J33" s="29"/>
      <c r="K33" s="29"/>
      <c r="L33" s="30"/>
      <c r="M33" s="28"/>
      <c r="N33" s="29"/>
      <c r="O33" s="29"/>
      <c r="P33" s="30"/>
      <c r="Q33" s="28"/>
      <c r="R33" s="29"/>
      <c r="S33" s="29"/>
      <c r="T33" s="30"/>
      <c r="U33" s="28"/>
      <c r="V33" s="29"/>
      <c r="W33" s="29"/>
      <c r="X33" s="30"/>
      <c r="Y33" s="28"/>
      <c r="Z33" s="29"/>
      <c r="AA33" s="29"/>
      <c r="AB33" s="30"/>
      <c r="AC33" s="28"/>
      <c r="AD33" s="29"/>
      <c r="AE33" s="29"/>
      <c r="AF33" s="30"/>
      <c r="AG33" s="28"/>
      <c r="AH33" s="29"/>
      <c r="AI33" s="29"/>
      <c r="AJ33" s="30"/>
      <c r="AK33" s="28"/>
      <c r="AL33" s="29"/>
      <c r="AM33" s="29"/>
      <c r="AN33" s="30"/>
      <c r="AO33" s="28"/>
      <c r="AP33" s="29"/>
      <c r="AQ33" s="29"/>
      <c r="AR33" s="30"/>
      <c r="AS33" s="28"/>
      <c r="AT33" s="29"/>
      <c r="AU33" s="29"/>
      <c r="AV33" s="30"/>
      <c r="AW33" s="28"/>
      <c r="AX33" s="29"/>
      <c r="AY33" s="29"/>
      <c r="AZ33" s="30"/>
      <c r="BA33" s="28"/>
      <c r="BB33" s="29"/>
      <c r="BC33" s="29"/>
      <c r="BD33" s="30"/>
      <c r="BF33" s="31"/>
      <c r="BG33" s="32"/>
      <c r="BH33" s="83">
        <f>IF(ISBLANK(B33),"",IF(BG34&gt;=BF34,3,IF(BG34=(BF34-1),2,1)))</f>
        <v>1</v>
      </c>
      <c r="BI33" s="20"/>
      <c r="BL33"/>
      <c r="BM33"/>
      <c r="BN33"/>
      <c r="BO33"/>
      <c r="BP33"/>
      <c r="BQ33"/>
      <c r="BR33"/>
      <c r="BS33"/>
      <c r="BT33"/>
      <c r="BU33"/>
      <c r="BV33"/>
      <c r="BW33"/>
      <c r="BX33"/>
      <c r="BY33"/>
      <c r="CJ33"/>
      <c r="CK33"/>
    </row>
    <row r="34" spans="2:89" ht="15" customHeight="1" x14ac:dyDescent="0.25">
      <c r="B34" s="84"/>
      <c r="C34" s="84"/>
      <c r="D34" s="27"/>
      <c r="E34" s="33"/>
      <c r="F34" s="34"/>
      <c r="G34" s="34"/>
      <c r="H34" s="35"/>
      <c r="I34" s="33"/>
      <c r="J34" s="34"/>
      <c r="K34" s="34"/>
      <c r="L34" s="35"/>
      <c r="M34" s="33"/>
      <c r="N34" s="34"/>
      <c r="O34" s="34"/>
      <c r="P34" s="35"/>
      <c r="Q34" s="33"/>
      <c r="R34" s="34"/>
      <c r="S34" s="34"/>
      <c r="T34" s="35"/>
      <c r="U34" s="33"/>
      <c r="V34" s="34"/>
      <c r="W34" s="34"/>
      <c r="X34" s="35"/>
      <c r="Y34" s="33"/>
      <c r="Z34" s="34"/>
      <c r="AA34" s="34"/>
      <c r="AB34" s="35"/>
      <c r="AC34" s="33"/>
      <c r="AD34" s="34"/>
      <c r="AE34" s="34"/>
      <c r="AF34" s="35"/>
      <c r="AG34" s="33"/>
      <c r="AH34" s="34"/>
      <c r="AI34" s="34"/>
      <c r="AJ34" s="35"/>
      <c r="AK34" s="33"/>
      <c r="AL34" s="34"/>
      <c r="AM34" s="34"/>
      <c r="AN34" s="35"/>
      <c r="AO34" s="33"/>
      <c r="AP34" s="34"/>
      <c r="AQ34" s="34"/>
      <c r="AR34" s="35"/>
      <c r="AS34" s="33"/>
      <c r="AT34" s="34"/>
      <c r="AU34" s="34"/>
      <c r="AV34" s="35"/>
      <c r="AW34" s="33"/>
      <c r="AX34" s="34"/>
      <c r="AY34" s="34"/>
      <c r="AZ34" s="35"/>
      <c r="BA34" s="33"/>
      <c r="BB34" s="34"/>
      <c r="BC34" s="34"/>
      <c r="BD34" s="35"/>
      <c r="BF34" s="36">
        <v>8</v>
      </c>
      <c r="BG34" s="37">
        <f>IF(ISBLANK(B33),"",COUNTIF(B36:BD36,"&gt;=3"))</f>
        <v>3</v>
      </c>
      <c r="BH34" s="83"/>
      <c r="BI34" s="20"/>
      <c r="BL34"/>
      <c r="BM34"/>
      <c r="BN34"/>
      <c r="BO34"/>
      <c r="BP34"/>
      <c r="BQ34"/>
      <c r="BR34"/>
      <c r="BS34"/>
      <c r="BT34"/>
      <c r="BU34"/>
      <c r="BV34"/>
      <c r="BW34"/>
      <c r="BX34"/>
      <c r="BY34"/>
      <c r="CJ34"/>
      <c r="CK34"/>
    </row>
    <row r="35" spans="2:89" ht="15" customHeight="1" x14ac:dyDescent="0.25">
      <c r="B35" s="84"/>
      <c r="C35" s="84"/>
      <c r="D35" s="27"/>
      <c r="E35" s="33"/>
      <c r="F35" s="34"/>
      <c r="G35" s="34"/>
      <c r="H35" s="35"/>
      <c r="I35" s="33"/>
      <c r="J35" s="34"/>
      <c r="K35" s="34"/>
      <c r="L35" s="35"/>
      <c r="M35" s="33"/>
      <c r="N35" s="34"/>
      <c r="O35" s="34"/>
      <c r="P35" s="35"/>
      <c r="Q35" s="33"/>
      <c r="R35" s="34"/>
      <c r="S35" s="34"/>
      <c r="T35" s="35"/>
      <c r="U35" s="33"/>
      <c r="V35" s="34"/>
      <c r="W35" s="34"/>
      <c r="X35" s="35"/>
      <c r="Y35" s="33"/>
      <c r="Z35" s="34"/>
      <c r="AA35" s="34"/>
      <c r="AB35" s="35"/>
      <c r="AC35" s="33"/>
      <c r="AD35" s="34"/>
      <c r="AE35" s="34"/>
      <c r="AF35" s="35"/>
      <c r="AG35" s="33"/>
      <c r="AH35" s="34"/>
      <c r="AI35" s="34"/>
      <c r="AJ35" s="35"/>
      <c r="AK35" s="33"/>
      <c r="AL35" s="34"/>
      <c r="AM35" s="34"/>
      <c r="AN35" s="35"/>
      <c r="AO35" s="33"/>
      <c r="AP35" s="34"/>
      <c r="AQ35" s="34"/>
      <c r="AR35" s="35"/>
      <c r="AS35" s="33"/>
      <c r="AT35" s="34"/>
      <c r="AU35" s="34"/>
      <c r="AV35" s="35"/>
      <c r="AW35" s="33"/>
      <c r="AX35" s="34"/>
      <c r="AY35" s="34"/>
      <c r="AZ35" s="35"/>
      <c r="BA35" s="33"/>
      <c r="BB35" s="34"/>
      <c r="BC35" s="34"/>
      <c r="BD35" s="35"/>
      <c r="BF35" s="81" t="str">
        <f>IF(ISBLANK(B33),"","personas cualificadas")</f>
        <v>personas cualificadas</v>
      </c>
      <c r="BG35" s="81" t="str">
        <f>IF(ISBLANK(B33),"","personas cualificadas")</f>
        <v>personas cualificadas</v>
      </c>
      <c r="BH35" s="83"/>
      <c r="BI35" s="20"/>
      <c r="BL35"/>
      <c r="BM35"/>
      <c r="BN35"/>
      <c r="BO35"/>
      <c r="BP35"/>
      <c r="BQ35"/>
      <c r="BR35"/>
      <c r="BS35"/>
      <c r="BT35"/>
      <c r="BU35"/>
      <c r="BV35"/>
      <c r="BW35"/>
      <c r="BX35"/>
      <c r="BY35"/>
      <c r="CJ35"/>
      <c r="CK35"/>
    </row>
    <row r="36" spans="2:89" ht="14.45" customHeight="1" x14ac:dyDescent="0.25">
      <c r="B36" s="84"/>
      <c r="C36" s="84"/>
      <c r="D36" s="27"/>
      <c r="E36" s="69">
        <v>4</v>
      </c>
      <c r="F36" s="70"/>
      <c r="G36" s="70"/>
      <c r="H36" s="71"/>
      <c r="I36" s="69"/>
      <c r="J36" s="70"/>
      <c r="K36" s="70"/>
      <c r="L36" s="71"/>
      <c r="M36" s="69">
        <v>4</v>
      </c>
      <c r="N36" s="70"/>
      <c r="O36" s="70"/>
      <c r="P36" s="71"/>
      <c r="Q36" s="69"/>
      <c r="R36" s="70"/>
      <c r="S36" s="70"/>
      <c r="T36" s="71"/>
      <c r="U36" s="69"/>
      <c r="V36" s="70"/>
      <c r="W36" s="70"/>
      <c r="X36" s="71"/>
      <c r="Y36" s="69"/>
      <c r="Z36" s="70"/>
      <c r="AA36" s="70"/>
      <c r="AB36" s="71"/>
      <c r="AC36" s="69">
        <v>2</v>
      </c>
      <c r="AD36" s="70"/>
      <c r="AE36" s="70"/>
      <c r="AF36" s="71"/>
      <c r="AG36" s="69">
        <v>2</v>
      </c>
      <c r="AH36" s="70"/>
      <c r="AI36" s="70"/>
      <c r="AJ36" s="71"/>
      <c r="AK36" s="69">
        <v>4</v>
      </c>
      <c r="AL36" s="70"/>
      <c r="AM36" s="70"/>
      <c r="AN36" s="71"/>
      <c r="AO36" s="69">
        <v>1</v>
      </c>
      <c r="AP36" s="70"/>
      <c r="AQ36" s="70"/>
      <c r="AR36" s="71"/>
      <c r="AS36" s="69"/>
      <c r="AT36" s="70"/>
      <c r="AU36" s="70"/>
      <c r="AV36" s="71"/>
      <c r="AW36" s="69"/>
      <c r="AX36" s="70"/>
      <c r="AY36" s="70"/>
      <c r="AZ36" s="71"/>
      <c r="BA36" s="69"/>
      <c r="BB36" s="70"/>
      <c r="BC36" s="70"/>
      <c r="BD36" s="71"/>
      <c r="BE36" s="38"/>
      <c r="BF36" s="82"/>
      <c r="BG36" s="82"/>
      <c r="BH36" s="83"/>
      <c r="BI36" s="20"/>
      <c r="BL36"/>
      <c r="BM36"/>
      <c r="BN36"/>
      <c r="BO36"/>
      <c r="BP36"/>
      <c r="BQ36"/>
      <c r="BR36"/>
      <c r="BS36"/>
      <c r="BT36"/>
      <c r="BU36"/>
      <c r="BV36"/>
      <c r="BW36"/>
      <c r="BX36"/>
      <c r="BY36"/>
      <c r="CJ36"/>
      <c r="CK36"/>
    </row>
    <row r="37" spans="2:89" ht="6" customHeight="1" x14ac:dyDescent="0.25">
      <c r="B37" s="84" t="s">
        <v>56</v>
      </c>
      <c r="C37" s="84"/>
      <c r="D37" s="27"/>
      <c r="E37" s="28"/>
      <c r="F37" s="29"/>
      <c r="G37" s="29"/>
      <c r="H37" s="30"/>
      <c r="I37" s="28"/>
      <c r="J37" s="29"/>
      <c r="K37" s="29"/>
      <c r="L37" s="30"/>
      <c r="M37" s="28"/>
      <c r="N37" s="29"/>
      <c r="O37" s="29"/>
      <c r="P37" s="30"/>
      <c r="Q37" s="28"/>
      <c r="R37" s="29"/>
      <c r="S37" s="29"/>
      <c r="T37" s="30"/>
      <c r="U37" s="28"/>
      <c r="V37" s="29"/>
      <c r="W37" s="29"/>
      <c r="X37" s="30"/>
      <c r="Y37" s="28"/>
      <c r="Z37" s="29"/>
      <c r="AA37" s="29"/>
      <c r="AB37" s="30"/>
      <c r="AC37" s="28"/>
      <c r="AD37" s="29"/>
      <c r="AE37" s="29"/>
      <c r="AF37" s="30"/>
      <c r="AG37" s="28"/>
      <c r="AH37" s="29"/>
      <c r="AI37" s="29"/>
      <c r="AJ37" s="30"/>
      <c r="AK37" s="28"/>
      <c r="AL37" s="29"/>
      <c r="AM37" s="29"/>
      <c r="AN37" s="30"/>
      <c r="AO37" s="28"/>
      <c r="AP37" s="29"/>
      <c r="AQ37" s="29"/>
      <c r="AR37" s="30"/>
      <c r="AS37" s="28"/>
      <c r="AT37" s="29"/>
      <c r="AU37" s="29"/>
      <c r="AV37" s="30"/>
      <c r="AW37" s="28"/>
      <c r="AX37" s="29"/>
      <c r="AY37" s="29"/>
      <c r="AZ37" s="30"/>
      <c r="BA37" s="28"/>
      <c r="BB37" s="29"/>
      <c r="BC37" s="29"/>
      <c r="BD37" s="30"/>
      <c r="BF37" s="31"/>
      <c r="BG37" s="31"/>
      <c r="BH37" s="83">
        <f>IF(ISBLANK(B37),"",IF(BG38&gt;=BF38,3,IF(BG38=(BF38-1),2,1)))</f>
        <v>1</v>
      </c>
      <c r="BI37" s="20"/>
      <c r="BL37"/>
      <c r="BM37"/>
      <c r="BN37"/>
      <c r="BO37"/>
      <c r="BP37"/>
      <c r="BQ37"/>
      <c r="BR37"/>
      <c r="BS37"/>
      <c r="BT37"/>
      <c r="BU37"/>
      <c r="BV37"/>
      <c r="BW37"/>
      <c r="BX37"/>
      <c r="BY37"/>
      <c r="CJ37"/>
      <c r="CK37"/>
    </row>
    <row r="38" spans="2:89" ht="15" customHeight="1" x14ac:dyDescent="0.25">
      <c r="B38" s="84"/>
      <c r="C38" s="84"/>
      <c r="D38" s="27"/>
      <c r="E38" s="33"/>
      <c r="F38" s="34"/>
      <c r="G38" s="34"/>
      <c r="H38" s="35"/>
      <c r="I38" s="33"/>
      <c r="J38" s="34"/>
      <c r="K38" s="34"/>
      <c r="L38" s="35"/>
      <c r="M38" s="33"/>
      <c r="N38" s="34"/>
      <c r="O38" s="34"/>
      <c r="P38" s="35"/>
      <c r="Q38" s="33"/>
      <c r="R38" s="34"/>
      <c r="S38" s="34"/>
      <c r="T38" s="35"/>
      <c r="U38" s="33"/>
      <c r="V38" s="34"/>
      <c r="W38" s="34"/>
      <c r="X38" s="35"/>
      <c r="Y38" s="33"/>
      <c r="Z38" s="34"/>
      <c r="AA38" s="34"/>
      <c r="AB38" s="35"/>
      <c r="AC38" s="33"/>
      <c r="AD38" s="34"/>
      <c r="AE38" s="34"/>
      <c r="AF38" s="35"/>
      <c r="AG38" s="33"/>
      <c r="AH38" s="34"/>
      <c r="AI38" s="34"/>
      <c r="AJ38" s="35"/>
      <c r="AK38" s="33"/>
      <c r="AL38" s="34"/>
      <c r="AM38" s="34"/>
      <c r="AN38" s="35"/>
      <c r="AO38" s="33"/>
      <c r="AP38" s="34"/>
      <c r="AQ38" s="34"/>
      <c r="AR38" s="35"/>
      <c r="AS38" s="33"/>
      <c r="AT38" s="34"/>
      <c r="AU38" s="34"/>
      <c r="AV38" s="35"/>
      <c r="AW38" s="33"/>
      <c r="AX38" s="34"/>
      <c r="AY38" s="34"/>
      <c r="AZ38" s="35"/>
      <c r="BA38" s="33"/>
      <c r="BB38" s="34"/>
      <c r="BC38" s="34"/>
      <c r="BD38" s="35"/>
      <c r="BF38" s="36">
        <v>8</v>
      </c>
      <c r="BG38" s="37">
        <f>IF(ISBLANK(B37),"",COUNTIF(B40:BD40,"&gt;=3"))</f>
        <v>3</v>
      </c>
      <c r="BH38" s="83"/>
      <c r="BI38" s="20"/>
      <c r="BL38"/>
      <c r="BM38"/>
      <c r="BN38"/>
      <c r="BO38"/>
      <c r="BP38"/>
      <c r="BQ38"/>
      <c r="BR38"/>
      <c r="BS38"/>
      <c r="BT38"/>
      <c r="BU38"/>
      <c r="BV38"/>
      <c r="BW38"/>
      <c r="BX38"/>
      <c r="BY38"/>
      <c r="CJ38"/>
      <c r="CK38"/>
    </row>
    <row r="39" spans="2:89" ht="15" customHeight="1" x14ac:dyDescent="0.25">
      <c r="B39" s="84"/>
      <c r="C39" s="84"/>
      <c r="D39" s="27"/>
      <c r="E39" s="33"/>
      <c r="F39" s="34"/>
      <c r="G39" s="34"/>
      <c r="H39" s="35"/>
      <c r="I39" s="33"/>
      <c r="J39" s="34"/>
      <c r="K39" s="34"/>
      <c r="L39" s="35"/>
      <c r="M39" s="33"/>
      <c r="N39" s="34"/>
      <c r="O39" s="34"/>
      <c r="P39" s="35"/>
      <c r="Q39" s="33"/>
      <c r="R39" s="34"/>
      <c r="S39" s="34"/>
      <c r="T39" s="35"/>
      <c r="U39" s="33"/>
      <c r="V39" s="34"/>
      <c r="W39" s="34"/>
      <c r="X39" s="35"/>
      <c r="Y39" s="33"/>
      <c r="Z39" s="34"/>
      <c r="AA39" s="34"/>
      <c r="AB39" s="35"/>
      <c r="AC39" s="33"/>
      <c r="AD39" s="34"/>
      <c r="AE39" s="34"/>
      <c r="AF39" s="35"/>
      <c r="AG39" s="33"/>
      <c r="AH39" s="34"/>
      <c r="AI39" s="34"/>
      <c r="AJ39" s="35"/>
      <c r="AK39" s="33"/>
      <c r="AL39" s="34"/>
      <c r="AM39" s="34"/>
      <c r="AN39" s="35"/>
      <c r="AO39" s="33"/>
      <c r="AP39" s="34"/>
      <c r="AQ39" s="34"/>
      <c r="AR39" s="35"/>
      <c r="AS39" s="33"/>
      <c r="AT39" s="34"/>
      <c r="AU39" s="34"/>
      <c r="AV39" s="35"/>
      <c r="AW39" s="33"/>
      <c r="AX39" s="34"/>
      <c r="AY39" s="34"/>
      <c r="AZ39" s="35"/>
      <c r="BA39" s="33"/>
      <c r="BB39" s="34"/>
      <c r="BC39" s="34"/>
      <c r="BD39" s="35"/>
      <c r="BF39" s="81" t="str">
        <f>IF(ISBLANK(B37),"","personas cualificadas")</f>
        <v>personas cualificadas</v>
      </c>
      <c r="BG39" s="81" t="str">
        <f>IF(ISBLANK(B37),"","personas cualificadas")</f>
        <v>personas cualificadas</v>
      </c>
      <c r="BH39" s="83"/>
      <c r="BI39" s="20"/>
      <c r="BL39"/>
      <c r="BM39"/>
      <c r="BN39"/>
      <c r="BO39"/>
      <c r="BP39"/>
      <c r="BQ39"/>
      <c r="BR39"/>
      <c r="BS39"/>
      <c r="BT39"/>
      <c r="BU39"/>
      <c r="BV39"/>
      <c r="BW39"/>
      <c r="BX39"/>
      <c r="BY39"/>
      <c r="CJ39"/>
      <c r="CK39"/>
    </row>
    <row r="40" spans="2:89" ht="14.45" customHeight="1" x14ac:dyDescent="0.25">
      <c r="B40" s="84"/>
      <c r="C40" s="84"/>
      <c r="D40" s="27"/>
      <c r="E40" s="69">
        <v>4</v>
      </c>
      <c r="F40" s="70"/>
      <c r="G40" s="70"/>
      <c r="H40" s="71"/>
      <c r="I40" s="69"/>
      <c r="J40" s="70"/>
      <c r="K40" s="70"/>
      <c r="L40" s="71"/>
      <c r="M40" s="69">
        <v>4</v>
      </c>
      <c r="N40" s="70"/>
      <c r="O40" s="70"/>
      <c r="P40" s="71"/>
      <c r="Q40" s="69"/>
      <c r="R40" s="70"/>
      <c r="S40" s="70"/>
      <c r="T40" s="71"/>
      <c r="U40" s="69"/>
      <c r="V40" s="70"/>
      <c r="W40" s="70"/>
      <c r="X40" s="71"/>
      <c r="Y40" s="69"/>
      <c r="Z40" s="70"/>
      <c r="AA40" s="70"/>
      <c r="AB40" s="71"/>
      <c r="AC40" s="69">
        <v>2</v>
      </c>
      <c r="AD40" s="70"/>
      <c r="AE40" s="70"/>
      <c r="AF40" s="71"/>
      <c r="AG40" s="69">
        <v>2</v>
      </c>
      <c r="AH40" s="70"/>
      <c r="AI40" s="70"/>
      <c r="AJ40" s="71"/>
      <c r="AK40" s="69">
        <v>4</v>
      </c>
      <c r="AL40" s="70"/>
      <c r="AM40" s="70"/>
      <c r="AN40" s="71"/>
      <c r="AO40" s="69">
        <v>1</v>
      </c>
      <c r="AP40" s="70"/>
      <c r="AQ40" s="70"/>
      <c r="AR40" s="71"/>
      <c r="AS40" s="69"/>
      <c r="AT40" s="70"/>
      <c r="AU40" s="70"/>
      <c r="AV40" s="71"/>
      <c r="AW40" s="69"/>
      <c r="AX40" s="70"/>
      <c r="AY40" s="70"/>
      <c r="AZ40" s="71"/>
      <c r="BA40" s="69"/>
      <c r="BB40" s="70"/>
      <c r="BC40" s="70"/>
      <c r="BD40" s="71"/>
      <c r="BE40" s="38"/>
      <c r="BF40" s="82"/>
      <c r="BG40" s="82"/>
      <c r="BH40" s="83"/>
      <c r="BI40" s="20"/>
      <c r="BL40"/>
      <c r="BM40"/>
      <c r="BN40"/>
      <c r="BO40"/>
      <c r="BP40"/>
      <c r="BQ40"/>
      <c r="BR40"/>
      <c r="BS40"/>
      <c r="BT40"/>
      <c r="BU40"/>
      <c r="BV40"/>
      <c r="BW40"/>
      <c r="BX40"/>
      <c r="BY40"/>
      <c r="CJ40"/>
      <c r="CK40"/>
    </row>
    <row r="41" spans="2:89" ht="6" customHeight="1" x14ac:dyDescent="0.25">
      <c r="B41" s="72" t="s">
        <v>57</v>
      </c>
      <c r="C41" s="73"/>
      <c r="D41" s="27"/>
      <c r="E41" s="28"/>
      <c r="F41" s="29"/>
      <c r="G41" s="29"/>
      <c r="H41" s="30"/>
      <c r="I41" s="28"/>
      <c r="J41" s="29"/>
      <c r="K41" s="29"/>
      <c r="L41" s="30"/>
      <c r="M41" s="28"/>
      <c r="N41" s="29"/>
      <c r="O41" s="29"/>
      <c r="P41" s="30"/>
      <c r="Q41" s="28"/>
      <c r="R41" s="29"/>
      <c r="S41" s="29"/>
      <c r="T41" s="30"/>
      <c r="U41" s="28"/>
      <c r="V41" s="29"/>
      <c r="W41" s="29"/>
      <c r="X41" s="30"/>
      <c r="Y41" s="28"/>
      <c r="Z41" s="29"/>
      <c r="AA41" s="29"/>
      <c r="AB41" s="30"/>
      <c r="AC41" s="28"/>
      <c r="AD41" s="29"/>
      <c r="AE41" s="29"/>
      <c r="AF41" s="30"/>
      <c r="AG41" s="28"/>
      <c r="AH41" s="29"/>
      <c r="AI41" s="29"/>
      <c r="AJ41" s="30"/>
      <c r="AK41" s="28"/>
      <c r="AL41" s="29"/>
      <c r="AM41" s="29"/>
      <c r="AN41" s="30"/>
      <c r="AO41" s="28"/>
      <c r="AP41" s="29"/>
      <c r="AQ41" s="29"/>
      <c r="AR41" s="30"/>
      <c r="AS41" s="28"/>
      <c r="AT41" s="29"/>
      <c r="AU41" s="29"/>
      <c r="AV41" s="30"/>
      <c r="AW41" s="28"/>
      <c r="AX41" s="29"/>
      <c r="AY41" s="29"/>
      <c r="AZ41" s="30"/>
      <c r="BA41" s="28"/>
      <c r="BB41" s="29"/>
      <c r="BC41" s="29"/>
      <c r="BD41" s="30"/>
      <c r="BF41" s="31"/>
      <c r="BG41" s="31"/>
      <c r="BH41" s="83">
        <f>IF(ISBLANK(B41),"",IF(BG42&gt;=BF42,3,IF(BG42=(BF42-1),2,1)))</f>
        <v>1</v>
      </c>
      <c r="BI41" s="20"/>
      <c r="BL41"/>
      <c r="BM41"/>
      <c r="BN41"/>
      <c r="BO41"/>
      <c r="BP41"/>
      <c r="BQ41"/>
      <c r="BR41"/>
      <c r="BS41"/>
      <c r="BT41"/>
      <c r="BU41"/>
      <c r="BV41"/>
      <c r="BW41"/>
      <c r="BX41"/>
      <c r="BY41"/>
      <c r="CJ41"/>
      <c r="CK41"/>
    </row>
    <row r="42" spans="2:89" ht="15" customHeight="1" x14ac:dyDescent="0.25">
      <c r="B42" s="74"/>
      <c r="C42" s="75"/>
      <c r="D42" s="27"/>
      <c r="E42" s="33"/>
      <c r="F42" s="34"/>
      <c r="G42" s="34"/>
      <c r="H42" s="35"/>
      <c r="I42" s="33"/>
      <c r="J42" s="34"/>
      <c r="K42" s="34"/>
      <c r="L42" s="35"/>
      <c r="M42" s="33"/>
      <c r="N42" s="34"/>
      <c r="O42" s="34"/>
      <c r="P42" s="35"/>
      <c r="Q42" s="33"/>
      <c r="R42" s="34"/>
      <c r="S42" s="34"/>
      <c r="T42" s="35"/>
      <c r="U42" s="33"/>
      <c r="V42" s="34"/>
      <c r="W42" s="34"/>
      <c r="X42" s="35"/>
      <c r="Y42" s="33"/>
      <c r="Z42" s="34"/>
      <c r="AA42" s="34"/>
      <c r="AB42" s="35"/>
      <c r="AC42" s="33"/>
      <c r="AD42" s="34"/>
      <c r="AE42" s="34"/>
      <c r="AF42" s="35"/>
      <c r="AG42" s="33"/>
      <c r="AH42" s="34"/>
      <c r="AI42" s="34"/>
      <c r="AJ42" s="35"/>
      <c r="AK42" s="33"/>
      <c r="AL42" s="34"/>
      <c r="AM42" s="34"/>
      <c r="AN42" s="35"/>
      <c r="AO42" s="33"/>
      <c r="AP42" s="34"/>
      <c r="AQ42" s="34"/>
      <c r="AR42" s="35"/>
      <c r="AS42" s="33"/>
      <c r="AT42" s="34"/>
      <c r="AU42" s="34"/>
      <c r="AV42" s="35"/>
      <c r="AW42" s="33"/>
      <c r="AX42" s="34"/>
      <c r="AY42" s="34"/>
      <c r="AZ42" s="35"/>
      <c r="BA42" s="33"/>
      <c r="BB42" s="34"/>
      <c r="BC42" s="34"/>
      <c r="BD42" s="35"/>
      <c r="BF42" s="36">
        <v>5</v>
      </c>
      <c r="BG42" s="37">
        <f>IF(ISBLANK(B41),"",COUNTIF(B44:BD44,"&gt;=3"))</f>
        <v>1</v>
      </c>
      <c r="BH42" s="83"/>
      <c r="BI42" s="20"/>
      <c r="BL42"/>
      <c r="BM42"/>
      <c r="BN42"/>
      <c r="BO42"/>
      <c r="BP42"/>
      <c r="BQ42"/>
      <c r="BR42"/>
      <c r="BS42"/>
      <c r="BT42"/>
      <c r="BU42"/>
      <c r="BV42"/>
      <c r="BW42"/>
      <c r="BX42"/>
      <c r="BY42"/>
      <c r="CJ42"/>
      <c r="CK42"/>
    </row>
    <row r="43" spans="2:89" ht="15" customHeight="1" x14ac:dyDescent="0.25">
      <c r="B43" s="74"/>
      <c r="C43" s="75"/>
      <c r="D43" s="27"/>
      <c r="E43" s="33"/>
      <c r="F43" s="34"/>
      <c r="G43" s="34"/>
      <c r="H43" s="35"/>
      <c r="I43" s="33"/>
      <c r="J43" s="34"/>
      <c r="K43" s="34"/>
      <c r="L43" s="35"/>
      <c r="M43" s="33"/>
      <c r="N43" s="34"/>
      <c r="O43" s="34"/>
      <c r="P43" s="35"/>
      <c r="Q43" s="33"/>
      <c r="R43" s="34"/>
      <c r="S43" s="34"/>
      <c r="T43" s="35"/>
      <c r="U43" s="33"/>
      <c r="V43" s="34"/>
      <c r="W43" s="34"/>
      <c r="X43" s="35"/>
      <c r="Y43" s="33"/>
      <c r="Z43" s="34"/>
      <c r="AA43" s="34"/>
      <c r="AB43" s="35"/>
      <c r="AC43" s="33"/>
      <c r="AD43" s="34"/>
      <c r="AE43" s="34"/>
      <c r="AF43" s="35"/>
      <c r="AG43" s="33"/>
      <c r="AH43" s="34"/>
      <c r="AI43" s="34"/>
      <c r="AJ43" s="35"/>
      <c r="AK43" s="33"/>
      <c r="AL43" s="34"/>
      <c r="AM43" s="34"/>
      <c r="AN43" s="35"/>
      <c r="AO43" s="33"/>
      <c r="AP43" s="34"/>
      <c r="AQ43" s="34"/>
      <c r="AR43" s="35"/>
      <c r="AS43" s="33"/>
      <c r="AT43" s="34"/>
      <c r="AU43" s="34"/>
      <c r="AV43" s="35"/>
      <c r="AW43" s="33"/>
      <c r="AX43" s="34"/>
      <c r="AY43" s="34"/>
      <c r="AZ43" s="35"/>
      <c r="BA43" s="33"/>
      <c r="BB43" s="34"/>
      <c r="BC43" s="34"/>
      <c r="BD43" s="35"/>
      <c r="BF43" s="81" t="str">
        <f>IF(ISBLANK(B41),"","personas cualificadas")</f>
        <v>personas cualificadas</v>
      </c>
      <c r="BG43" s="81" t="str">
        <f>IF(ISBLANK(B41),"","personas cualificadas")</f>
        <v>personas cualificadas</v>
      </c>
      <c r="BH43" s="83"/>
      <c r="BI43" s="20"/>
      <c r="BL43"/>
      <c r="BM43"/>
      <c r="BN43"/>
      <c r="BO43"/>
      <c r="BP43"/>
      <c r="BQ43"/>
      <c r="BR43"/>
      <c r="BS43"/>
      <c r="BT43"/>
      <c r="BU43"/>
      <c r="BV43"/>
      <c r="BW43"/>
      <c r="BX43"/>
      <c r="BY43"/>
      <c r="CJ43"/>
      <c r="CK43"/>
    </row>
    <row r="44" spans="2:89" ht="14.45" customHeight="1" x14ac:dyDescent="0.25">
      <c r="B44" s="76"/>
      <c r="C44" s="77"/>
      <c r="D44" s="27"/>
      <c r="E44" s="69"/>
      <c r="F44" s="70"/>
      <c r="G44" s="70"/>
      <c r="H44" s="71"/>
      <c r="I44" s="69"/>
      <c r="J44" s="70"/>
      <c r="K44" s="70"/>
      <c r="L44" s="71"/>
      <c r="M44" s="69"/>
      <c r="N44" s="70"/>
      <c r="O44" s="70"/>
      <c r="P44" s="71"/>
      <c r="Q44" s="69">
        <v>4</v>
      </c>
      <c r="R44" s="70"/>
      <c r="S44" s="70"/>
      <c r="T44" s="71"/>
      <c r="U44" s="69"/>
      <c r="V44" s="70"/>
      <c r="W44" s="70"/>
      <c r="X44" s="71"/>
      <c r="Y44" s="69">
        <v>2</v>
      </c>
      <c r="Z44" s="70"/>
      <c r="AA44" s="70"/>
      <c r="AB44" s="71"/>
      <c r="AC44" s="69"/>
      <c r="AD44" s="70"/>
      <c r="AE44" s="70"/>
      <c r="AF44" s="71"/>
      <c r="AG44" s="69"/>
      <c r="AH44" s="70"/>
      <c r="AI44" s="70"/>
      <c r="AJ44" s="71"/>
      <c r="AK44" s="69"/>
      <c r="AL44" s="70"/>
      <c r="AM44" s="70"/>
      <c r="AN44" s="71"/>
      <c r="AO44" s="69"/>
      <c r="AP44" s="70"/>
      <c r="AQ44" s="70"/>
      <c r="AR44" s="71"/>
      <c r="AS44" s="69"/>
      <c r="AT44" s="70"/>
      <c r="AU44" s="70"/>
      <c r="AV44" s="71"/>
      <c r="AW44" s="69"/>
      <c r="AX44" s="70"/>
      <c r="AY44" s="70"/>
      <c r="AZ44" s="71"/>
      <c r="BA44" s="69"/>
      <c r="BB44" s="70"/>
      <c r="BC44" s="70"/>
      <c r="BD44" s="71"/>
      <c r="BE44" s="38"/>
      <c r="BF44" s="82"/>
      <c r="BG44" s="82"/>
      <c r="BH44" s="83"/>
      <c r="BI44" s="20"/>
      <c r="BL44"/>
      <c r="BM44"/>
      <c r="BN44"/>
      <c r="BO44"/>
      <c r="BP44"/>
      <c r="BQ44"/>
      <c r="BR44"/>
      <c r="BS44"/>
      <c r="BT44"/>
      <c r="BU44"/>
      <c r="BV44"/>
      <c r="BW44"/>
      <c r="BX44"/>
      <c r="BY44"/>
      <c r="CJ44"/>
      <c r="CK44"/>
    </row>
    <row r="45" spans="2:89" ht="6" customHeight="1" x14ac:dyDescent="0.25">
      <c r="B45" s="72" t="s">
        <v>58</v>
      </c>
      <c r="C45" s="73"/>
      <c r="D45" s="27"/>
      <c r="E45" s="28"/>
      <c r="F45" s="29"/>
      <c r="G45" s="29"/>
      <c r="H45" s="30"/>
      <c r="I45" s="28"/>
      <c r="J45" s="29"/>
      <c r="K45" s="29"/>
      <c r="L45" s="30"/>
      <c r="M45" s="28"/>
      <c r="N45" s="29"/>
      <c r="O45" s="29"/>
      <c r="P45" s="30"/>
      <c r="Q45" s="28"/>
      <c r="R45" s="29"/>
      <c r="S45" s="29"/>
      <c r="T45" s="30"/>
      <c r="U45" s="28"/>
      <c r="V45" s="29"/>
      <c r="W45" s="29"/>
      <c r="X45" s="30"/>
      <c r="Y45" s="28"/>
      <c r="Z45" s="29"/>
      <c r="AA45" s="29"/>
      <c r="AB45" s="30"/>
      <c r="AC45" s="28"/>
      <c r="AD45" s="29"/>
      <c r="AE45" s="29"/>
      <c r="AF45" s="30"/>
      <c r="AG45" s="28"/>
      <c r="AH45" s="29"/>
      <c r="AI45" s="29"/>
      <c r="AJ45" s="30"/>
      <c r="AK45" s="28"/>
      <c r="AL45" s="29"/>
      <c r="AM45" s="29"/>
      <c r="AN45" s="30"/>
      <c r="AO45" s="28"/>
      <c r="AP45" s="29"/>
      <c r="AQ45" s="29"/>
      <c r="AR45" s="30"/>
      <c r="AS45" s="28"/>
      <c r="AT45" s="29"/>
      <c r="AU45" s="29"/>
      <c r="AV45" s="30"/>
      <c r="AW45" s="28"/>
      <c r="AX45" s="29"/>
      <c r="AY45" s="29"/>
      <c r="AZ45" s="30"/>
      <c r="BA45" s="28"/>
      <c r="BB45" s="29"/>
      <c r="BC45" s="29"/>
      <c r="BD45" s="30"/>
      <c r="BF45" s="31"/>
      <c r="BG45" s="31"/>
      <c r="BH45" s="83">
        <f>IF(ISBLANK(B45),"",IF(BG46&gt;=BF46,3,IF(BG46=(BF46-1),2,1)))</f>
        <v>1</v>
      </c>
      <c r="BI45" s="20"/>
      <c r="BL45"/>
      <c r="BM45"/>
      <c r="BN45"/>
      <c r="BO45"/>
      <c r="BP45"/>
      <c r="BQ45"/>
      <c r="BR45"/>
      <c r="BS45"/>
      <c r="BT45"/>
      <c r="BU45"/>
      <c r="BV45"/>
      <c r="BW45"/>
      <c r="BX45"/>
      <c r="BY45"/>
      <c r="CJ45"/>
      <c r="CK45"/>
    </row>
    <row r="46" spans="2:89" ht="15" customHeight="1" x14ac:dyDescent="0.25">
      <c r="B46" s="74"/>
      <c r="C46" s="75"/>
      <c r="D46" s="27"/>
      <c r="E46" s="33"/>
      <c r="F46" s="34"/>
      <c r="G46" s="34"/>
      <c r="H46" s="35"/>
      <c r="I46" s="33"/>
      <c r="J46" s="34"/>
      <c r="K46" s="34"/>
      <c r="L46" s="35"/>
      <c r="M46" s="33"/>
      <c r="N46" s="34"/>
      <c r="O46" s="34"/>
      <c r="P46" s="35"/>
      <c r="Q46" s="33"/>
      <c r="R46" s="34"/>
      <c r="S46" s="34"/>
      <c r="T46" s="35"/>
      <c r="U46" s="33"/>
      <c r="V46" s="34"/>
      <c r="W46" s="34"/>
      <c r="X46" s="35"/>
      <c r="Y46" s="33"/>
      <c r="Z46" s="34"/>
      <c r="AA46" s="34"/>
      <c r="AB46" s="35"/>
      <c r="AC46" s="33"/>
      <c r="AD46" s="34"/>
      <c r="AE46" s="34"/>
      <c r="AF46" s="35"/>
      <c r="AG46" s="33"/>
      <c r="AH46" s="34"/>
      <c r="AI46" s="34"/>
      <c r="AJ46" s="35"/>
      <c r="AK46" s="33"/>
      <c r="AL46" s="34"/>
      <c r="AM46" s="34"/>
      <c r="AN46" s="35"/>
      <c r="AO46" s="33"/>
      <c r="AP46" s="34"/>
      <c r="AQ46" s="34"/>
      <c r="AR46" s="35"/>
      <c r="AS46" s="33"/>
      <c r="AT46" s="34"/>
      <c r="AU46" s="34"/>
      <c r="AV46" s="35"/>
      <c r="AW46" s="33"/>
      <c r="AX46" s="34"/>
      <c r="AY46" s="34"/>
      <c r="AZ46" s="35"/>
      <c r="BA46" s="33"/>
      <c r="BB46" s="34"/>
      <c r="BC46" s="34"/>
      <c r="BD46" s="35"/>
      <c r="BF46" s="36">
        <v>5</v>
      </c>
      <c r="BG46" s="37">
        <f>IF(ISBLANK(B45),"",COUNTIF(B48:BD48,"&gt;=3"))</f>
        <v>2</v>
      </c>
      <c r="BH46" s="83"/>
      <c r="BI46" s="20"/>
      <c r="BL46"/>
      <c r="BM46"/>
      <c r="BN46"/>
      <c r="BO46"/>
      <c r="BP46"/>
      <c r="BQ46"/>
      <c r="BR46"/>
      <c r="BS46"/>
      <c r="BT46"/>
      <c r="BU46"/>
      <c r="BV46"/>
      <c r="BW46"/>
      <c r="BX46"/>
      <c r="BY46"/>
      <c r="CJ46"/>
      <c r="CK46"/>
    </row>
    <row r="47" spans="2:89" ht="15" customHeight="1" x14ac:dyDescent="0.25">
      <c r="B47" s="74"/>
      <c r="C47" s="75"/>
      <c r="D47" s="27"/>
      <c r="E47" s="33"/>
      <c r="F47" s="34"/>
      <c r="G47" s="34"/>
      <c r="H47" s="35"/>
      <c r="I47" s="33"/>
      <c r="J47" s="34"/>
      <c r="K47" s="34"/>
      <c r="L47" s="35"/>
      <c r="M47" s="33"/>
      <c r="N47" s="34"/>
      <c r="O47" s="34"/>
      <c r="P47" s="35"/>
      <c r="Q47" s="33"/>
      <c r="R47" s="34"/>
      <c r="S47" s="34"/>
      <c r="T47" s="35"/>
      <c r="U47" s="33"/>
      <c r="V47" s="34"/>
      <c r="W47" s="34"/>
      <c r="X47" s="35"/>
      <c r="Y47" s="33"/>
      <c r="Z47" s="34"/>
      <c r="AA47" s="34"/>
      <c r="AB47" s="35"/>
      <c r="AC47" s="33"/>
      <c r="AD47" s="34"/>
      <c r="AE47" s="34"/>
      <c r="AF47" s="35"/>
      <c r="AG47" s="33"/>
      <c r="AH47" s="34"/>
      <c r="AI47" s="34"/>
      <c r="AJ47" s="35"/>
      <c r="AK47" s="33"/>
      <c r="AL47" s="34"/>
      <c r="AM47" s="34"/>
      <c r="AN47" s="35"/>
      <c r="AO47" s="33"/>
      <c r="AP47" s="34"/>
      <c r="AQ47" s="34"/>
      <c r="AR47" s="35"/>
      <c r="AS47" s="33"/>
      <c r="AT47" s="34"/>
      <c r="AU47" s="34"/>
      <c r="AV47" s="35"/>
      <c r="AW47" s="33"/>
      <c r="AX47" s="34"/>
      <c r="AY47" s="34"/>
      <c r="AZ47" s="35"/>
      <c r="BA47" s="33"/>
      <c r="BB47" s="34"/>
      <c r="BC47" s="34"/>
      <c r="BD47" s="35"/>
      <c r="BF47" s="81" t="str">
        <f>IF(ISBLANK(B45),"","personas cualificadas")</f>
        <v>personas cualificadas</v>
      </c>
      <c r="BG47" s="81" t="str">
        <f>IF(ISBLANK(B45),"","personas cualificadas")</f>
        <v>personas cualificadas</v>
      </c>
      <c r="BH47" s="83"/>
      <c r="BI47" s="20"/>
      <c r="BL47"/>
      <c r="BM47"/>
      <c r="BN47"/>
      <c r="BO47"/>
      <c r="BP47"/>
      <c r="BQ47"/>
      <c r="BR47"/>
      <c r="BS47"/>
      <c r="BT47"/>
      <c r="BU47"/>
      <c r="BV47"/>
      <c r="BW47"/>
      <c r="BX47"/>
      <c r="BY47"/>
      <c r="CJ47"/>
      <c r="CK47"/>
    </row>
    <row r="48" spans="2:89" ht="14.45" customHeight="1" x14ac:dyDescent="0.25">
      <c r="B48" s="76"/>
      <c r="C48" s="77"/>
      <c r="D48" s="27"/>
      <c r="E48" s="69"/>
      <c r="F48" s="70"/>
      <c r="G48" s="70"/>
      <c r="H48" s="71"/>
      <c r="I48" s="69"/>
      <c r="J48" s="70"/>
      <c r="K48" s="70"/>
      <c r="L48" s="71"/>
      <c r="M48" s="69"/>
      <c r="N48" s="70"/>
      <c r="O48" s="70"/>
      <c r="P48" s="71"/>
      <c r="Q48" s="69">
        <v>4</v>
      </c>
      <c r="R48" s="70"/>
      <c r="S48" s="70"/>
      <c r="T48" s="71"/>
      <c r="U48" s="69"/>
      <c r="V48" s="70"/>
      <c r="W48" s="70"/>
      <c r="X48" s="71"/>
      <c r="Y48" s="69">
        <v>3</v>
      </c>
      <c r="Z48" s="70"/>
      <c r="AA48" s="70"/>
      <c r="AB48" s="71"/>
      <c r="AC48" s="69"/>
      <c r="AD48" s="70"/>
      <c r="AE48" s="70"/>
      <c r="AF48" s="71"/>
      <c r="AG48" s="69"/>
      <c r="AH48" s="70"/>
      <c r="AI48" s="70"/>
      <c r="AJ48" s="71"/>
      <c r="AK48" s="69"/>
      <c r="AL48" s="70"/>
      <c r="AM48" s="70"/>
      <c r="AN48" s="71"/>
      <c r="AO48" s="69"/>
      <c r="AP48" s="70"/>
      <c r="AQ48" s="70"/>
      <c r="AR48" s="71"/>
      <c r="AS48" s="69"/>
      <c r="AT48" s="70"/>
      <c r="AU48" s="70"/>
      <c r="AV48" s="71"/>
      <c r="AW48" s="69"/>
      <c r="AX48" s="70"/>
      <c r="AY48" s="70"/>
      <c r="AZ48" s="71"/>
      <c r="BA48" s="69"/>
      <c r="BB48" s="70"/>
      <c r="BC48" s="70"/>
      <c r="BD48" s="71"/>
      <c r="BE48" s="38"/>
      <c r="BF48" s="82"/>
      <c r="BG48" s="82"/>
      <c r="BH48" s="83"/>
      <c r="BI48" s="20"/>
      <c r="BL48"/>
      <c r="BM48"/>
      <c r="BN48"/>
      <c r="BO48"/>
      <c r="BP48"/>
      <c r="BQ48"/>
      <c r="BR48"/>
      <c r="BS48"/>
      <c r="BT48"/>
      <c r="BU48"/>
      <c r="BV48"/>
      <c r="BW48"/>
      <c r="BX48"/>
      <c r="BY48"/>
      <c r="CJ48"/>
      <c r="CK48"/>
    </row>
    <row r="49" spans="2:89" ht="6" customHeight="1" x14ac:dyDescent="0.25">
      <c r="B49" s="72" t="s">
        <v>59</v>
      </c>
      <c r="C49" s="73"/>
      <c r="D49" s="27"/>
      <c r="E49" s="28"/>
      <c r="F49" s="29"/>
      <c r="G49" s="29"/>
      <c r="H49" s="30"/>
      <c r="I49" s="28"/>
      <c r="J49" s="29"/>
      <c r="K49" s="29"/>
      <c r="L49" s="30"/>
      <c r="M49" s="28"/>
      <c r="N49" s="29"/>
      <c r="O49" s="29"/>
      <c r="P49" s="30"/>
      <c r="Q49" s="28"/>
      <c r="R49" s="29"/>
      <c r="S49" s="29"/>
      <c r="T49" s="30"/>
      <c r="U49" s="28"/>
      <c r="V49" s="29"/>
      <c r="W49" s="29"/>
      <c r="X49" s="30"/>
      <c r="Y49" s="28"/>
      <c r="Z49" s="29"/>
      <c r="AA49" s="29"/>
      <c r="AB49" s="30"/>
      <c r="AC49" s="28"/>
      <c r="AD49" s="29"/>
      <c r="AE49" s="29"/>
      <c r="AF49" s="30"/>
      <c r="AG49" s="28"/>
      <c r="AH49" s="29"/>
      <c r="AI49" s="29"/>
      <c r="AJ49" s="30"/>
      <c r="AK49" s="28"/>
      <c r="AL49" s="29"/>
      <c r="AM49" s="29"/>
      <c r="AN49" s="30"/>
      <c r="AO49" s="28"/>
      <c r="AP49" s="29"/>
      <c r="AQ49" s="29"/>
      <c r="AR49" s="30"/>
      <c r="AS49" s="28"/>
      <c r="AT49" s="29"/>
      <c r="AU49" s="29"/>
      <c r="AV49" s="30"/>
      <c r="AW49" s="28"/>
      <c r="AX49" s="29"/>
      <c r="AY49" s="29"/>
      <c r="AZ49" s="30"/>
      <c r="BA49" s="28"/>
      <c r="BB49" s="29"/>
      <c r="BC49" s="29"/>
      <c r="BD49" s="30"/>
      <c r="BF49" s="31"/>
      <c r="BG49" s="31"/>
      <c r="BH49" s="83">
        <f>IF(ISBLANK(B49),"",IF(BG50&gt;=BF50,3,IF(BG50=(BF50-1),2,1)))</f>
        <v>1</v>
      </c>
      <c r="BI49" s="20"/>
      <c r="BL49"/>
      <c r="BM49"/>
      <c r="BN49"/>
      <c r="BO49"/>
      <c r="BP49"/>
      <c r="BQ49"/>
      <c r="BR49"/>
      <c r="BS49"/>
      <c r="BT49"/>
      <c r="BU49"/>
      <c r="BV49"/>
      <c r="BW49"/>
      <c r="BX49"/>
      <c r="BY49"/>
      <c r="CJ49"/>
      <c r="CK49"/>
    </row>
    <row r="50" spans="2:89" ht="15" customHeight="1" x14ac:dyDescent="0.25">
      <c r="B50" s="74"/>
      <c r="C50" s="75"/>
      <c r="D50" s="27"/>
      <c r="E50" s="33"/>
      <c r="F50" s="34"/>
      <c r="G50" s="34"/>
      <c r="H50" s="35"/>
      <c r="I50" s="33"/>
      <c r="J50" s="34"/>
      <c r="K50" s="34"/>
      <c r="L50" s="35"/>
      <c r="M50" s="33"/>
      <c r="N50" s="34"/>
      <c r="O50" s="34"/>
      <c r="P50" s="35"/>
      <c r="Q50" s="33"/>
      <c r="R50" s="34"/>
      <c r="S50" s="34"/>
      <c r="T50" s="35"/>
      <c r="U50" s="33"/>
      <c r="V50" s="34"/>
      <c r="W50" s="34"/>
      <c r="X50" s="35"/>
      <c r="Y50" s="33"/>
      <c r="Z50" s="34"/>
      <c r="AA50" s="34"/>
      <c r="AB50" s="35"/>
      <c r="AC50" s="33"/>
      <c r="AD50" s="34"/>
      <c r="AE50" s="34"/>
      <c r="AF50" s="35"/>
      <c r="AG50" s="33"/>
      <c r="AH50" s="34"/>
      <c r="AI50" s="34"/>
      <c r="AJ50" s="35"/>
      <c r="AK50" s="33"/>
      <c r="AL50" s="34"/>
      <c r="AM50" s="34"/>
      <c r="AN50" s="35"/>
      <c r="AO50" s="33"/>
      <c r="AP50" s="34"/>
      <c r="AQ50" s="34"/>
      <c r="AR50" s="35"/>
      <c r="AS50" s="33"/>
      <c r="AT50" s="34"/>
      <c r="AU50" s="34"/>
      <c r="AV50" s="35"/>
      <c r="AW50" s="33"/>
      <c r="AX50" s="34"/>
      <c r="AY50" s="34"/>
      <c r="AZ50" s="35"/>
      <c r="BA50" s="33"/>
      <c r="BB50" s="34"/>
      <c r="BC50" s="34"/>
      <c r="BD50" s="35"/>
      <c r="BF50" s="36">
        <v>2</v>
      </c>
      <c r="BG50" s="37">
        <f>IF(ISBLANK(B49),"",COUNTIF(B52:BD52,"&gt;=3"))</f>
        <v>0</v>
      </c>
      <c r="BH50" s="83"/>
      <c r="BI50" s="20"/>
      <c r="BL50"/>
      <c r="BM50"/>
      <c r="BN50"/>
      <c r="BO50"/>
      <c r="BP50"/>
      <c r="BQ50"/>
      <c r="BR50"/>
      <c r="BS50"/>
      <c r="BT50"/>
      <c r="BU50"/>
      <c r="BV50"/>
      <c r="BW50"/>
      <c r="BX50"/>
      <c r="BY50"/>
      <c r="CJ50"/>
      <c r="CK50"/>
    </row>
    <row r="51" spans="2:89" ht="15" customHeight="1" x14ac:dyDescent="0.25">
      <c r="B51" s="74"/>
      <c r="C51" s="75"/>
      <c r="D51" s="27"/>
      <c r="E51" s="33"/>
      <c r="F51" s="34"/>
      <c r="G51" s="34"/>
      <c r="H51" s="35"/>
      <c r="I51" s="33"/>
      <c r="J51" s="34"/>
      <c r="K51" s="34"/>
      <c r="L51" s="35"/>
      <c r="M51" s="33"/>
      <c r="N51" s="34"/>
      <c r="O51" s="34"/>
      <c r="P51" s="35"/>
      <c r="Q51" s="33"/>
      <c r="R51" s="34"/>
      <c r="S51" s="34"/>
      <c r="T51" s="35"/>
      <c r="U51" s="33"/>
      <c r="V51" s="34"/>
      <c r="W51" s="34"/>
      <c r="X51" s="35"/>
      <c r="Y51" s="33"/>
      <c r="Z51" s="34"/>
      <c r="AA51" s="34"/>
      <c r="AB51" s="35"/>
      <c r="AC51" s="33"/>
      <c r="AD51" s="34"/>
      <c r="AE51" s="34"/>
      <c r="AF51" s="35"/>
      <c r="AG51" s="33"/>
      <c r="AH51" s="34"/>
      <c r="AI51" s="34"/>
      <c r="AJ51" s="35"/>
      <c r="AK51" s="33"/>
      <c r="AL51" s="34"/>
      <c r="AM51" s="34"/>
      <c r="AN51" s="35"/>
      <c r="AO51" s="33"/>
      <c r="AP51" s="34"/>
      <c r="AQ51" s="34"/>
      <c r="AR51" s="35"/>
      <c r="AS51" s="33"/>
      <c r="AT51" s="34"/>
      <c r="AU51" s="34"/>
      <c r="AV51" s="35"/>
      <c r="AW51" s="33"/>
      <c r="AX51" s="34"/>
      <c r="AY51" s="34"/>
      <c r="AZ51" s="35"/>
      <c r="BA51" s="33"/>
      <c r="BB51" s="34"/>
      <c r="BC51" s="34"/>
      <c r="BD51" s="35"/>
      <c r="BF51" s="81" t="str">
        <f>IF(ISBLANK(B49),"","personas cualificadas")</f>
        <v>personas cualificadas</v>
      </c>
      <c r="BG51" s="81" t="str">
        <f>IF(ISBLANK(B49),"","personas cualificadas")</f>
        <v>personas cualificadas</v>
      </c>
      <c r="BH51" s="83"/>
      <c r="BI51" s="20"/>
      <c r="BL51"/>
      <c r="BM51"/>
      <c r="BN51"/>
      <c r="BO51"/>
      <c r="BP51"/>
      <c r="BQ51"/>
      <c r="BR51"/>
      <c r="BS51"/>
      <c r="BT51"/>
      <c r="BU51"/>
      <c r="BV51"/>
      <c r="BW51"/>
      <c r="BX51"/>
      <c r="BY51"/>
      <c r="CJ51"/>
      <c r="CK51"/>
    </row>
    <row r="52" spans="2:89" s="42" customFormat="1" ht="16.5" customHeight="1" x14ac:dyDescent="0.2">
      <c r="B52" s="76"/>
      <c r="C52" s="77"/>
      <c r="D52" s="39"/>
      <c r="E52" s="69"/>
      <c r="F52" s="70"/>
      <c r="G52" s="70"/>
      <c r="H52" s="71"/>
      <c r="I52" s="69"/>
      <c r="J52" s="70"/>
      <c r="K52" s="70"/>
      <c r="L52" s="71"/>
      <c r="M52" s="69"/>
      <c r="N52" s="70"/>
      <c r="O52" s="70"/>
      <c r="P52" s="71"/>
      <c r="Q52" s="69"/>
      <c r="R52" s="70"/>
      <c r="S52" s="70"/>
      <c r="T52" s="71"/>
      <c r="U52" s="69"/>
      <c r="V52" s="70"/>
      <c r="W52" s="70"/>
      <c r="X52" s="71"/>
      <c r="Y52" s="69"/>
      <c r="Z52" s="70"/>
      <c r="AA52" s="70"/>
      <c r="AB52" s="71"/>
      <c r="AC52" s="69">
        <v>1</v>
      </c>
      <c r="AD52" s="70"/>
      <c r="AE52" s="70"/>
      <c r="AF52" s="71"/>
      <c r="AG52" s="69"/>
      <c r="AH52" s="70"/>
      <c r="AI52" s="70"/>
      <c r="AJ52" s="71"/>
      <c r="AK52" s="69"/>
      <c r="AL52" s="70"/>
      <c r="AM52" s="70"/>
      <c r="AN52" s="71"/>
      <c r="AO52" s="69">
        <v>1</v>
      </c>
      <c r="AP52" s="70"/>
      <c r="AQ52" s="70"/>
      <c r="AR52" s="71"/>
      <c r="AS52" s="69"/>
      <c r="AT52" s="70"/>
      <c r="AU52" s="70"/>
      <c r="AV52" s="71"/>
      <c r="AW52" s="69"/>
      <c r="AX52" s="70"/>
      <c r="AY52" s="70"/>
      <c r="AZ52" s="71"/>
      <c r="BA52" s="69"/>
      <c r="BB52" s="70"/>
      <c r="BC52" s="70"/>
      <c r="BD52" s="71"/>
      <c r="BE52" s="40"/>
      <c r="BF52" s="82"/>
      <c r="BG52" s="82"/>
      <c r="BH52" s="83"/>
      <c r="BI52" s="41"/>
    </row>
    <row r="53" spans="2:89" ht="6" customHeight="1" x14ac:dyDescent="0.25">
      <c r="B53" s="72" t="s">
        <v>60</v>
      </c>
      <c r="C53" s="73"/>
      <c r="D53" s="27"/>
      <c r="E53" s="28"/>
      <c r="F53" s="29"/>
      <c r="G53" s="29"/>
      <c r="H53" s="30"/>
      <c r="I53" s="28"/>
      <c r="J53" s="29"/>
      <c r="K53" s="29"/>
      <c r="L53" s="30"/>
      <c r="M53" s="28"/>
      <c r="N53" s="29"/>
      <c r="O53" s="29"/>
      <c r="P53" s="30"/>
      <c r="Q53" s="28"/>
      <c r="R53" s="29"/>
      <c r="S53" s="29"/>
      <c r="T53" s="30"/>
      <c r="U53" s="28"/>
      <c r="V53" s="29"/>
      <c r="W53" s="29"/>
      <c r="X53" s="30"/>
      <c r="Y53" s="28"/>
      <c r="Z53" s="29"/>
      <c r="AA53" s="29"/>
      <c r="AB53" s="30"/>
      <c r="AC53" s="28"/>
      <c r="AD53" s="29"/>
      <c r="AE53" s="29"/>
      <c r="AF53" s="30"/>
      <c r="AG53" s="28"/>
      <c r="AH53" s="29"/>
      <c r="AI53" s="29"/>
      <c r="AJ53" s="30"/>
      <c r="AK53" s="28"/>
      <c r="AL53" s="29"/>
      <c r="AM53" s="29"/>
      <c r="AN53" s="30"/>
      <c r="AO53" s="28"/>
      <c r="AP53" s="29"/>
      <c r="AQ53" s="29"/>
      <c r="AR53" s="30"/>
      <c r="AS53" s="28"/>
      <c r="AT53" s="29"/>
      <c r="AU53" s="29"/>
      <c r="AV53" s="30"/>
      <c r="AW53" s="28"/>
      <c r="AX53" s="29"/>
      <c r="AY53" s="29"/>
      <c r="AZ53" s="30"/>
      <c r="BA53" s="28"/>
      <c r="BB53" s="29"/>
      <c r="BC53" s="29"/>
      <c r="BD53" s="30"/>
      <c r="BF53" s="31"/>
      <c r="BG53" s="31"/>
      <c r="BH53" s="78">
        <f>IF(ISBLANK(B53),"",IF(BG54&gt;=BF54,3,IF(BG54=(BF54-1),2,1)))</f>
        <v>1</v>
      </c>
      <c r="BI53" s="20"/>
      <c r="BL53"/>
      <c r="BM53"/>
      <c r="BN53"/>
      <c r="BO53"/>
      <c r="BP53"/>
      <c r="BQ53"/>
      <c r="BR53"/>
      <c r="BS53"/>
      <c r="BT53"/>
      <c r="BU53"/>
      <c r="BV53"/>
      <c r="BW53"/>
      <c r="BX53"/>
      <c r="BY53"/>
      <c r="CJ53"/>
      <c r="CK53"/>
    </row>
    <row r="54" spans="2:89" ht="15" customHeight="1" x14ac:dyDescent="0.25">
      <c r="B54" s="74"/>
      <c r="C54" s="75"/>
      <c r="D54" s="27"/>
      <c r="E54" s="33"/>
      <c r="F54" s="34"/>
      <c r="G54" s="34"/>
      <c r="H54" s="35"/>
      <c r="I54" s="33"/>
      <c r="J54" s="34"/>
      <c r="K54" s="34"/>
      <c r="L54" s="35"/>
      <c r="M54" s="33"/>
      <c r="N54" s="34"/>
      <c r="O54" s="34"/>
      <c r="P54" s="35"/>
      <c r="Q54" s="33"/>
      <c r="R54" s="34"/>
      <c r="S54" s="34"/>
      <c r="T54" s="35"/>
      <c r="U54" s="33"/>
      <c r="V54" s="34"/>
      <c r="W54" s="34"/>
      <c r="X54" s="35"/>
      <c r="Y54" s="33"/>
      <c r="Z54" s="34"/>
      <c r="AA54" s="34"/>
      <c r="AB54" s="35"/>
      <c r="AC54" s="33"/>
      <c r="AD54" s="34"/>
      <c r="AE54" s="34"/>
      <c r="AF54" s="35"/>
      <c r="AG54" s="33"/>
      <c r="AH54" s="34"/>
      <c r="AI54" s="34"/>
      <c r="AJ54" s="35"/>
      <c r="AK54" s="33"/>
      <c r="AL54" s="34"/>
      <c r="AM54" s="34"/>
      <c r="AN54" s="35"/>
      <c r="AO54" s="33"/>
      <c r="AP54" s="34"/>
      <c r="AQ54" s="34"/>
      <c r="AR54" s="35"/>
      <c r="AS54" s="33"/>
      <c r="AT54" s="34"/>
      <c r="AU54" s="34"/>
      <c r="AV54" s="35"/>
      <c r="AW54" s="33"/>
      <c r="AX54" s="34"/>
      <c r="AY54" s="34"/>
      <c r="AZ54" s="35"/>
      <c r="BA54" s="33"/>
      <c r="BB54" s="34"/>
      <c r="BC54" s="34"/>
      <c r="BD54" s="35"/>
      <c r="BF54" s="36">
        <v>3</v>
      </c>
      <c r="BG54" s="37">
        <f>IF(ISBLANK(B53),"",COUNTIF(B56:BD56,"&gt;=3"))</f>
        <v>0</v>
      </c>
      <c r="BH54" s="79"/>
      <c r="BI54" s="20"/>
      <c r="BL54"/>
      <c r="BM54"/>
      <c r="BN54"/>
      <c r="BO54"/>
      <c r="BP54"/>
      <c r="BQ54"/>
      <c r="BR54"/>
      <c r="BS54"/>
      <c r="BT54"/>
      <c r="BU54"/>
      <c r="BV54"/>
      <c r="BW54"/>
      <c r="BX54"/>
      <c r="BY54"/>
      <c r="CJ54"/>
      <c r="CK54"/>
    </row>
    <row r="55" spans="2:89" ht="15" customHeight="1" x14ac:dyDescent="0.25">
      <c r="B55" s="74"/>
      <c r="C55" s="75"/>
      <c r="D55" s="27"/>
      <c r="E55" s="33"/>
      <c r="F55" s="34"/>
      <c r="G55" s="34"/>
      <c r="H55" s="35"/>
      <c r="I55" s="33"/>
      <c r="J55" s="34"/>
      <c r="K55" s="34"/>
      <c r="L55" s="35"/>
      <c r="M55" s="33"/>
      <c r="N55" s="34"/>
      <c r="O55" s="34"/>
      <c r="P55" s="35"/>
      <c r="Q55" s="33"/>
      <c r="R55" s="34"/>
      <c r="S55" s="34"/>
      <c r="T55" s="35"/>
      <c r="U55" s="33"/>
      <c r="V55" s="34"/>
      <c r="W55" s="34"/>
      <c r="X55" s="35"/>
      <c r="Y55" s="33"/>
      <c r="Z55" s="34"/>
      <c r="AA55" s="34"/>
      <c r="AB55" s="35"/>
      <c r="AC55" s="33"/>
      <c r="AD55" s="34"/>
      <c r="AE55" s="34"/>
      <c r="AF55" s="35"/>
      <c r="AG55" s="33"/>
      <c r="AH55" s="34"/>
      <c r="AI55" s="34"/>
      <c r="AJ55" s="35"/>
      <c r="AK55" s="33"/>
      <c r="AL55" s="34"/>
      <c r="AM55" s="34"/>
      <c r="AN55" s="35"/>
      <c r="AO55" s="33"/>
      <c r="AP55" s="34"/>
      <c r="AQ55" s="34"/>
      <c r="AR55" s="35"/>
      <c r="AS55" s="33"/>
      <c r="AT55" s="34"/>
      <c r="AU55" s="34"/>
      <c r="AV55" s="35"/>
      <c r="AW55" s="33"/>
      <c r="AX55" s="34"/>
      <c r="AY55" s="34"/>
      <c r="AZ55" s="35"/>
      <c r="BA55" s="33"/>
      <c r="BB55" s="34"/>
      <c r="BC55" s="34"/>
      <c r="BD55" s="35"/>
      <c r="BF55" s="81" t="str">
        <f>IF(ISBLANK(B53),"","personas cualificadas")</f>
        <v>personas cualificadas</v>
      </c>
      <c r="BG55" s="81" t="str">
        <f>IF(ISBLANK(B53),"","personas cualificadas")</f>
        <v>personas cualificadas</v>
      </c>
      <c r="BH55" s="79"/>
      <c r="BI55" s="20"/>
      <c r="BL55"/>
      <c r="BM55"/>
      <c r="BN55"/>
      <c r="BO55"/>
      <c r="BP55"/>
      <c r="BQ55"/>
      <c r="BR55"/>
      <c r="BS55"/>
      <c r="BT55"/>
      <c r="BU55"/>
      <c r="BV55"/>
      <c r="BW55"/>
      <c r="BX55"/>
      <c r="BY55"/>
      <c r="CJ55"/>
      <c r="CK55"/>
    </row>
    <row r="56" spans="2:89" s="42" customFormat="1" x14ac:dyDescent="0.2">
      <c r="B56" s="76"/>
      <c r="C56" s="77"/>
      <c r="D56" s="39"/>
      <c r="E56" s="69"/>
      <c r="F56" s="70"/>
      <c r="G56" s="70"/>
      <c r="H56" s="71"/>
      <c r="I56" s="69"/>
      <c r="J56" s="70"/>
      <c r="K56" s="70"/>
      <c r="L56" s="71"/>
      <c r="M56" s="69"/>
      <c r="N56" s="70"/>
      <c r="O56" s="70"/>
      <c r="P56" s="71"/>
      <c r="Q56" s="69"/>
      <c r="R56" s="70"/>
      <c r="S56" s="70"/>
      <c r="T56" s="71"/>
      <c r="U56" s="69"/>
      <c r="V56" s="70"/>
      <c r="W56" s="70"/>
      <c r="X56" s="71"/>
      <c r="Y56" s="69"/>
      <c r="Z56" s="70"/>
      <c r="AA56" s="70"/>
      <c r="AB56" s="71"/>
      <c r="AC56" s="69">
        <v>1</v>
      </c>
      <c r="AD56" s="70"/>
      <c r="AE56" s="70"/>
      <c r="AF56" s="71"/>
      <c r="AG56" s="69"/>
      <c r="AH56" s="70"/>
      <c r="AI56" s="70"/>
      <c r="AJ56" s="71"/>
      <c r="AK56" s="69"/>
      <c r="AL56" s="70"/>
      <c r="AM56" s="70"/>
      <c r="AN56" s="71"/>
      <c r="AO56" s="69">
        <v>1</v>
      </c>
      <c r="AP56" s="70"/>
      <c r="AQ56" s="70"/>
      <c r="AR56" s="71"/>
      <c r="AS56" s="69"/>
      <c r="AT56" s="70"/>
      <c r="AU56" s="70"/>
      <c r="AV56" s="71"/>
      <c r="AW56" s="69"/>
      <c r="AX56" s="70"/>
      <c r="AY56" s="70"/>
      <c r="AZ56" s="71"/>
      <c r="BA56" s="69"/>
      <c r="BB56" s="70"/>
      <c r="BC56" s="70"/>
      <c r="BD56" s="71"/>
      <c r="BE56" s="40"/>
      <c r="BF56" s="82"/>
      <c r="BG56" s="82"/>
      <c r="BH56" s="80"/>
      <c r="BI56" s="41"/>
    </row>
    <row r="57" spans="2:89" ht="6" customHeight="1" x14ac:dyDescent="0.25">
      <c r="B57" s="72" t="s">
        <v>61</v>
      </c>
      <c r="C57" s="73"/>
      <c r="D57" s="27"/>
      <c r="E57" s="28"/>
      <c r="F57" s="29"/>
      <c r="G57" s="29"/>
      <c r="H57" s="30"/>
      <c r="I57" s="28"/>
      <c r="J57" s="29"/>
      <c r="K57" s="29"/>
      <c r="L57" s="30"/>
      <c r="M57" s="28"/>
      <c r="N57" s="29"/>
      <c r="O57" s="29"/>
      <c r="P57" s="30"/>
      <c r="Q57" s="28"/>
      <c r="R57" s="29"/>
      <c r="S57" s="29"/>
      <c r="T57" s="30"/>
      <c r="U57" s="28"/>
      <c r="V57" s="29"/>
      <c r="W57" s="29"/>
      <c r="X57" s="30"/>
      <c r="Y57" s="28"/>
      <c r="Z57" s="29"/>
      <c r="AA57" s="29"/>
      <c r="AB57" s="30"/>
      <c r="AC57" s="28"/>
      <c r="AD57" s="29"/>
      <c r="AE57" s="29"/>
      <c r="AF57" s="30"/>
      <c r="AG57" s="28"/>
      <c r="AH57" s="29"/>
      <c r="AI57" s="29"/>
      <c r="AJ57" s="30"/>
      <c r="AK57" s="28"/>
      <c r="AL57" s="29"/>
      <c r="AM57" s="29"/>
      <c r="AN57" s="30"/>
      <c r="AO57" s="28"/>
      <c r="AP57" s="29"/>
      <c r="AQ57" s="29"/>
      <c r="AR57" s="30"/>
      <c r="AS57" s="28"/>
      <c r="AT57" s="29"/>
      <c r="AU57" s="29"/>
      <c r="AV57" s="30"/>
      <c r="AW57" s="28"/>
      <c r="AX57" s="29"/>
      <c r="AY57" s="29"/>
      <c r="AZ57" s="30"/>
      <c r="BA57" s="28"/>
      <c r="BB57" s="29"/>
      <c r="BC57" s="29"/>
      <c r="BD57" s="30"/>
      <c r="BF57" s="31"/>
      <c r="BG57" s="31"/>
      <c r="BH57" s="78">
        <f>IF(ISBLANK(B57),"",IF(BG58&gt;=BF58,3,IF(BG58=(BF58-1),2,1)))</f>
        <v>1</v>
      </c>
      <c r="BI57" s="20"/>
      <c r="BL57"/>
      <c r="BM57"/>
      <c r="BN57"/>
      <c r="BO57"/>
      <c r="BP57"/>
      <c r="BQ57"/>
      <c r="BR57"/>
      <c r="BS57"/>
      <c r="BT57"/>
      <c r="BU57"/>
      <c r="BV57"/>
      <c r="BW57"/>
      <c r="BX57"/>
      <c r="BY57"/>
      <c r="CJ57"/>
      <c r="CK57"/>
    </row>
    <row r="58" spans="2:89" ht="15" customHeight="1" x14ac:dyDescent="0.25">
      <c r="B58" s="74"/>
      <c r="C58" s="75"/>
      <c r="D58" s="27"/>
      <c r="E58" s="33"/>
      <c r="F58" s="34"/>
      <c r="G58" s="34"/>
      <c r="H58" s="35"/>
      <c r="I58" s="33"/>
      <c r="J58" s="34"/>
      <c r="K58" s="34"/>
      <c r="L58" s="35"/>
      <c r="M58" s="33"/>
      <c r="N58" s="34"/>
      <c r="O58" s="34"/>
      <c r="P58" s="35"/>
      <c r="Q58" s="33"/>
      <c r="R58" s="34"/>
      <c r="S58" s="34"/>
      <c r="T58" s="35"/>
      <c r="U58" s="33"/>
      <c r="V58" s="34"/>
      <c r="W58" s="34"/>
      <c r="X58" s="35"/>
      <c r="Y58" s="33"/>
      <c r="Z58" s="34"/>
      <c r="AA58" s="34"/>
      <c r="AB58" s="35"/>
      <c r="AC58" s="33"/>
      <c r="AD58" s="34"/>
      <c r="AE58" s="34"/>
      <c r="AF58" s="35"/>
      <c r="AG58" s="33"/>
      <c r="AH58" s="34"/>
      <c r="AI58" s="34"/>
      <c r="AJ58" s="35"/>
      <c r="AK58" s="33"/>
      <c r="AL58" s="34"/>
      <c r="AM58" s="34"/>
      <c r="AN58" s="35"/>
      <c r="AO58" s="33"/>
      <c r="AP58" s="34"/>
      <c r="AQ58" s="34"/>
      <c r="AR58" s="35"/>
      <c r="AS58" s="33"/>
      <c r="AT58" s="34"/>
      <c r="AU58" s="34"/>
      <c r="AV58" s="35"/>
      <c r="AW58" s="33"/>
      <c r="AX58" s="34"/>
      <c r="AY58" s="34"/>
      <c r="AZ58" s="35"/>
      <c r="BA58" s="33"/>
      <c r="BB58" s="34"/>
      <c r="BC58" s="34"/>
      <c r="BD58" s="35"/>
      <c r="BF58" s="36">
        <v>5</v>
      </c>
      <c r="BG58" s="37">
        <f>IF(ISBLANK(B57),"",COUNTIF(B60:BD60,"&gt;=3"))</f>
        <v>3</v>
      </c>
      <c r="BH58" s="79"/>
      <c r="BI58" s="20"/>
      <c r="BL58"/>
      <c r="BM58"/>
      <c r="BN58"/>
      <c r="BO58"/>
      <c r="BP58"/>
      <c r="BQ58"/>
      <c r="BR58"/>
      <c r="BS58"/>
      <c r="BT58"/>
      <c r="BU58"/>
      <c r="BV58"/>
      <c r="BW58"/>
      <c r="BX58"/>
      <c r="BY58"/>
      <c r="CJ58"/>
      <c r="CK58"/>
    </row>
    <row r="59" spans="2:89" ht="15" customHeight="1" x14ac:dyDescent="0.25">
      <c r="B59" s="74"/>
      <c r="C59" s="75"/>
      <c r="D59" s="27"/>
      <c r="E59" s="33"/>
      <c r="F59" s="34"/>
      <c r="G59" s="34"/>
      <c r="H59" s="35"/>
      <c r="I59" s="33"/>
      <c r="J59" s="34"/>
      <c r="K59" s="34"/>
      <c r="L59" s="35"/>
      <c r="M59" s="33"/>
      <c r="N59" s="34"/>
      <c r="O59" s="34"/>
      <c r="P59" s="35"/>
      <c r="Q59" s="33"/>
      <c r="R59" s="34"/>
      <c r="S59" s="34"/>
      <c r="T59" s="35"/>
      <c r="U59" s="33"/>
      <c r="V59" s="34"/>
      <c r="W59" s="34"/>
      <c r="X59" s="35"/>
      <c r="Y59" s="33"/>
      <c r="Z59" s="34"/>
      <c r="AA59" s="34"/>
      <c r="AB59" s="35"/>
      <c r="AC59" s="33"/>
      <c r="AD59" s="34"/>
      <c r="AE59" s="34"/>
      <c r="AF59" s="35"/>
      <c r="AG59" s="33"/>
      <c r="AH59" s="34"/>
      <c r="AI59" s="34"/>
      <c r="AJ59" s="35"/>
      <c r="AK59" s="33"/>
      <c r="AL59" s="34"/>
      <c r="AM59" s="34"/>
      <c r="AN59" s="35"/>
      <c r="AO59" s="33"/>
      <c r="AP59" s="34"/>
      <c r="AQ59" s="34"/>
      <c r="AR59" s="35"/>
      <c r="AS59" s="33"/>
      <c r="AT59" s="34"/>
      <c r="AU59" s="34"/>
      <c r="AV59" s="35"/>
      <c r="AW59" s="33"/>
      <c r="AX59" s="34"/>
      <c r="AY59" s="34"/>
      <c r="AZ59" s="35"/>
      <c r="BA59" s="33"/>
      <c r="BB59" s="34"/>
      <c r="BC59" s="34"/>
      <c r="BD59" s="35"/>
      <c r="BF59" s="81" t="str">
        <f>IF(ISBLANK(B57),"","personas cualificadas")</f>
        <v>personas cualificadas</v>
      </c>
      <c r="BG59" s="81" t="str">
        <f>IF(ISBLANK(B57),"","personas cualificadas")</f>
        <v>personas cualificadas</v>
      </c>
      <c r="BH59" s="79"/>
      <c r="BI59" s="20"/>
      <c r="BL59"/>
      <c r="BM59"/>
      <c r="BN59"/>
      <c r="BO59"/>
      <c r="BP59"/>
      <c r="BQ59"/>
      <c r="BR59"/>
      <c r="BS59"/>
      <c r="BT59"/>
      <c r="BU59"/>
      <c r="BV59"/>
      <c r="BW59"/>
      <c r="BX59"/>
      <c r="BY59"/>
      <c r="CJ59"/>
      <c r="CK59"/>
    </row>
    <row r="60" spans="2:89" s="42" customFormat="1" x14ac:dyDescent="0.2">
      <c r="B60" s="76"/>
      <c r="C60" s="77"/>
      <c r="D60" s="39"/>
      <c r="E60" s="69"/>
      <c r="F60" s="70"/>
      <c r="G60" s="70"/>
      <c r="H60" s="71"/>
      <c r="I60" s="69">
        <v>4</v>
      </c>
      <c r="J60" s="70"/>
      <c r="K60" s="70"/>
      <c r="L60" s="71"/>
      <c r="M60" s="69"/>
      <c r="N60" s="70"/>
      <c r="O60" s="70"/>
      <c r="P60" s="71"/>
      <c r="Q60" s="69"/>
      <c r="R60" s="70"/>
      <c r="S60" s="70"/>
      <c r="T60" s="71"/>
      <c r="U60" s="69"/>
      <c r="V60" s="70"/>
      <c r="W60" s="70"/>
      <c r="X60" s="71"/>
      <c r="Y60" s="69"/>
      <c r="Z60" s="70"/>
      <c r="AA60" s="70"/>
      <c r="AB60" s="71"/>
      <c r="AC60" s="69"/>
      <c r="AD60" s="70"/>
      <c r="AE60" s="70"/>
      <c r="AF60" s="71"/>
      <c r="AG60" s="69"/>
      <c r="AH60" s="70"/>
      <c r="AI60" s="70"/>
      <c r="AJ60" s="71"/>
      <c r="AK60" s="69"/>
      <c r="AL60" s="70"/>
      <c r="AM60" s="70"/>
      <c r="AN60" s="71"/>
      <c r="AO60" s="69">
        <v>4</v>
      </c>
      <c r="AP60" s="70"/>
      <c r="AQ60" s="70"/>
      <c r="AR60" s="71"/>
      <c r="AS60" s="69"/>
      <c r="AT60" s="70"/>
      <c r="AU60" s="70"/>
      <c r="AV60" s="71"/>
      <c r="AW60" s="69">
        <v>4</v>
      </c>
      <c r="AX60" s="70"/>
      <c r="AY60" s="70"/>
      <c r="AZ60" s="71"/>
      <c r="BA60" s="69"/>
      <c r="BB60" s="70"/>
      <c r="BC60" s="70"/>
      <c r="BD60" s="71"/>
      <c r="BE60" s="40"/>
      <c r="BF60" s="82"/>
      <c r="BG60" s="82"/>
      <c r="BH60" s="80"/>
      <c r="BI60" s="41"/>
    </row>
    <row r="61" spans="2:89" s="43" customFormat="1" ht="6.75" customHeight="1" x14ac:dyDescent="0.2">
      <c r="D61" s="44"/>
      <c r="E61" s="67">
        <f>SUM(E13:H60)</f>
        <v>12</v>
      </c>
      <c r="F61" s="67"/>
      <c r="G61" s="67">
        <f>COUNT(E13:H60)*4</f>
        <v>12</v>
      </c>
      <c r="H61" s="67"/>
      <c r="I61" s="67">
        <f>SUM(I13:L60)</f>
        <v>4</v>
      </c>
      <c r="J61" s="67"/>
      <c r="K61" s="67">
        <f>COUNT(I13:L60)*4</f>
        <v>4</v>
      </c>
      <c r="L61" s="67"/>
      <c r="M61" s="67">
        <f>SUM(M13:P60)</f>
        <v>12</v>
      </c>
      <c r="N61" s="67"/>
      <c r="O61" s="67">
        <f>COUNT(M13:P60)*4</f>
        <v>12</v>
      </c>
      <c r="P61" s="67"/>
      <c r="Q61" s="67">
        <f>SUM(Q13:T60)</f>
        <v>8</v>
      </c>
      <c r="R61" s="67"/>
      <c r="S61" s="67">
        <f>COUNT(Q13:T60)*4</f>
        <v>8</v>
      </c>
      <c r="T61" s="67"/>
      <c r="U61" s="67">
        <f>SUM(U13:X60)</f>
        <v>3</v>
      </c>
      <c r="V61" s="67"/>
      <c r="W61" s="67">
        <f>COUNT(U13:X60)*4</f>
        <v>4</v>
      </c>
      <c r="X61" s="67"/>
      <c r="Y61" s="67">
        <f>SUM(Y13:AB60)</f>
        <v>5</v>
      </c>
      <c r="Z61" s="67"/>
      <c r="AA61" s="67">
        <f>COUNT(Y13:AB60)*4</f>
        <v>8</v>
      </c>
      <c r="AB61" s="67"/>
      <c r="AC61" s="67">
        <f>SUM(AC13:AF60)</f>
        <v>12</v>
      </c>
      <c r="AD61" s="67"/>
      <c r="AE61" s="67">
        <f>COUNT(AC13:AF60)*4</f>
        <v>24</v>
      </c>
      <c r="AF61" s="67"/>
      <c r="AG61" s="67">
        <f>SUM(AG13:AJ60)</f>
        <v>20</v>
      </c>
      <c r="AH61" s="67"/>
      <c r="AI61" s="67">
        <f>COUNT(AG13:AJ60)*4</f>
        <v>28</v>
      </c>
      <c r="AJ61" s="67"/>
      <c r="AK61" s="67">
        <f>SUM(AK13:AN60)</f>
        <v>11</v>
      </c>
      <c r="AL61" s="67"/>
      <c r="AM61" s="67">
        <f>COUNT(AK13:AN60)*4</f>
        <v>12</v>
      </c>
      <c r="AN61" s="67"/>
      <c r="AO61" s="67">
        <f>SUM(AO13:AR60)</f>
        <v>9</v>
      </c>
      <c r="AP61" s="67"/>
      <c r="AQ61" s="67">
        <f>COUNT(AO13:AR60)*4</f>
        <v>24</v>
      </c>
      <c r="AR61" s="67"/>
      <c r="AS61" s="67">
        <f>SUM(AS13:AV60)</f>
        <v>10</v>
      </c>
      <c r="AT61" s="67"/>
      <c r="AU61" s="67">
        <f>COUNT(AS13:AV60)*4</f>
        <v>12</v>
      </c>
      <c r="AV61" s="67"/>
      <c r="AW61" s="67">
        <f>SUM(AW13:AZ60)</f>
        <v>4</v>
      </c>
      <c r="AX61" s="67"/>
      <c r="AY61" s="67">
        <f>COUNT(AW13:AZ60)*4</f>
        <v>4</v>
      </c>
      <c r="AZ61" s="67"/>
      <c r="BA61" s="67">
        <f>SUM(BA13:BD60)</f>
        <v>0</v>
      </c>
      <c r="BB61" s="67"/>
      <c r="BC61" s="67">
        <f>COUNT(BA13:BD60)*4</f>
        <v>0</v>
      </c>
      <c r="BD61" s="67"/>
      <c r="BE61" s="45"/>
    </row>
    <row r="62" spans="2:89" x14ac:dyDescent="0.25">
      <c r="B62" s="68" t="s">
        <v>62</v>
      </c>
      <c r="C62" s="68"/>
      <c r="E62" s="65">
        <f>IFERROR(E61/G61,"")</f>
        <v>1</v>
      </c>
      <c r="F62" s="65"/>
      <c r="G62" s="65"/>
      <c r="H62" s="65"/>
      <c r="I62" s="65">
        <f>IFERROR(I61/K61,"")</f>
        <v>1</v>
      </c>
      <c r="J62" s="65"/>
      <c r="K62" s="65"/>
      <c r="L62" s="65"/>
      <c r="M62" s="65">
        <f>IFERROR(M61/O61,"")</f>
        <v>1</v>
      </c>
      <c r="N62" s="65"/>
      <c r="O62" s="65"/>
      <c r="P62" s="65"/>
      <c r="Q62" s="65">
        <f>IFERROR(Q61/S61,"")</f>
        <v>1</v>
      </c>
      <c r="R62" s="65"/>
      <c r="S62" s="65"/>
      <c r="T62" s="65"/>
      <c r="U62" s="65">
        <f>IFERROR(U61/W61,"")</f>
        <v>0.75</v>
      </c>
      <c r="V62" s="65"/>
      <c r="W62" s="65"/>
      <c r="X62" s="65"/>
      <c r="Y62" s="65">
        <f>IFERROR(Y61/AA61,"")</f>
        <v>0.625</v>
      </c>
      <c r="Z62" s="65"/>
      <c r="AA62" s="65"/>
      <c r="AB62" s="65"/>
      <c r="AC62" s="65">
        <f>IFERROR(AC61/AE61,"")</f>
        <v>0.5</v>
      </c>
      <c r="AD62" s="65"/>
      <c r="AE62" s="65"/>
      <c r="AF62" s="65"/>
      <c r="AG62" s="65">
        <f>IFERROR(AG61/AI61,"")</f>
        <v>0.7142857142857143</v>
      </c>
      <c r="AH62" s="65"/>
      <c r="AI62" s="65"/>
      <c r="AJ62" s="65"/>
      <c r="AK62" s="65">
        <f>IFERROR(AK61/AM61,"")</f>
        <v>0.91666666666666663</v>
      </c>
      <c r="AL62" s="65"/>
      <c r="AM62" s="65"/>
      <c r="AN62" s="65"/>
      <c r="AO62" s="65">
        <f>IFERROR(AO61/AQ61,"")</f>
        <v>0.375</v>
      </c>
      <c r="AP62" s="65"/>
      <c r="AQ62" s="65"/>
      <c r="AR62" s="65"/>
      <c r="AS62" s="65">
        <f>IFERROR(AS61/AU61,"")</f>
        <v>0.83333333333333337</v>
      </c>
      <c r="AT62" s="65"/>
      <c r="AU62" s="65"/>
      <c r="AV62" s="65"/>
      <c r="AW62" s="65">
        <f>IFERROR(AW61/AY61,"")</f>
        <v>1</v>
      </c>
      <c r="AX62" s="65"/>
      <c r="AY62" s="65"/>
      <c r="AZ62" s="65"/>
      <c r="BA62" s="65" t="str">
        <f>IFERROR(BA61/BC61,"")</f>
        <v/>
      </c>
      <c r="BB62" s="65"/>
      <c r="BC62" s="65"/>
      <c r="BD62" s="65"/>
      <c r="BE62" s="46"/>
      <c r="BF62" s="59" t="s">
        <v>63</v>
      </c>
      <c r="BG62" s="60"/>
      <c r="BH62" s="63">
        <f>IFERROR(AVERAGE(AO62:BD63),"")</f>
        <v>0.73611111111111116</v>
      </c>
      <c r="BL62"/>
      <c r="BM62"/>
      <c r="BN62"/>
      <c r="BO62"/>
      <c r="BP62"/>
      <c r="BQ62"/>
      <c r="BR62"/>
      <c r="BS62"/>
      <c r="BT62"/>
      <c r="BU62"/>
      <c r="BV62"/>
      <c r="BW62"/>
      <c r="BX62"/>
      <c r="BY62"/>
      <c r="CJ62"/>
      <c r="CK62"/>
    </row>
    <row r="63" spans="2:89" ht="15.75" x14ac:dyDescent="0.25">
      <c r="B63" s="68"/>
      <c r="C63" s="68"/>
      <c r="D63" s="47"/>
      <c r="E63" s="66"/>
      <c r="F63" s="66"/>
      <c r="G63" s="66"/>
      <c r="H63" s="66"/>
      <c r="I63" s="66"/>
      <c r="J63" s="66"/>
      <c r="K63" s="66"/>
      <c r="L63" s="66"/>
      <c r="M63" s="66"/>
      <c r="N63" s="66"/>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66"/>
      <c r="BC63" s="66"/>
      <c r="BD63" s="66"/>
      <c r="BE63" s="48"/>
      <c r="BF63" s="61"/>
      <c r="BG63" s="62"/>
      <c r="BH63" s="64"/>
      <c r="BI63" s="20"/>
      <c r="BL63"/>
      <c r="BM63"/>
      <c r="BN63"/>
      <c r="BO63"/>
      <c r="BP63"/>
      <c r="BQ63"/>
      <c r="BR63"/>
      <c r="BS63"/>
      <c r="BT63"/>
      <c r="BU63"/>
      <c r="BV63"/>
      <c r="BW63"/>
      <c r="BX63"/>
      <c r="BY63"/>
      <c r="CJ63"/>
      <c r="CK63"/>
    </row>
    <row r="64" spans="2:89" x14ac:dyDescent="0.25">
      <c r="BF64"/>
      <c r="BG64"/>
    </row>
    <row r="65" spans="58:59" x14ac:dyDescent="0.25">
      <c r="BF65"/>
      <c r="BG65"/>
    </row>
  </sheetData>
  <mergeCells count="283">
    <mergeCell ref="BH5:BH8"/>
    <mergeCell ref="B7:B8"/>
    <mergeCell ref="C7:C8"/>
    <mergeCell ref="M8:P8"/>
    <mergeCell ref="Y8:AB8"/>
    <mergeCell ref="B3:B4"/>
    <mergeCell ref="C3:C4"/>
    <mergeCell ref="E3:BD4"/>
    <mergeCell ref="BF3:BH4"/>
    <mergeCell ref="B5:B6"/>
    <mergeCell ref="C5:C6"/>
    <mergeCell ref="E5:H8"/>
    <mergeCell ref="I5:L8"/>
    <mergeCell ref="Q5:X8"/>
    <mergeCell ref="AC5:AN8"/>
    <mergeCell ref="B10:C12"/>
    <mergeCell ref="E10:AN10"/>
    <mergeCell ref="AO10:BD10"/>
    <mergeCell ref="BF10:BF12"/>
    <mergeCell ref="BG10:BG12"/>
    <mergeCell ref="M11:P12"/>
    <mergeCell ref="AO5:BD8"/>
    <mergeCell ref="BF5:BF8"/>
    <mergeCell ref="BG5:BG8"/>
    <mergeCell ref="BH10:BH12"/>
    <mergeCell ref="E11:H12"/>
    <mergeCell ref="I11:L12"/>
    <mergeCell ref="AO11:AR12"/>
    <mergeCell ref="AS11:AV12"/>
    <mergeCell ref="AW11:AZ12"/>
    <mergeCell ref="BA11:BD12"/>
    <mergeCell ref="B13:C16"/>
    <mergeCell ref="I16:L16"/>
    <mergeCell ref="AC11:AF12"/>
    <mergeCell ref="AG11:AJ12"/>
    <mergeCell ref="AK11:AN12"/>
    <mergeCell ref="Q11:T12"/>
    <mergeCell ref="U11:X12"/>
    <mergeCell ref="Y11:AB12"/>
    <mergeCell ref="Q16:T16"/>
    <mergeCell ref="U16:X16"/>
    <mergeCell ref="BH13:BH16"/>
    <mergeCell ref="BF15:BF16"/>
    <mergeCell ref="BG15:BG16"/>
    <mergeCell ref="E16:H16"/>
    <mergeCell ref="BA16:BD16"/>
    <mergeCell ref="B17:C20"/>
    <mergeCell ref="BH17:BH20"/>
    <mergeCell ref="BF19:BF20"/>
    <mergeCell ref="BG19:BG20"/>
    <mergeCell ref="AO16:AR16"/>
    <mergeCell ref="AS16:AV16"/>
    <mergeCell ref="AW16:AZ16"/>
    <mergeCell ref="Y16:AB16"/>
    <mergeCell ref="AC16:AF16"/>
    <mergeCell ref="AG16:AJ16"/>
    <mergeCell ref="AK16:AN16"/>
    <mergeCell ref="M16:P16"/>
    <mergeCell ref="Q20:T20"/>
    <mergeCell ref="U20:X20"/>
    <mergeCell ref="E20:H20"/>
    <mergeCell ref="I20:L20"/>
    <mergeCell ref="BA20:BD20"/>
    <mergeCell ref="B21:C24"/>
    <mergeCell ref="BH21:BH24"/>
    <mergeCell ref="BF23:BF24"/>
    <mergeCell ref="BG23:BG24"/>
    <mergeCell ref="AO20:AR20"/>
    <mergeCell ref="AS20:AV20"/>
    <mergeCell ref="AW20:AZ20"/>
    <mergeCell ref="Y20:AB20"/>
    <mergeCell ref="AC20:AF20"/>
    <mergeCell ref="AG20:AJ20"/>
    <mergeCell ref="AK20:AN20"/>
    <mergeCell ref="M20:P20"/>
    <mergeCell ref="Q24:T24"/>
    <mergeCell ref="U24:X24"/>
    <mergeCell ref="E24:H24"/>
    <mergeCell ref="I24:L24"/>
    <mergeCell ref="BA24:BD24"/>
    <mergeCell ref="B25:C28"/>
    <mergeCell ref="BH25:BH28"/>
    <mergeCell ref="BF27:BF28"/>
    <mergeCell ref="BG27:BG28"/>
    <mergeCell ref="AO24:AR24"/>
    <mergeCell ref="AS24:AV24"/>
    <mergeCell ref="AW24:AZ24"/>
    <mergeCell ref="Y24:AB24"/>
    <mergeCell ref="AC24:AF24"/>
    <mergeCell ref="AG24:AJ24"/>
    <mergeCell ref="AK24:AN24"/>
    <mergeCell ref="M24:P24"/>
    <mergeCell ref="Q28:T28"/>
    <mergeCell ref="U28:X28"/>
    <mergeCell ref="E28:H28"/>
    <mergeCell ref="I28:L28"/>
    <mergeCell ref="BA28:BD28"/>
    <mergeCell ref="B29:C32"/>
    <mergeCell ref="BH29:BH32"/>
    <mergeCell ref="BF31:BF32"/>
    <mergeCell ref="BG31:BG32"/>
    <mergeCell ref="AO28:AR28"/>
    <mergeCell ref="AS28:AV28"/>
    <mergeCell ref="AW28:AZ28"/>
    <mergeCell ref="Y28:AB28"/>
    <mergeCell ref="AC28:AF28"/>
    <mergeCell ref="AG28:AJ28"/>
    <mergeCell ref="AK28:AN28"/>
    <mergeCell ref="M28:P28"/>
    <mergeCell ref="Q32:T32"/>
    <mergeCell ref="U32:X32"/>
    <mergeCell ref="E32:H32"/>
    <mergeCell ref="I32:L32"/>
    <mergeCell ref="BA32:BD32"/>
    <mergeCell ref="B33:C36"/>
    <mergeCell ref="BH33:BH36"/>
    <mergeCell ref="BF35:BF36"/>
    <mergeCell ref="BG35:BG36"/>
    <mergeCell ref="AO32:AR32"/>
    <mergeCell ref="AS32:AV32"/>
    <mergeCell ref="AW32:AZ32"/>
    <mergeCell ref="Y32:AB32"/>
    <mergeCell ref="AC32:AF32"/>
    <mergeCell ref="AG32:AJ32"/>
    <mergeCell ref="AK32:AN32"/>
    <mergeCell ref="M32:P32"/>
    <mergeCell ref="Q36:T36"/>
    <mergeCell ref="U36:X36"/>
    <mergeCell ref="E36:H36"/>
    <mergeCell ref="I36:L36"/>
    <mergeCell ref="BA36:BD36"/>
    <mergeCell ref="B37:C40"/>
    <mergeCell ref="BH37:BH40"/>
    <mergeCell ref="BF39:BF40"/>
    <mergeCell ref="BG39:BG40"/>
    <mergeCell ref="AO36:AR36"/>
    <mergeCell ref="AS36:AV36"/>
    <mergeCell ref="AW36:AZ36"/>
    <mergeCell ref="Y36:AB36"/>
    <mergeCell ref="AC36:AF36"/>
    <mergeCell ref="AG36:AJ36"/>
    <mergeCell ref="AK36:AN36"/>
    <mergeCell ref="M36:P36"/>
    <mergeCell ref="Q40:T40"/>
    <mergeCell ref="U40:X40"/>
    <mergeCell ref="E40:H40"/>
    <mergeCell ref="I40:L40"/>
    <mergeCell ref="BA40:BD40"/>
    <mergeCell ref="B41:C44"/>
    <mergeCell ref="BH41:BH44"/>
    <mergeCell ref="BF43:BF44"/>
    <mergeCell ref="BG43:BG44"/>
    <mergeCell ref="AO40:AR40"/>
    <mergeCell ref="AS40:AV40"/>
    <mergeCell ref="AW40:AZ40"/>
    <mergeCell ref="Y40:AB40"/>
    <mergeCell ref="AC40:AF40"/>
    <mergeCell ref="AG40:AJ40"/>
    <mergeCell ref="AK40:AN40"/>
    <mergeCell ref="M40:P40"/>
    <mergeCell ref="Q44:T44"/>
    <mergeCell ref="U44:X44"/>
    <mergeCell ref="E44:H44"/>
    <mergeCell ref="I44:L44"/>
    <mergeCell ref="BA44:BD44"/>
    <mergeCell ref="B45:C48"/>
    <mergeCell ref="BH45:BH48"/>
    <mergeCell ref="BF47:BF48"/>
    <mergeCell ref="BG47:BG48"/>
    <mergeCell ref="AO44:AR44"/>
    <mergeCell ref="AS44:AV44"/>
    <mergeCell ref="AW44:AZ44"/>
    <mergeCell ref="Y44:AB44"/>
    <mergeCell ref="AC44:AF44"/>
    <mergeCell ref="AG44:AJ44"/>
    <mergeCell ref="AK44:AN44"/>
    <mergeCell ref="M44:P44"/>
    <mergeCell ref="Q48:T48"/>
    <mergeCell ref="U48:X48"/>
    <mergeCell ref="E48:H48"/>
    <mergeCell ref="I48:L48"/>
    <mergeCell ref="BA48:BD48"/>
    <mergeCell ref="B49:C52"/>
    <mergeCell ref="BH49:BH52"/>
    <mergeCell ref="BF51:BF52"/>
    <mergeCell ref="BG51:BG52"/>
    <mergeCell ref="AO48:AR48"/>
    <mergeCell ref="AS48:AV48"/>
    <mergeCell ref="AW48:AZ48"/>
    <mergeCell ref="Y48:AB48"/>
    <mergeCell ref="AC48:AF48"/>
    <mergeCell ref="AG48:AJ48"/>
    <mergeCell ref="AK48:AN48"/>
    <mergeCell ref="M48:P48"/>
    <mergeCell ref="Q52:T52"/>
    <mergeCell ref="U52:X52"/>
    <mergeCell ref="E52:H52"/>
    <mergeCell ref="I52:L52"/>
    <mergeCell ref="BA52:BD52"/>
    <mergeCell ref="B53:C56"/>
    <mergeCell ref="BH53:BH56"/>
    <mergeCell ref="BF55:BF56"/>
    <mergeCell ref="BG55:BG56"/>
    <mergeCell ref="AO52:AR52"/>
    <mergeCell ref="AS52:AV52"/>
    <mergeCell ref="AW52:AZ52"/>
    <mergeCell ref="Y52:AB52"/>
    <mergeCell ref="AC52:AF52"/>
    <mergeCell ref="AG52:AJ52"/>
    <mergeCell ref="AK52:AN52"/>
    <mergeCell ref="M52:P52"/>
    <mergeCell ref="Q56:T56"/>
    <mergeCell ref="U56:X56"/>
    <mergeCell ref="E56:H56"/>
    <mergeCell ref="I56:L56"/>
    <mergeCell ref="BA56:BD56"/>
    <mergeCell ref="B57:C60"/>
    <mergeCell ref="BH57:BH60"/>
    <mergeCell ref="BF59:BF60"/>
    <mergeCell ref="BG59:BG60"/>
    <mergeCell ref="AO56:AR56"/>
    <mergeCell ref="AS56:AV56"/>
    <mergeCell ref="AW56:AZ56"/>
    <mergeCell ref="Y56:AB56"/>
    <mergeCell ref="AC56:AF56"/>
    <mergeCell ref="AG56:AJ56"/>
    <mergeCell ref="AK56:AN56"/>
    <mergeCell ref="M56:P56"/>
    <mergeCell ref="Q60:T60"/>
    <mergeCell ref="U60:X60"/>
    <mergeCell ref="E60:H60"/>
    <mergeCell ref="I60:L60"/>
    <mergeCell ref="BA60:BD60"/>
    <mergeCell ref="AO60:AR60"/>
    <mergeCell ref="AS60:AV60"/>
    <mergeCell ref="AW60:AZ60"/>
    <mergeCell ref="Y60:AB60"/>
    <mergeCell ref="AC60:AF60"/>
    <mergeCell ref="AG60:AJ60"/>
    <mergeCell ref="AK60:AN60"/>
    <mergeCell ref="M60:P60"/>
    <mergeCell ref="I61:J61"/>
    <mergeCell ref="K61:L61"/>
    <mergeCell ref="E61:F61"/>
    <mergeCell ref="G61:H61"/>
    <mergeCell ref="S61:T61"/>
    <mergeCell ref="U61:V61"/>
    <mergeCell ref="W61:X61"/>
    <mergeCell ref="M61:N61"/>
    <mergeCell ref="O61:P61"/>
    <mergeCell ref="Q61:R61"/>
    <mergeCell ref="AI61:AJ61"/>
    <mergeCell ref="AK61:AL61"/>
    <mergeCell ref="AM61:AN61"/>
    <mergeCell ref="Y61:Z61"/>
    <mergeCell ref="AA61:AB61"/>
    <mergeCell ref="AC61:AD61"/>
    <mergeCell ref="BA61:BB61"/>
    <mergeCell ref="BC61:BD61"/>
    <mergeCell ref="B62:C63"/>
    <mergeCell ref="E62:H63"/>
    <mergeCell ref="AQ61:AR61"/>
    <mergeCell ref="AS61:AT61"/>
    <mergeCell ref="AU61:AV61"/>
    <mergeCell ref="AW61:AX61"/>
    <mergeCell ref="AY61:AZ61"/>
    <mergeCell ref="AO61:AP61"/>
    <mergeCell ref="AE61:AF61"/>
    <mergeCell ref="AG61:AH61"/>
    <mergeCell ref="M62:P63"/>
    <mergeCell ref="Q62:T63"/>
    <mergeCell ref="U62:X63"/>
    <mergeCell ref="I62:L63"/>
    <mergeCell ref="BF62:BG63"/>
    <mergeCell ref="BH62:BH63"/>
    <mergeCell ref="AO62:AR63"/>
    <mergeCell ref="AS62:AV63"/>
    <mergeCell ref="AW62:AZ63"/>
    <mergeCell ref="BA62:BD63"/>
    <mergeCell ref="Y62:AB63"/>
    <mergeCell ref="AC62:AF63"/>
    <mergeCell ref="AG62:AJ63"/>
    <mergeCell ref="AK62:AN63"/>
  </mergeCells>
  <conditionalFormatting sqref="C3:C6">
    <cfRule type="containsBlanks" dxfId="111" priority="37">
      <formula>LEN(TRIM(C3))=0</formula>
    </cfRule>
  </conditionalFormatting>
  <conditionalFormatting sqref="F14 J14 N14 R14 V14 Z14 AD14 AH14 AL14 AP14 AT14 AX14 BB14 F18 J18 N18 R18 V18 Z18 AD18 AH18 AL18 AP18 AT18 AX18 BB18 F22 J22 N22 R22 V22 Z22 AD22 AH22 AL22 AP22 AT22 AX22 BB22 F26 J26 N26 R26 V26 Z26 AD26 AH26 AL26 AP26 AT26 AX26 BB26 F30 J30 N30 R30 V30 Z30 AD30 AH30 AL30 AP30 AT30 AX30 BB30 F34 J34 N34 R34 V34 Z34 AD34 AH34 AL34 AP34 AT34 AX34 BB34 F38 J38 N38 R38 V38 Z38 AD38 AH38 AL38 AP38 AT38 AX38 BB38 F42 J42 N42 R42 V42 Z42 AD42 AH42 AL42 AP42 AT42 AX42 BB42 F46 J46 N46 R46 V46 Z46 AD46 AH46 AL46 AP46 AT46 AX46 BB46 F50 J50 N50 R50 V50 Z50 AD50 AH50 AL50 AP50 AT50 AX50 BB50 F54 J54 N54 R54 V54 Z54 AD54 AH54 AL54 AP54 AT54 AX54 BB54 F58 J58 N58 R58 V58 Z58 AD58 AH58 AL58 AP58 AT58 AX58 BB58">
    <cfRule type="expression" dxfId="98" priority="32" stopIfTrue="1">
      <formula>AND(E16&gt;0)</formula>
    </cfRule>
  </conditionalFormatting>
  <conditionalFormatting sqref="F15 J15 N15 R15 V15 Z15 AD15 AH15 AL15 AP15 AT15 AX15 BB15 F19 J19 N19 R19 V19 Z19 AD19 AH19 AL19 AP19 AT19 AX19 BB19 F23 J23 N23 R23 V23 Z23 AD23 AH23 AL23 AP23 AT23 AX23 BB23 F27 J27 N27 R27 V27 Z27 AD27 AH27 AL27 AP27 AT27 AX27 BB27 F31 J31 N31 R31 V31 Z31 AD31 AH31 AL31 AP31 AT31 AX31 BB31 F35 J35 N35 R35 V35 Z35 AD35 AH35 AL35 AP35 AT35 AX35 BB35 F39 J39 N39 R39 V39 Z39 AD39 AH39 AL39 AP39 AT39 AX39 BB39 F43 J43 N43 R43 V43 Z43 AD43 AH43 AL43 AP43 AT43 AX43 BB43 F47 J47 N47 R47 V47 Z47 AD47 AH47 AL47 AP47 AT47 AX47 BB47 F51 J51 N51 R51 V51 Z51 AD51 AH51 AL51 AP51 AT51 AX51 BB51 F55 J55 N55 R55 V55 Z55 AD55 AH55 AL55 AP55 AT55 AX55 BB55 F59 J59 N59 R59 V59 Z59 AD59 AH59 AL59 AP59 AT59 AX59 BB59">
    <cfRule type="expression" dxfId="97" priority="30" stopIfTrue="1">
      <formula>AND(E16&gt;2)</formula>
    </cfRule>
  </conditionalFormatting>
  <conditionalFormatting sqref="G14 K14 O14 S14 W14 AA14 AE14 AI14 AM14 AQ14 AU14 AY14 BC14 G18 K18 O18 S18 W18 AA18 AE18 AI18 AM18 AQ18 AU18 AY18 BC18 G22 K22 O22 S22 W22 AA22 AE22 AI22 AM22 AQ22 AU22 AY22 BC22 G26 K26 O26 S26 W26 AA26 AE26 AI26 AM26 AQ26 AU26 AY26 BC26 G30 K30 O30 S30 W30 AA30 AE30 AI30 AM30 AQ30 AU30 AY30 BC30 G34 K34 O34 S34 W34 AA34 AE34 AI34 AM34 AQ34 AU34 AY34 BC34 G38 K38 O38 S38 W38 AA38 AE38 AI38 AM38 AQ38 AU38 AY38 BC38 G42 K42 O42 S42 W42 AA42 AE42 AI42 AM42 AQ42 AU42 AY42 BC42 G46 K46 O46 S46 W46 AA46 AE46 AI46 AM46 AQ46 AU46 AY46 BC46 G50 K50 O50 S50 W50 AA50 AE50 AI50 AM50 AQ50 AU50 AY50 BC50 G54 K54 O54 S54 W54 AA54 AE54 AI54 AM54 AQ54 AU54 AY54 BC54 G58 K58 O58 S58 W58 AA58 AE58 AI58 AM58 AQ58 AU58 AY58 BC58">
    <cfRule type="expression" dxfId="96" priority="31" stopIfTrue="1">
      <formula>AND(E16&gt;1)</formula>
    </cfRule>
  </conditionalFormatting>
  <conditionalFormatting sqref="G15 K15 O15 S15 W15 AA15 AE15 AI15 AM15 AQ15 AU15 AY15 BC15 G19 K19 O19 S19 W19 AA19 AE19 AI19 AM19 AQ19 AU19 AY19 BC19 G23 K23 O23 S23 W23 AA23 AE23 AI23 AM23 AQ23 AU23 AY23 BC23 G27 K27 O27 S27 W27 AA27 AE27 AI27 AM27 AQ27 AU27 AY27 BC27 G31 K31 O31 S31 W31 AA31 AE31 AI31 AM31 AQ31 AU31 AY31 BC31 G35 K35 O35 S35 W35 AA35 AE35 AI35 AM35 AQ35 AU35 AY35 BC35 G39 K39 O39 S39 W39 AA39 AE39 AI39 AM39 AQ39 AU39 AY39 BC39 G43 K43 O43 S43 W43 AA43 AE43 AI43 AM43 AQ43 AU43 AY43 BC43 G47 K47 O47 S47 W47 AA47 AE47 AI47 AM47 AQ47 AU47 AY47 BC47 G51 K51 O51 S51 W51 AA51 AE51 AI51 AM51 AQ51 AU51 AY51 BC51 G55 K55 O55 S55 W55 AA55 AE55 AI55 AM55 AQ55 AU55 AY55 BC55 G59 K59 O59 S59 W59 AA59 AE59 AI59 AM59 AQ59 AU59 AY59 BC59">
    <cfRule type="expression" dxfId="95" priority="29" stopIfTrue="1">
      <formula>AND(E16&gt;3)</formula>
    </cfRule>
  </conditionalFormatting>
  <conditionalFormatting sqref="N6">
    <cfRule type="expression" dxfId="90" priority="16" stopIfTrue="1">
      <formula>AND(M8&gt;0)</formula>
    </cfRule>
  </conditionalFormatting>
  <conditionalFormatting sqref="N7">
    <cfRule type="expression" dxfId="89" priority="14" stopIfTrue="1">
      <formula>AND(M8&gt;2)</formula>
    </cfRule>
  </conditionalFormatting>
  <conditionalFormatting sqref="O6">
    <cfRule type="expression" dxfId="88" priority="15" stopIfTrue="1">
      <formula>AND(M8&gt;1)</formula>
    </cfRule>
  </conditionalFormatting>
  <conditionalFormatting sqref="O7">
    <cfRule type="expression" dxfId="87" priority="13" stopIfTrue="1">
      <formula>AND(M8&gt;3)</formula>
    </cfRule>
  </conditionalFormatting>
  <conditionalFormatting sqref="Z6">
    <cfRule type="expression" dxfId="86" priority="12" stopIfTrue="1">
      <formula>AND(Y8&gt;0)</formula>
    </cfRule>
  </conditionalFormatting>
  <conditionalFormatting sqref="Z7">
    <cfRule type="expression" dxfId="85" priority="10" stopIfTrue="1">
      <formula>AND(Y8&gt;2)</formula>
    </cfRule>
  </conditionalFormatting>
  <conditionalFormatting sqref="AA6">
    <cfRule type="expression" dxfId="84" priority="11" stopIfTrue="1">
      <formula>AND(Y8&gt;1)</formula>
    </cfRule>
  </conditionalFormatting>
  <conditionalFormatting sqref="AA7">
    <cfRule type="expression" dxfId="83" priority="9" stopIfTrue="1">
      <formula>AND(Y8&gt;3)</formula>
    </cfRule>
  </conditionalFormatting>
  <conditionalFormatting sqref="BH13:BH60">
    <cfRule type="cellIs" dxfId="74" priority="38" operator="equal">
      <formula>1</formula>
    </cfRule>
    <cfRule type="cellIs" dxfId="73" priority="39" operator="equal">
      <formula>2</formula>
    </cfRule>
    <cfRule type="cellIs" dxfId="72" priority="40" operator="equal">
      <formula>3</formula>
    </cfRule>
  </conditionalFormatting>
  <printOptions horizontalCentered="1" verticalCentered="1"/>
  <pageMargins left="0.70866141732283472" right="0.70866141732283472" top="0.74803149606299213" bottom="0.74803149606299213" header="0.31496062992125984" footer="0.31496062992125984"/>
  <pageSetup paperSize="8" scale="62"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E3538-682B-41A4-A08A-FC74469BF8F6}">
  <sheetPr>
    <pageSetUpPr fitToPage="1"/>
  </sheetPr>
  <dimension ref="B1:FS65"/>
  <sheetViews>
    <sheetView showGridLines="0" zoomScale="55" zoomScaleNormal="55" workbookViewId="0">
      <pane xSplit="4" ySplit="12" topLeftCell="E13" activePane="bottomRight" state="frozen"/>
      <selection pane="topRight" activeCell="E1" sqref="E1"/>
      <selection pane="bottomLeft" activeCell="A13" sqref="A13"/>
      <selection pane="bottomRight" activeCell="I5" sqref="I5:AB8"/>
    </sheetView>
  </sheetViews>
  <sheetFormatPr baseColWidth="10" defaultColWidth="10" defaultRowHeight="15" x14ac:dyDescent="0.25"/>
  <cols>
    <col min="1" max="1" width="2.42578125" customWidth="1"/>
    <col min="2" max="2" width="32.140625" customWidth="1"/>
    <col min="3" max="3" width="22.42578125" customWidth="1"/>
    <col min="4" max="4" width="0.7109375" style="1" customWidth="1"/>
    <col min="5" max="124" width="3.42578125" customWidth="1"/>
    <col min="125" max="125" width="0.7109375" style="1" customWidth="1"/>
    <col min="126" max="126" width="15.42578125" style="2" customWidth="1"/>
    <col min="127" max="127" width="23.28515625" style="2" customWidth="1"/>
    <col min="128" max="128" width="13.7109375" customWidth="1"/>
    <col min="129" max="129" width="2.42578125" customWidth="1"/>
    <col min="130" max="131" width="8.140625" customWidth="1"/>
    <col min="132" max="145" width="8.140625" style="5" customWidth="1"/>
    <col min="146" max="150" width="8.140625" customWidth="1"/>
    <col min="151" max="155" width="9.42578125" customWidth="1"/>
    <col min="156" max="157" width="9.42578125" style="5" customWidth="1"/>
    <col min="158" max="170" width="9.42578125" customWidth="1"/>
    <col min="171" max="172" width="1.28515625" customWidth="1"/>
    <col min="173" max="174" width="2.42578125" customWidth="1"/>
    <col min="175" max="175" width="1.28515625" customWidth="1"/>
  </cols>
  <sheetData>
    <row r="1" spans="2:175" ht="40.15" customHeight="1" x14ac:dyDescent="0.3">
      <c r="DW1" s="3" t="s">
        <v>0</v>
      </c>
      <c r="DX1" s="4">
        <v>45717</v>
      </c>
    </row>
    <row r="2" spans="2:175" ht="40.15" customHeight="1" x14ac:dyDescent="0.25">
      <c r="DW2" s="6" t="s">
        <v>1</v>
      </c>
      <c r="DX2" s="7">
        <v>45901</v>
      </c>
    </row>
    <row r="3" spans="2:175" ht="15" customHeight="1" x14ac:dyDescent="0.25">
      <c r="B3" s="117" t="s">
        <v>2</v>
      </c>
      <c r="C3" s="118" t="s">
        <v>3</v>
      </c>
      <c r="D3" s="8"/>
      <c r="E3" s="119" t="s">
        <v>4</v>
      </c>
      <c r="F3" s="120"/>
      <c r="G3" s="120"/>
      <c r="H3" s="120"/>
      <c r="I3" s="120"/>
      <c r="J3" s="120"/>
      <c r="K3" s="120"/>
      <c r="L3" s="120"/>
      <c r="M3" s="120"/>
      <c r="N3" s="120"/>
      <c r="O3" s="120"/>
      <c r="P3" s="120"/>
      <c r="Q3" s="120"/>
      <c r="R3" s="120"/>
      <c r="S3" s="120"/>
      <c r="T3" s="120"/>
      <c r="U3" s="120"/>
      <c r="V3" s="120"/>
      <c r="W3" s="120"/>
      <c r="X3" s="120"/>
      <c r="Y3" s="120"/>
      <c r="Z3" s="120"/>
      <c r="AA3" s="120"/>
      <c r="AB3" s="120"/>
      <c r="AC3" s="120"/>
      <c r="AD3" s="120"/>
      <c r="AE3" s="120"/>
      <c r="AF3" s="120"/>
      <c r="AG3" s="120"/>
      <c r="AH3" s="120"/>
      <c r="AI3" s="120"/>
      <c r="AJ3" s="120"/>
      <c r="AK3" s="120"/>
      <c r="AL3" s="120"/>
      <c r="AM3" s="120"/>
      <c r="AN3" s="120"/>
      <c r="AO3" s="120"/>
      <c r="AP3" s="120"/>
      <c r="AQ3" s="120"/>
      <c r="AR3" s="120"/>
      <c r="AS3" s="120"/>
      <c r="AT3" s="120"/>
      <c r="AU3" s="120"/>
      <c r="AV3" s="120"/>
      <c r="AW3" s="120"/>
      <c r="AX3" s="120"/>
      <c r="AY3" s="120"/>
      <c r="AZ3" s="120"/>
      <c r="BA3" s="120"/>
      <c r="BB3" s="120"/>
      <c r="BC3" s="120"/>
      <c r="BD3" s="120"/>
      <c r="BE3" s="120"/>
      <c r="BF3" s="120"/>
      <c r="BG3" s="120"/>
      <c r="BH3" s="120"/>
      <c r="BI3" s="120"/>
      <c r="BJ3" s="120"/>
      <c r="BK3" s="120"/>
      <c r="BL3" s="120"/>
      <c r="BM3" s="120"/>
      <c r="BN3" s="120"/>
      <c r="BO3" s="120"/>
      <c r="BP3" s="120"/>
      <c r="BQ3" s="120"/>
      <c r="BR3" s="120"/>
      <c r="BS3" s="120"/>
      <c r="BT3" s="120"/>
      <c r="BU3" s="120"/>
      <c r="BV3" s="120"/>
      <c r="BW3" s="120"/>
      <c r="BX3" s="120"/>
      <c r="BY3" s="120"/>
      <c r="BZ3" s="120"/>
      <c r="CA3" s="120"/>
      <c r="CB3" s="120"/>
      <c r="CC3" s="120"/>
      <c r="CD3" s="120"/>
      <c r="CE3" s="120"/>
      <c r="CF3" s="120"/>
      <c r="CG3" s="120"/>
      <c r="CH3" s="120"/>
      <c r="CI3" s="120"/>
      <c r="CJ3" s="120"/>
      <c r="CK3" s="120"/>
      <c r="CL3" s="120"/>
      <c r="CM3" s="120"/>
      <c r="CN3" s="120"/>
      <c r="CO3" s="120"/>
      <c r="CP3" s="120"/>
      <c r="CQ3" s="120"/>
      <c r="CR3" s="120"/>
      <c r="CS3" s="120"/>
      <c r="CT3" s="120"/>
      <c r="CU3" s="120"/>
      <c r="CV3" s="120"/>
      <c r="CW3" s="120"/>
      <c r="CX3" s="120"/>
      <c r="CY3" s="120"/>
      <c r="CZ3" s="120"/>
      <c r="DA3" s="120"/>
      <c r="DB3" s="120"/>
      <c r="DC3" s="120"/>
      <c r="DD3" s="120"/>
      <c r="DE3" s="120"/>
      <c r="DF3" s="120"/>
      <c r="DG3" s="120"/>
      <c r="DH3" s="120"/>
      <c r="DI3" s="120"/>
      <c r="DJ3" s="120"/>
      <c r="DK3" s="120"/>
      <c r="DL3" s="120"/>
      <c r="DM3" s="120"/>
      <c r="DN3" s="120"/>
      <c r="DO3" s="120"/>
      <c r="DP3" s="120"/>
      <c r="DQ3" s="120"/>
      <c r="DR3" s="120"/>
      <c r="DS3" s="120"/>
      <c r="DT3" s="121"/>
      <c r="DU3" s="9"/>
      <c r="DV3" s="117" t="s">
        <v>5</v>
      </c>
      <c r="DW3" s="117"/>
      <c r="DX3" s="117"/>
      <c r="EQ3" s="10"/>
      <c r="EU3" s="10"/>
      <c r="EY3" s="10"/>
      <c r="FC3" s="10"/>
      <c r="FG3" s="10"/>
      <c r="FK3" s="10"/>
      <c r="FO3" s="10"/>
      <c r="FS3" s="10"/>
    </row>
    <row r="4" spans="2:175" ht="15" customHeight="1" x14ac:dyDescent="0.25">
      <c r="B4" s="117"/>
      <c r="C4" s="118"/>
      <c r="D4" s="11"/>
      <c r="E4" s="122"/>
      <c r="F4" s="123"/>
      <c r="G4" s="123"/>
      <c r="H4" s="123"/>
      <c r="I4" s="123"/>
      <c r="J4" s="123"/>
      <c r="K4" s="123"/>
      <c r="L4" s="123"/>
      <c r="M4" s="123"/>
      <c r="N4" s="123"/>
      <c r="O4" s="123"/>
      <c r="P4" s="123"/>
      <c r="Q4" s="123"/>
      <c r="R4" s="123"/>
      <c r="S4" s="123"/>
      <c r="T4" s="123"/>
      <c r="U4" s="123"/>
      <c r="V4" s="123"/>
      <c r="W4" s="123"/>
      <c r="X4" s="123"/>
      <c r="Y4" s="123"/>
      <c r="Z4" s="123"/>
      <c r="AA4" s="123"/>
      <c r="AB4" s="123"/>
      <c r="AC4" s="123"/>
      <c r="AD4" s="123"/>
      <c r="AE4" s="123"/>
      <c r="AF4" s="123"/>
      <c r="AG4" s="123"/>
      <c r="AH4" s="123"/>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3"/>
      <c r="CG4" s="123"/>
      <c r="CH4" s="123"/>
      <c r="CI4" s="123"/>
      <c r="CJ4" s="123"/>
      <c r="CK4" s="123"/>
      <c r="CL4" s="123"/>
      <c r="CM4" s="123"/>
      <c r="CN4" s="123"/>
      <c r="CO4" s="123"/>
      <c r="CP4" s="123"/>
      <c r="CQ4" s="123"/>
      <c r="CR4" s="123"/>
      <c r="CS4" s="123"/>
      <c r="CT4" s="123"/>
      <c r="CU4" s="123"/>
      <c r="CV4" s="123"/>
      <c r="CW4" s="123"/>
      <c r="CX4" s="123"/>
      <c r="CY4" s="123"/>
      <c r="CZ4" s="123"/>
      <c r="DA4" s="123"/>
      <c r="DB4" s="123"/>
      <c r="DC4" s="123"/>
      <c r="DD4" s="123"/>
      <c r="DE4" s="123"/>
      <c r="DF4" s="123"/>
      <c r="DG4" s="123"/>
      <c r="DH4" s="123"/>
      <c r="DI4" s="123"/>
      <c r="DJ4" s="123"/>
      <c r="DK4" s="123"/>
      <c r="DL4" s="123"/>
      <c r="DM4" s="123"/>
      <c r="DN4" s="123"/>
      <c r="DO4" s="123"/>
      <c r="DP4" s="123"/>
      <c r="DQ4" s="123"/>
      <c r="DR4" s="123"/>
      <c r="DS4" s="123"/>
      <c r="DT4" s="124"/>
      <c r="DU4" s="9"/>
      <c r="DV4" s="117"/>
      <c r="DW4" s="117"/>
      <c r="DX4" s="117"/>
    </row>
    <row r="5" spans="2:175" ht="15" customHeight="1" x14ac:dyDescent="0.25">
      <c r="B5" s="117" t="s">
        <v>6</v>
      </c>
      <c r="C5" s="125">
        <v>45746</v>
      </c>
      <c r="D5" s="12"/>
      <c r="E5" s="13"/>
      <c r="F5" s="14"/>
      <c r="G5" s="14"/>
      <c r="H5" s="15"/>
      <c r="I5" s="104" t="s">
        <v>7</v>
      </c>
      <c r="J5" s="105"/>
      <c r="K5" s="105"/>
      <c r="L5" s="105"/>
      <c r="M5" s="105"/>
      <c r="N5" s="105"/>
      <c r="O5" s="105"/>
      <c r="P5" s="105"/>
      <c r="Q5" s="105"/>
      <c r="R5" s="105"/>
      <c r="S5" s="105"/>
      <c r="T5" s="105"/>
      <c r="U5" s="105"/>
      <c r="V5" s="105"/>
      <c r="W5" s="105"/>
      <c r="X5" s="105"/>
      <c r="Y5" s="105"/>
      <c r="Z5" s="105"/>
      <c r="AA5" s="105"/>
      <c r="AB5" s="105"/>
      <c r="AC5" s="52"/>
      <c r="AD5" s="53"/>
      <c r="AE5" s="53"/>
      <c r="AF5" s="54"/>
      <c r="AG5" s="104" t="s">
        <v>8</v>
      </c>
      <c r="AH5" s="105"/>
      <c r="AI5" s="105"/>
      <c r="AJ5" s="105"/>
      <c r="AK5" s="105"/>
      <c r="AL5" s="105"/>
      <c r="AM5" s="105"/>
      <c r="AN5" s="105"/>
      <c r="AO5" s="105"/>
      <c r="AP5" s="105"/>
      <c r="AQ5" s="105"/>
      <c r="AR5" s="105"/>
      <c r="AS5" s="105"/>
      <c r="AT5" s="105"/>
      <c r="AU5" s="105"/>
      <c r="AV5" s="105"/>
      <c r="AW5" s="105"/>
      <c r="AX5" s="105"/>
      <c r="AY5" s="105"/>
      <c r="AZ5" s="105"/>
      <c r="BA5" s="52"/>
      <c r="BB5" s="53"/>
      <c r="BC5" s="53"/>
      <c r="BD5" s="54"/>
      <c r="BE5" s="104" t="s">
        <v>9</v>
      </c>
      <c r="BF5" s="105"/>
      <c r="BG5" s="105"/>
      <c r="BH5" s="105"/>
      <c r="BI5" s="105"/>
      <c r="BJ5" s="105"/>
      <c r="BK5" s="105"/>
      <c r="BL5" s="105"/>
      <c r="BM5" s="105"/>
      <c r="BN5" s="105"/>
      <c r="BO5" s="105"/>
      <c r="BP5" s="105"/>
      <c r="BQ5" s="105"/>
      <c r="BR5" s="105"/>
      <c r="BS5" s="105"/>
      <c r="BT5" s="105"/>
      <c r="BU5" s="105"/>
      <c r="BV5" s="105"/>
      <c r="BW5" s="105"/>
      <c r="BX5" s="105"/>
      <c r="BY5" s="52"/>
      <c r="BZ5" s="53"/>
      <c r="CA5" s="53"/>
      <c r="CB5" s="54"/>
      <c r="CC5" s="104" t="s">
        <v>10</v>
      </c>
      <c r="CD5" s="105"/>
      <c r="CE5" s="105"/>
      <c r="CF5" s="105"/>
      <c r="CG5" s="105"/>
      <c r="CH5" s="105"/>
      <c r="CI5" s="105"/>
      <c r="CJ5" s="105"/>
      <c r="CK5" s="105"/>
      <c r="CL5" s="105"/>
      <c r="CM5" s="105"/>
      <c r="CN5" s="105"/>
      <c r="CO5" s="105"/>
      <c r="CP5" s="105"/>
      <c r="CQ5" s="105"/>
      <c r="CR5" s="105"/>
      <c r="CS5" s="105"/>
      <c r="CT5" s="105"/>
      <c r="CU5" s="105"/>
      <c r="CV5" s="105"/>
      <c r="CW5" s="52"/>
      <c r="CX5" s="53"/>
      <c r="CY5" s="53"/>
      <c r="CZ5" s="54"/>
      <c r="DA5" s="104" t="s">
        <v>11</v>
      </c>
      <c r="DB5" s="105"/>
      <c r="DC5" s="105"/>
      <c r="DD5" s="105"/>
      <c r="DE5" s="105"/>
      <c r="DF5" s="105"/>
      <c r="DG5" s="105"/>
      <c r="DH5" s="105"/>
      <c r="DI5" s="105"/>
      <c r="DJ5" s="105"/>
      <c r="DK5" s="105"/>
      <c r="DL5" s="105"/>
      <c r="DM5" s="105"/>
      <c r="DN5" s="105"/>
      <c r="DO5" s="105"/>
      <c r="DP5" s="105"/>
      <c r="DQ5" s="105"/>
      <c r="DR5" s="105"/>
      <c r="DS5" s="105"/>
      <c r="DT5" s="105"/>
      <c r="DU5" s="16"/>
      <c r="DV5" s="110" t="s">
        <v>12</v>
      </c>
      <c r="DW5" s="111" t="s">
        <v>13</v>
      </c>
      <c r="DX5" s="112" t="s">
        <v>14</v>
      </c>
      <c r="DY5" s="5"/>
      <c r="EB5"/>
      <c r="EC5"/>
      <c r="ED5"/>
      <c r="EE5"/>
      <c r="EF5"/>
      <c r="EG5"/>
      <c r="EH5"/>
      <c r="EI5"/>
      <c r="EJ5"/>
      <c r="EK5"/>
      <c r="EL5"/>
      <c r="EM5"/>
      <c r="EN5"/>
      <c r="EO5"/>
      <c r="EZ5"/>
      <c r="FA5"/>
    </row>
    <row r="6" spans="2:175" ht="15" customHeight="1" x14ac:dyDescent="0.25">
      <c r="B6" s="117"/>
      <c r="C6" s="125"/>
      <c r="D6" s="12"/>
      <c r="E6" s="17"/>
      <c r="F6" s="18"/>
      <c r="G6" s="18"/>
      <c r="H6" s="19"/>
      <c r="I6" s="106"/>
      <c r="J6" s="107"/>
      <c r="K6" s="107"/>
      <c r="L6" s="107"/>
      <c r="M6" s="107"/>
      <c r="N6" s="107"/>
      <c r="O6" s="107"/>
      <c r="P6" s="107"/>
      <c r="Q6" s="107"/>
      <c r="R6" s="107"/>
      <c r="S6" s="107"/>
      <c r="T6" s="107"/>
      <c r="U6" s="107"/>
      <c r="V6" s="107"/>
      <c r="W6" s="107"/>
      <c r="X6" s="107"/>
      <c r="Y6" s="107"/>
      <c r="Z6" s="107"/>
      <c r="AA6" s="107"/>
      <c r="AB6" s="107"/>
      <c r="AC6" s="55"/>
      <c r="AD6" s="56"/>
      <c r="AE6" s="56"/>
      <c r="AF6" s="57"/>
      <c r="AG6" s="106"/>
      <c r="AH6" s="107"/>
      <c r="AI6" s="107"/>
      <c r="AJ6" s="107"/>
      <c r="AK6" s="107"/>
      <c r="AL6" s="107"/>
      <c r="AM6" s="107"/>
      <c r="AN6" s="107"/>
      <c r="AO6" s="107"/>
      <c r="AP6" s="107"/>
      <c r="AQ6" s="107"/>
      <c r="AR6" s="107"/>
      <c r="AS6" s="107"/>
      <c r="AT6" s="107"/>
      <c r="AU6" s="107"/>
      <c r="AV6" s="107"/>
      <c r="AW6" s="107"/>
      <c r="AX6" s="107"/>
      <c r="AY6" s="107"/>
      <c r="AZ6" s="107"/>
      <c r="BA6" s="55"/>
      <c r="BB6" s="56"/>
      <c r="BC6" s="56"/>
      <c r="BD6" s="57"/>
      <c r="BE6" s="106"/>
      <c r="BF6" s="107"/>
      <c r="BG6" s="107"/>
      <c r="BH6" s="107"/>
      <c r="BI6" s="107"/>
      <c r="BJ6" s="107"/>
      <c r="BK6" s="107"/>
      <c r="BL6" s="107"/>
      <c r="BM6" s="107"/>
      <c r="BN6" s="107"/>
      <c r="BO6" s="107"/>
      <c r="BP6" s="107"/>
      <c r="BQ6" s="107"/>
      <c r="BR6" s="107"/>
      <c r="BS6" s="107"/>
      <c r="BT6" s="107"/>
      <c r="BU6" s="107"/>
      <c r="BV6" s="107"/>
      <c r="BW6" s="107"/>
      <c r="BX6" s="107"/>
      <c r="BY6" s="55"/>
      <c r="BZ6" s="56"/>
      <c r="CA6" s="56"/>
      <c r="CB6" s="57"/>
      <c r="CC6" s="106"/>
      <c r="CD6" s="107"/>
      <c r="CE6" s="107"/>
      <c r="CF6" s="107"/>
      <c r="CG6" s="107"/>
      <c r="CH6" s="107"/>
      <c r="CI6" s="107"/>
      <c r="CJ6" s="107"/>
      <c r="CK6" s="107"/>
      <c r="CL6" s="107"/>
      <c r="CM6" s="107"/>
      <c r="CN6" s="107"/>
      <c r="CO6" s="107"/>
      <c r="CP6" s="107"/>
      <c r="CQ6" s="107"/>
      <c r="CR6" s="107"/>
      <c r="CS6" s="107"/>
      <c r="CT6" s="107"/>
      <c r="CU6" s="107"/>
      <c r="CV6" s="107"/>
      <c r="CW6" s="55"/>
      <c r="CX6" s="56"/>
      <c r="CY6" s="56"/>
      <c r="CZ6" s="57"/>
      <c r="DA6" s="106"/>
      <c r="DB6" s="107"/>
      <c r="DC6" s="107"/>
      <c r="DD6" s="107"/>
      <c r="DE6" s="107"/>
      <c r="DF6" s="107"/>
      <c r="DG6" s="107"/>
      <c r="DH6" s="107"/>
      <c r="DI6" s="107"/>
      <c r="DJ6" s="107"/>
      <c r="DK6" s="107"/>
      <c r="DL6" s="107"/>
      <c r="DM6" s="107"/>
      <c r="DN6" s="107"/>
      <c r="DO6" s="107"/>
      <c r="DP6" s="107"/>
      <c r="DQ6" s="107"/>
      <c r="DR6" s="107"/>
      <c r="DS6" s="107"/>
      <c r="DT6" s="107"/>
      <c r="DU6" s="16"/>
      <c r="DV6" s="110"/>
      <c r="DW6" s="111"/>
      <c r="DX6" s="112"/>
      <c r="DY6" s="20"/>
      <c r="EB6"/>
      <c r="EC6"/>
      <c r="ED6"/>
      <c r="EE6"/>
      <c r="EF6"/>
      <c r="EG6"/>
      <c r="EH6"/>
      <c r="EI6"/>
      <c r="EJ6"/>
      <c r="EK6"/>
      <c r="EL6"/>
      <c r="EM6"/>
      <c r="EN6"/>
      <c r="EO6"/>
      <c r="EZ6"/>
      <c r="FA6"/>
    </row>
    <row r="7" spans="2:175" ht="15" customHeight="1" x14ac:dyDescent="0.25">
      <c r="B7" s="68" t="s">
        <v>15</v>
      </c>
      <c r="C7" s="113">
        <v>29</v>
      </c>
      <c r="E7" s="17"/>
      <c r="F7" s="18"/>
      <c r="G7" s="18"/>
      <c r="H7" s="19"/>
      <c r="I7" s="106"/>
      <c r="J7" s="107"/>
      <c r="K7" s="107"/>
      <c r="L7" s="107"/>
      <c r="M7" s="107"/>
      <c r="N7" s="107"/>
      <c r="O7" s="107"/>
      <c r="P7" s="107"/>
      <c r="Q7" s="107"/>
      <c r="R7" s="107"/>
      <c r="S7" s="107"/>
      <c r="T7" s="107"/>
      <c r="U7" s="107"/>
      <c r="V7" s="107"/>
      <c r="W7" s="107"/>
      <c r="X7" s="107"/>
      <c r="Y7" s="107"/>
      <c r="Z7" s="107"/>
      <c r="AA7" s="107"/>
      <c r="AB7" s="107"/>
      <c r="AC7" s="55"/>
      <c r="AD7" s="56"/>
      <c r="AE7" s="56"/>
      <c r="AF7" s="57"/>
      <c r="AG7" s="106"/>
      <c r="AH7" s="107"/>
      <c r="AI7" s="107"/>
      <c r="AJ7" s="107"/>
      <c r="AK7" s="107"/>
      <c r="AL7" s="107"/>
      <c r="AM7" s="107"/>
      <c r="AN7" s="107"/>
      <c r="AO7" s="107"/>
      <c r="AP7" s="107"/>
      <c r="AQ7" s="107"/>
      <c r="AR7" s="107"/>
      <c r="AS7" s="107"/>
      <c r="AT7" s="107"/>
      <c r="AU7" s="107"/>
      <c r="AV7" s="107"/>
      <c r="AW7" s="107"/>
      <c r="AX7" s="107"/>
      <c r="AY7" s="107"/>
      <c r="AZ7" s="107"/>
      <c r="BA7" s="55"/>
      <c r="BB7" s="56"/>
      <c r="BC7" s="56"/>
      <c r="BD7" s="57"/>
      <c r="BE7" s="106"/>
      <c r="BF7" s="107"/>
      <c r="BG7" s="107"/>
      <c r="BH7" s="107"/>
      <c r="BI7" s="107"/>
      <c r="BJ7" s="107"/>
      <c r="BK7" s="107"/>
      <c r="BL7" s="107"/>
      <c r="BM7" s="107"/>
      <c r="BN7" s="107"/>
      <c r="BO7" s="107"/>
      <c r="BP7" s="107"/>
      <c r="BQ7" s="107"/>
      <c r="BR7" s="107"/>
      <c r="BS7" s="107"/>
      <c r="BT7" s="107"/>
      <c r="BU7" s="107"/>
      <c r="BV7" s="107"/>
      <c r="BW7" s="107"/>
      <c r="BX7" s="107"/>
      <c r="BY7" s="55"/>
      <c r="BZ7" s="56"/>
      <c r="CA7" s="56"/>
      <c r="CB7" s="57"/>
      <c r="CC7" s="106"/>
      <c r="CD7" s="107"/>
      <c r="CE7" s="107"/>
      <c r="CF7" s="107"/>
      <c r="CG7" s="107"/>
      <c r="CH7" s="107"/>
      <c r="CI7" s="107"/>
      <c r="CJ7" s="107"/>
      <c r="CK7" s="107"/>
      <c r="CL7" s="107"/>
      <c r="CM7" s="107"/>
      <c r="CN7" s="107"/>
      <c r="CO7" s="107"/>
      <c r="CP7" s="107"/>
      <c r="CQ7" s="107"/>
      <c r="CR7" s="107"/>
      <c r="CS7" s="107"/>
      <c r="CT7" s="107"/>
      <c r="CU7" s="107"/>
      <c r="CV7" s="107"/>
      <c r="CW7" s="55"/>
      <c r="CX7" s="56"/>
      <c r="CY7" s="56"/>
      <c r="CZ7" s="57"/>
      <c r="DA7" s="106"/>
      <c r="DB7" s="107"/>
      <c r="DC7" s="107"/>
      <c r="DD7" s="107"/>
      <c r="DE7" s="107"/>
      <c r="DF7" s="107"/>
      <c r="DG7" s="107"/>
      <c r="DH7" s="107"/>
      <c r="DI7" s="107"/>
      <c r="DJ7" s="107"/>
      <c r="DK7" s="107"/>
      <c r="DL7" s="107"/>
      <c r="DM7" s="107"/>
      <c r="DN7" s="107"/>
      <c r="DO7" s="107"/>
      <c r="DP7" s="107"/>
      <c r="DQ7" s="107"/>
      <c r="DR7" s="107"/>
      <c r="DS7" s="107"/>
      <c r="DT7" s="107"/>
      <c r="DU7" s="16"/>
      <c r="DV7" s="110"/>
      <c r="DW7" s="111"/>
      <c r="DX7" s="112"/>
      <c r="DY7" s="20"/>
      <c r="EB7"/>
      <c r="EC7"/>
      <c r="ED7"/>
      <c r="EE7"/>
      <c r="EF7"/>
      <c r="EG7"/>
      <c r="EH7"/>
      <c r="EI7"/>
      <c r="EJ7"/>
      <c r="EK7"/>
      <c r="EL7"/>
      <c r="EM7"/>
      <c r="EN7"/>
      <c r="EO7"/>
      <c r="EZ7"/>
      <c r="FA7"/>
    </row>
    <row r="8" spans="2:175" ht="15" customHeight="1" x14ac:dyDescent="0.25">
      <c r="B8" s="68"/>
      <c r="C8" s="113"/>
      <c r="E8" s="114"/>
      <c r="F8" s="115"/>
      <c r="G8" s="115"/>
      <c r="H8" s="116"/>
      <c r="I8" s="108"/>
      <c r="J8" s="109"/>
      <c r="K8" s="109"/>
      <c r="L8" s="109"/>
      <c r="M8" s="109"/>
      <c r="N8" s="109"/>
      <c r="O8" s="109"/>
      <c r="P8" s="109"/>
      <c r="Q8" s="109"/>
      <c r="R8" s="109"/>
      <c r="S8" s="109"/>
      <c r="T8" s="109"/>
      <c r="U8" s="109"/>
      <c r="V8" s="109"/>
      <c r="W8" s="109"/>
      <c r="X8" s="109"/>
      <c r="Y8" s="109"/>
      <c r="Z8" s="109"/>
      <c r="AA8" s="109"/>
      <c r="AB8" s="109"/>
      <c r="AC8" s="96">
        <v>1</v>
      </c>
      <c r="AD8" s="97"/>
      <c r="AE8" s="97"/>
      <c r="AF8" s="98"/>
      <c r="AG8" s="108"/>
      <c r="AH8" s="109"/>
      <c r="AI8" s="109"/>
      <c r="AJ8" s="109"/>
      <c r="AK8" s="109"/>
      <c r="AL8" s="109"/>
      <c r="AM8" s="109"/>
      <c r="AN8" s="109"/>
      <c r="AO8" s="109"/>
      <c r="AP8" s="109"/>
      <c r="AQ8" s="109"/>
      <c r="AR8" s="109"/>
      <c r="AS8" s="109"/>
      <c r="AT8" s="109"/>
      <c r="AU8" s="109"/>
      <c r="AV8" s="109"/>
      <c r="AW8" s="109"/>
      <c r="AX8" s="109"/>
      <c r="AY8" s="109"/>
      <c r="AZ8" s="109"/>
      <c r="BA8" s="96">
        <v>2</v>
      </c>
      <c r="BB8" s="97"/>
      <c r="BC8" s="97"/>
      <c r="BD8" s="98"/>
      <c r="BE8" s="108"/>
      <c r="BF8" s="109"/>
      <c r="BG8" s="109"/>
      <c r="BH8" s="109"/>
      <c r="BI8" s="109"/>
      <c r="BJ8" s="109"/>
      <c r="BK8" s="109"/>
      <c r="BL8" s="109"/>
      <c r="BM8" s="109"/>
      <c r="BN8" s="109"/>
      <c r="BO8" s="109"/>
      <c r="BP8" s="109"/>
      <c r="BQ8" s="109"/>
      <c r="BR8" s="109"/>
      <c r="BS8" s="109"/>
      <c r="BT8" s="109"/>
      <c r="BU8" s="109"/>
      <c r="BV8" s="109"/>
      <c r="BW8" s="109"/>
      <c r="BX8" s="109"/>
      <c r="BY8" s="96">
        <v>3</v>
      </c>
      <c r="BZ8" s="97"/>
      <c r="CA8" s="97"/>
      <c r="CB8" s="98"/>
      <c r="CC8" s="108"/>
      <c r="CD8" s="109"/>
      <c r="CE8" s="109"/>
      <c r="CF8" s="109"/>
      <c r="CG8" s="109"/>
      <c r="CH8" s="109"/>
      <c r="CI8" s="109"/>
      <c r="CJ8" s="109"/>
      <c r="CK8" s="109"/>
      <c r="CL8" s="109"/>
      <c r="CM8" s="109"/>
      <c r="CN8" s="109"/>
      <c r="CO8" s="109"/>
      <c r="CP8" s="109"/>
      <c r="CQ8" s="109"/>
      <c r="CR8" s="109"/>
      <c r="CS8" s="109"/>
      <c r="CT8" s="109"/>
      <c r="CU8" s="109"/>
      <c r="CV8" s="109"/>
      <c r="CW8" s="96">
        <v>4</v>
      </c>
      <c r="CX8" s="97"/>
      <c r="CY8" s="97"/>
      <c r="CZ8" s="98"/>
      <c r="DA8" s="108"/>
      <c r="DB8" s="109"/>
      <c r="DC8" s="109"/>
      <c r="DD8" s="109"/>
      <c r="DE8" s="109"/>
      <c r="DF8" s="109"/>
      <c r="DG8" s="109"/>
      <c r="DH8" s="109"/>
      <c r="DI8" s="109"/>
      <c r="DJ8" s="109"/>
      <c r="DK8" s="109"/>
      <c r="DL8" s="109"/>
      <c r="DM8" s="109"/>
      <c r="DN8" s="109"/>
      <c r="DO8" s="109"/>
      <c r="DP8" s="109"/>
      <c r="DQ8" s="109"/>
      <c r="DR8" s="109"/>
      <c r="DS8" s="109"/>
      <c r="DT8" s="109"/>
      <c r="DU8" s="21"/>
      <c r="DV8" s="110"/>
      <c r="DW8" s="111"/>
      <c r="DX8" s="112"/>
      <c r="DY8" s="20"/>
      <c r="EB8"/>
      <c r="EC8"/>
      <c r="ED8"/>
      <c r="EE8"/>
      <c r="EF8"/>
      <c r="EG8"/>
      <c r="EH8"/>
      <c r="EI8"/>
      <c r="EJ8"/>
      <c r="EK8"/>
      <c r="EL8"/>
      <c r="EM8"/>
      <c r="EN8"/>
      <c r="EO8"/>
      <c r="EZ8"/>
      <c r="FA8"/>
    </row>
    <row r="9" spans="2:175" ht="5.0999999999999996" customHeight="1" x14ac:dyDescent="0.25">
      <c r="D9" s="22"/>
      <c r="J9" s="5"/>
      <c r="CT9" s="5"/>
      <c r="DX9" s="23"/>
      <c r="EB9"/>
      <c r="EC9"/>
      <c r="ED9"/>
      <c r="EE9"/>
      <c r="EF9"/>
      <c r="EG9"/>
      <c r="EH9"/>
      <c r="EI9"/>
      <c r="EJ9"/>
      <c r="EK9"/>
      <c r="EL9"/>
      <c r="EM9"/>
      <c r="EN9"/>
      <c r="EO9"/>
    </row>
    <row r="10" spans="2:175" ht="20.100000000000001" customHeight="1" x14ac:dyDescent="0.25">
      <c r="B10" s="99" t="s">
        <v>16</v>
      </c>
      <c r="C10" s="99"/>
      <c r="E10" s="100" t="s">
        <v>17</v>
      </c>
      <c r="F10" s="100"/>
      <c r="G10" s="100"/>
      <c r="H10" s="100"/>
      <c r="I10" s="100"/>
      <c r="J10" s="100"/>
      <c r="K10" s="100"/>
      <c r="L10" s="100"/>
      <c r="M10" s="100"/>
      <c r="N10" s="100"/>
      <c r="O10" s="100"/>
      <c r="P10" s="100"/>
      <c r="Q10" s="100"/>
      <c r="R10" s="100"/>
      <c r="S10" s="100"/>
      <c r="T10" s="100"/>
      <c r="U10" s="100"/>
      <c r="V10" s="100"/>
      <c r="W10" s="100"/>
      <c r="X10" s="100"/>
      <c r="Y10" s="100"/>
      <c r="Z10" s="100"/>
      <c r="AA10" s="100"/>
      <c r="AB10" s="100"/>
      <c r="AC10" s="100"/>
      <c r="AD10" s="100"/>
      <c r="AE10" s="100"/>
      <c r="AF10" s="100"/>
      <c r="AG10" s="100"/>
      <c r="AH10" s="100"/>
      <c r="AI10" s="100"/>
      <c r="AJ10" s="100"/>
      <c r="AK10" s="100"/>
      <c r="AL10" s="100"/>
      <c r="AM10" s="100"/>
      <c r="AN10" s="100"/>
      <c r="AO10" s="100"/>
      <c r="AP10" s="100"/>
      <c r="AQ10" s="100"/>
      <c r="AR10" s="100"/>
      <c r="AS10" s="100"/>
      <c r="AT10" s="100"/>
      <c r="AU10" s="100"/>
      <c r="AV10" s="100"/>
      <c r="AW10" s="100"/>
      <c r="AX10" s="100"/>
      <c r="AY10" s="100"/>
      <c r="AZ10" s="100"/>
      <c r="BA10" s="100"/>
      <c r="BB10" s="100"/>
      <c r="BC10" s="100"/>
      <c r="BD10" s="100"/>
      <c r="BE10" s="100"/>
      <c r="BF10" s="100"/>
      <c r="BG10" s="100"/>
      <c r="BH10" s="100"/>
      <c r="BI10" s="100"/>
      <c r="BJ10" s="100"/>
      <c r="BK10" s="100"/>
      <c r="BL10" s="100"/>
      <c r="BM10" s="100"/>
      <c r="BN10" s="100"/>
      <c r="BO10" s="100"/>
      <c r="BP10" s="100"/>
      <c r="BQ10" s="100"/>
      <c r="BR10" s="100"/>
      <c r="BS10" s="100"/>
      <c r="BT10" s="100"/>
      <c r="BU10" s="100"/>
      <c r="BV10" s="100"/>
      <c r="BW10" s="100"/>
      <c r="BX10" s="100"/>
      <c r="BY10" s="100"/>
      <c r="BZ10" s="100"/>
      <c r="CA10" s="100"/>
      <c r="CB10" s="100"/>
      <c r="CC10" s="100"/>
      <c r="CD10" s="100"/>
      <c r="CE10" s="100"/>
      <c r="CF10" s="100"/>
      <c r="CG10" s="100"/>
      <c r="CH10" s="100"/>
      <c r="CI10" s="100"/>
      <c r="CJ10" s="100"/>
      <c r="CK10" s="100"/>
      <c r="CL10" s="100"/>
      <c r="CM10" s="100"/>
      <c r="CN10" s="100"/>
      <c r="CO10" s="100" t="s">
        <v>17</v>
      </c>
      <c r="CP10" s="100"/>
      <c r="CQ10" s="100"/>
      <c r="CR10" s="100"/>
      <c r="CS10" s="100"/>
      <c r="CT10" s="100"/>
      <c r="CU10" s="100"/>
      <c r="CV10" s="100"/>
      <c r="CW10" s="100"/>
      <c r="CX10" s="100"/>
      <c r="CY10" s="100"/>
      <c r="CZ10" s="100"/>
      <c r="DA10" s="100"/>
      <c r="DB10" s="100"/>
      <c r="DC10" s="100"/>
      <c r="DD10" s="100"/>
      <c r="DE10" s="100"/>
      <c r="DF10" s="100"/>
      <c r="DG10" s="100"/>
      <c r="DH10" s="100"/>
      <c r="DI10" s="100"/>
      <c r="DJ10" s="100"/>
      <c r="DK10" s="100"/>
      <c r="DL10" s="100"/>
      <c r="DM10" s="100"/>
      <c r="DN10" s="100"/>
      <c r="DO10" s="100"/>
      <c r="DP10" s="100"/>
      <c r="DQ10" s="100"/>
      <c r="DR10" s="100"/>
      <c r="DS10" s="100"/>
      <c r="DT10" s="100"/>
      <c r="DU10" s="8"/>
      <c r="DV10" s="101" t="s">
        <v>18</v>
      </c>
      <c r="DW10" s="101" t="s">
        <v>19</v>
      </c>
      <c r="DX10" s="93" t="s">
        <v>20</v>
      </c>
      <c r="DY10" s="24"/>
      <c r="EB10"/>
      <c r="EC10"/>
      <c r="ED10"/>
      <c r="EE10"/>
      <c r="EF10"/>
      <c r="EG10"/>
      <c r="EH10"/>
      <c r="EI10"/>
      <c r="EJ10"/>
      <c r="EK10"/>
      <c r="EL10"/>
      <c r="EM10"/>
      <c r="EN10"/>
      <c r="EO10"/>
      <c r="EZ10"/>
      <c r="FA10"/>
    </row>
    <row r="11" spans="2:175" ht="34.15" customHeight="1" x14ac:dyDescent="0.25">
      <c r="B11" s="99"/>
      <c r="C11" s="99"/>
      <c r="D11" s="8"/>
      <c r="E11" s="85" t="s">
        <v>21</v>
      </c>
      <c r="F11" s="85"/>
      <c r="G11" s="85"/>
      <c r="H11" s="85"/>
      <c r="I11" s="85" t="s">
        <v>22</v>
      </c>
      <c r="J11" s="85"/>
      <c r="K11" s="85"/>
      <c r="L11" s="85"/>
      <c r="M11" s="85" t="s">
        <v>23</v>
      </c>
      <c r="N11" s="85"/>
      <c r="O11" s="85"/>
      <c r="P11" s="85"/>
      <c r="Q11" s="85" t="s">
        <v>24</v>
      </c>
      <c r="R11" s="85"/>
      <c r="S11" s="85"/>
      <c r="T11" s="85"/>
      <c r="U11" s="85" t="s">
        <v>25</v>
      </c>
      <c r="V11" s="85"/>
      <c r="W11" s="85"/>
      <c r="X11" s="85"/>
      <c r="Y11" s="85" t="s">
        <v>26</v>
      </c>
      <c r="Z11" s="85"/>
      <c r="AA11" s="85"/>
      <c r="AB11" s="85"/>
      <c r="AC11" s="87" t="s">
        <v>27</v>
      </c>
      <c r="AD11" s="88"/>
      <c r="AE11" s="88"/>
      <c r="AF11" s="89"/>
      <c r="AG11" s="87" t="s">
        <v>28</v>
      </c>
      <c r="AH11" s="88"/>
      <c r="AI11" s="88"/>
      <c r="AJ11" s="89"/>
      <c r="AK11" s="87" t="s">
        <v>29</v>
      </c>
      <c r="AL11" s="88"/>
      <c r="AM11" s="88"/>
      <c r="AN11" s="89"/>
      <c r="AO11" s="87" t="s">
        <v>30</v>
      </c>
      <c r="AP11" s="88"/>
      <c r="AQ11" s="88"/>
      <c r="AR11" s="89"/>
      <c r="AS11" s="87" t="s">
        <v>31</v>
      </c>
      <c r="AT11" s="88"/>
      <c r="AU11" s="88"/>
      <c r="AV11" s="89"/>
      <c r="AW11" s="87" t="s">
        <v>32</v>
      </c>
      <c r="AX11" s="88"/>
      <c r="AY11" s="88"/>
      <c r="AZ11" s="89"/>
      <c r="BA11" s="87" t="s">
        <v>33</v>
      </c>
      <c r="BB11" s="88"/>
      <c r="BC11" s="88"/>
      <c r="BD11" s="89"/>
      <c r="BE11" s="87" t="s">
        <v>34</v>
      </c>
      <c r="BF11" s="88"/>
      <c r="BG11" s="88"/>
      <c r="BH11" s="89"/>
      <c r="BI11" s="87" t="s">
        <v>35</v>
      </c>
      <c r="BJ11" s="88"/>
      <c r="BK11" s="88"/>
      <c r="BL11" s="89"/>
      <c r="BM11" s="87" t="s">
        <v>36</v>
      </c>
      <c r="BN11" s="88"/>
      <c r="BO11" s="88"/>
      <c r="BP11" s="89"/>
      <c r="BQ11" s="87" t="s">
        <v>37</v>
      </c>
      <c r="BR11" s="88"/>
      <c r="BS11" s="88"/>
      <c r="BT11" s="89"/>
      <c r="BU11" s="87" t="s">
        <v>38</v>
      </c>
      <c r="BV11" s="88"/>
      <c r="BW11" s="88"/>
      <c r="BX11" s="89"/>
      <c r="BY11" s="87" t="s">
        <v>39</v>
      </c>
      <c r="BZ11" s="88"/>
      <c r="CA11" s="88"/>
      <c r="CB11" s="89"/>
      <c r="CC11" s="87" t="s">
        <v>40</v>
      </c>
      <c r="CD11" s="88"/>
      <c r="CE11" s="88"/>
      <c r="CF11" s="89"/>
      <c r="CG11" s="85" t="s">
        <v>41</v>
      </c>
      <c r="CH11" s="85"/>
      <c r="CI11" s="85"/>
      <c r="CJ11" s="85"/>
      <c r="CK11" s="85" t="s">
        <v>42</v>
      </c>
      <c r="CL11" s="85"/>
      <c r="CM11" s="85"/>
      <c r="CN11" s="85"/>
      <c r="CO11" s="85" t="s">
        <v>43</v>
      </c>
      <c r="CP11" s="85"/>
      <c r="CQ11" s="85"/>
      <c r="CR11" s="85"/>
      <c r="CS11" s="85" t="s">
        <v>44</v>
      </c>
      <c r="CT11" s="85"/>
      <c r="CU11" s="85"/>
      <c r="CV11" s="85"/>
      <c r="CW11" s="85" t="s">
        <v>45</v>
      </c>
      <c r="CX11" s="85"/>
      <c r="CY11" s="85"/>
      <c r="CZ11" s="85"/>
      <c r="DA11" s="85" t="s">
        <v>46</v>
      </c>
      <c r="DB11" s="85"/>
      <c r="DC11" s="85"/>
      <c r="DD11" s="85"/>
      <c r="DE11" s="87" t="s">
        <v>47</v>
      </c>
      <c r="DF11" s="88"/>
      <c r="DG11" s="88"/>
      <c r="DH11" s="89"/>
      <c r="DI11" s="87" t="s">
        <v>48</v>
      </c>
      <c r="DJ11" s="88"/>
      <c r="DK11" s="88"/>
      <c r="DL11" s="89"/>
      <c r="DM11" s="85" t="s">
        <v>49</v>
      </c>
      <c r="DN11" s="85"/>
      <c r="DO11" s="85"/>
      <c r="DP11" s="85"/>
      <c r="DQ11" s="85"/>
      <c r="DR11" s="85"/>
      <c r="DS11" s="85"/>
      <c r="DT11" s="85"/>
      <c r="DU11" s="25"/>
      <c r="DV11" s="102"/>
      <c r="DW11" s="102"/>
      <c r="DX11" s="94"/>
      <c r="DY11" s="26"/>
      <c r="EC11"/>
      <c r="ED11"/>
      <c r="EE11"/>
      <c r="EF11"/>
      <c r="EG11"/>
      <c r="EH11"/>
      <c r="EI11"/>
      <c r="EJ11"/>
      <c r="EK11"/>
      <c r="EL11"/>
      <c r="EM11"/>
      <c r="EN11"/>
      <c r="EO11"/>
      <c r="EZ11"/>
      <c r="FA11"/>
    </row>
    <row r="12" spans="2:175" ht="34.15" customHeight="1" x14ac:dyDescent="0.25">
      <c r="B12" s="99"/>
      <c r="C12" s="99"/>
      <c r="D12" s="8"/>
      <c r="E12" s="86"/>
      <c r="F12" s="86"/>
      <c r="G12" s="86"/>
      <c r="H12" s="86"/>
      <c r="I12" s="86"/>
      <c r="J12" s="86"/>
      <c r="K12" s="86"/>
      <c r="L12" s="86"/>
      <c r="M12" s="86"/>
      <c r="N12" s="86"/>
      <c r="O12" s="86"/>
      <c r="P12" s="86"/>
      <c r="Q12" s="86"/>
      <c r="R12" s="86"/>
      <c r="S12" s="86"/>
      <c r="T12" s="86"/>
      <c r="U12" s="86"/>
      <c r="V12" s="86"/>
      <c r="W12" s="86"/>
      <c r="X12" s="86"/>
      <c r="Y12" s="86"/>
      <c r="Z12" s="86"/>
      <c r="AA12" s="86"/>
      <c r="AB12" s="86"/>
      <c r="AC12" s="90"/>
      <c r="AD12" s="91"/>
      <c r="AE12" s="91"/>
      <c r="AF12" s="92"/>
      <c r="AG12" s="90"/>
      <c r="AH12" s="91"/>
      <c r="AI12" s="91"/>
      <c r="AJ12" s="92"/>
      <c r="AK12" s="90"/>
      <c r="AL12" s="91"/>
      <c r="AM12" s="91"/>
      <c r="AN12" s="92"/>
      <c r="AO12" s="90"/>
      <c r="AP12" s="91"/>
      <c r="AQ12" s="91"/>
      <c r="AR12" s="92"/>
      <c r="AS12" s="90"/>
      <c r="AT12" s="91"/>
      <c r="AU12" s="91"/>
      <c r="AV12" s="92"/>
      <c r="AW12" s="90"/>
      <c r="AX12" s="91"/>
      <c r="AY12" s="91"/>
      <c r="AZ12" s="92"/>
      <c r="BA12" s="90"/>
      <c r="BB12" s="91"/>
      <c r="BC12" s="91"/>
      <c r="BD12" s="92"/>
      <c r="BE12" s="90"/>
      <c r="BF12" s="91"/>
      <c r="BG12" s="91"/>
      <c r="BH12" s="92"/>
      <c r="BI12" s="90"/>
      <c r="BJ12" s="91"/>
      <c r="BK12" s="91"/>
      <c r="BL12" s="92"/>
      <c r="BM12" s="90"/>
      <c r="BN12" s="91"/>
      <c r="BO12" s="91"/>
      <c r="BP12" s="92"/>
      <c r="BQ12" s="90"/>
      <c r="BR12" s="91"/>
      <c r="BS12" s="91"/>
      <c r="BT12" s="92"/>
      <c r="BU12" s="90"/>
      <c r="BV12" s="91"/>
      <c r="BW12" s="91"/>
      <c r="BX12" s="92"/>
      <c r="BY12" s="90"/>
      <c r="BZ12" s="91"/>
      <c r="CA12" s="91"/>
      <c r="CB12" s="92"/>
      <c r="CC12" s="90"/>
      <c r="CD12" s="91"/>
      <c r="CE12" s="91"/>
      <c r="CF12" s="92"/>
      <c r="CG12" s="86"/>
      <c r="CH12" s="86"/>
      <c r="CI12" s="86"/>
      <c r="CJ12" s="86"/>
      <c r="CK12" s="86"/>
      <c r="CL12" s="86"/>
      <c r="CM12" s="86"/>
      <c r="CN12" s="86"/>
      <c r="CO12" s="86"/>
      <c r="CP12" s="86"/>
      <c r="CQ12" s="86"/>
      <c r="CR12" s="86"/>
      <c r="CS12" s="86"/>
      <c r="CT12" s="86"/>
      <c r="CU12" s="86"/>
      <c r="CV12" s="86"/>
      <c r="CW12" s="86"/>
      <c r="CX12" s="86"/>
      <c r="CY12" s="86"/>
      <c r="CZ12" s="86"/>
      <c r="DA12" s="86"/>
      <c r="DB12" s="86"/>
      <c r="DC12" s="86"/>
      <c r="DD12" s="86"/>
      <c r="DE12" s="90"/>
      <c r="DF12" s="91"/>
      <c r="DG12" s="91"/>
      <c r="DH12" s="92"/>
      <c r="DI12" s="90"/>
      <c r="DJ12" s="91"/>
      <c r="DK12" s="91"/>
      <c r="DL12" s="92"/>
      <c r="DM12" s="86"/>
      <c r="DN12" s="86"/>
      <c r="DO12" s="86"/>
      <c r="DP12" s="86"/>
      <c r="DQ12" s="86"/>
      <c r="DR12" s="86"/>
      <c r="DS12" s="86"/>
      <c r="DT12" s="86"/>
      <c r="DU12" s="25"/>
      <c r="DV12" s="103"/>
      <c r="DW12" s="103"/>
      <c r="DX12" s="95"/>
      <c r="DY12" s="5"/>
      <c r="EC12"/>
      <c r="ED12"/>
      <c r="EE12"/>
      <c r="EF12"/>
      <c r="EG12"/>
      <c r="EH12"/>
      <c r="EI12"/>
      <c r="EJ12"/>
      <c r="EK12"/>
      <c r="EL12"/>
      <c r="EM12"/>
      <c r="EN12"/>
      <c r="EO12"/>
      <c r="EZ12"/>
      <c r="FA12"/>
    </row>
    <row r="13" spans="2:175" ht="6" customHeight="1" x14ac:dyDescent="0.25">
      <c r="B13" s="84" t="s">
        <v>50</v>
      </c>
      <c r="C13" s="84"/>
      <c r="D13" s="27"/>
      <c r="E13" s="28"/>
      <c r="F13" s="29"/>
      <c r="G13" s="29"/>
      <c r="H13" s="30"/>
      <c r="I13" s="28"/>
      <c r="J13" s="29"/>
      <c r="K13" s="29"/>
      <c r="L13" s="30"/>
      <c r="M13" s="28"/>
      <c r="N13" s="29"/>
      <c r="O13" s="29"/>
      <c r="P13" s="30"/>
      <c r="Q13" s="28"/>
      <c r="R13" s="29"/>
      <c r="S13" s="29"/>
      <c r="T13" s="30"/>
      <c r="U13" s="28"/>
      <c r="V13" s="29"/>
      <c r="W13" s="29"/>
      <c r="X13" s="30"/>
      <c r="Y13" s="28"/>
      <c r="Z13" s="29"/>
      <c r="AA13" s="29"/>
      <c r="AB13" s="30"/>
      <c r="AC13" s="28"/>
      <c r="AD13" s="29"/>
      <c r="AE13" s="29"/>
      <c r="AF13" s="30"/>
      <c r="AG13" s="28"/>
      <c r="AH13" s="29"/>
      <c r="AI13" s="29"/>
      <c r="AJ13" s="30"/>
      <c r="AK13" s="28"/>
      <c r="AL13" s="29"/>
      <c r="AM13" s="29"/>
      <c r="AN13" s="30"/>
      <c r="AO13" s="28"/>
      <c r="AP13" s="29"/>
      <c r="AQ13" s="29"/>
      <c r="AR13" s="30"/>
      <c r="AS13" s="28"/>
      <c r="AT13" s="29"/>
      <c r="AU13" s="29"/>
      <c r="AV13" s="30"/>
      <c r="AW13" s="28"/>
      <c r="AX13" s="29"/>
      <c r="AY13" s="29"/>
      <c r="AZ13" s="30"/>
      <c r="BA13" s="28"/>
      <c r="BB13" s="29"/>
      <c r="BC13" s="29"/>
      <c r="BD13" s="30"/>
      <c r="BE13" s="28"/>
      <c r="BF13" s="29"/>
      <c r="BG13" s="29"/>
      <c r="BH13" s="30"/>
      <c r="BI13" s="28"/>
      <c r="BJ13" s="29"/>
      <c r="BK13" s="29"/>
      <c r="BL13" s="30"/>
      <c r="BM13" s="28"/>
      <c r="BN13" s="29"/>
      <c r="BO13" s="29"/>
      <c r="BP13" s="30"/>
      <c r="BQ13" s="28"/>
      <c r="BR13" s="29"/>
      <c r="BS13" s="29"/>
      <c r="BT13" s="30"/>
      <c r="BU13" s="28"/>
      <c r="BV13" s="29"/>
      <c r="BW13" s="29"/>
      <c r="BX13" s="30"/>
      <c r="BY13" s="28"/>
      <c r="BZ13" s="29"/>
      <c r="CA13" s="29"/>
      <c r="CB13" s="30"/>
      <c r="CC13" s="28"/>
      <c r="CD13" s="29"/>
      <c r="CE13" s="29"/>
      <c r="CF13" s="30"/>
      <c r="CG13" s="28"/>
      <c r="CH13" s="29"/>
      <c r="CI13" s="29"/>
      <c r="CJ13" s="30"/>
      <c r="CK13" s="28"/>
      <c r="CL13" s="29"/>
      <c r="CM13" s="29"/>
      <c r="CN13" s="30"/>
      <c r="CO13" s="28"/>
      <c r="CP13" s="29"/>
      <c r="CQ13" s="29"/>
      <c r="CR13" s="30"/>
      <c r="CS13" s="28"/>
      <c r="CT13" s="29"/>
      <c r="CU13" s="29"/>
      <c r="CV13" s="30"/>
      <c r="CW13" s="28"/>
      <c r="CX13" s="29"/>
      <c r="CY13" s="29"/>
      <c r="CZ13" s="30"/>
      <c r="DA13" s="28"/>
      <c r="DB13" s="29"/>
      <c r="DC13" s="29"/>
      <c r="DD13" s="30"/>
      <c r="DE13" s="28"/>
      <c r="DF13" s="29"/>
      <c r="DG13" s="29"/>
      <c r="DH13" s="30"/>
      <c r="DI13" s="28"/>
      <c r="DJ13" s="29"/>
      <c r="DK13" s="29"/>
      <c r="DL13" s="30"/>
      <c r="DM13" s="28"/>
      <c r="DN13" s="29"/>
      <c r="DO13" s="29"/>
      <c r="DP13" s="30"/>
      <c r="DQ13" s="28"/>
      <c r="DR13" s="29"/>
      <c r="DS13" s="29"/>
      <c r="DT13" s="30"/>
      <c r="DV13" s="31"/>
      <c r="DW13" s="32"/>
      <c r="DX13" s="83">
        <f>IF(ISBLANK(B13),"",IF(DW14&gt;=DV14,3,IF(DW14=(DV14-1),2,1)))</f>
        <v>3</v>
      </c>
      <c r="DY13" s="5"/>
      <c r="EC13"/>
      <c r="ED13"/>
      <c r="EE13"/>
      <c r="EF13"/>
      <c r="EG13"/>
      <c r="EH13"/>
      <c r="EI13"/>
      <c r="EJ13"/>
      <c r="EK13"/>
      <c r="EL13"/>
      <c r="EM13"/>
      <c r="EN13"/>
      <c r="EO13"/>
      <c r="EZ13"/>
      <c r="FA13"/>
    </row>
    <row r="14" spans="2:175" ht="15" customHeight="1" x14ac:dyDescent="0.25">
      <c r="B14" s="84"/>
      <c r="C14" s="84"/>
      <c r="D14" s="27"/>
      <c r="E14" s="33"/>
      <c r="F14" s="34"/>
      <c r="G14" s="34"/>
      <c r="H14" s="35"/>
      <c r="I14" s="33"/>
      <c r="J14" s="34"/>
      <c r="K14" s="34"/>
      <c r="L14" s="35"/>
      <c r="M14" s="33"/>
      <c r="N14" s="34"/>
      <c r="O14" s="34"/>
      <c r="P14" s="35"/>
      <c r="Q14" s="33"/>
      <c r="R14" s="34"/>
      <c r="S14" s="34"/>
      <c r="T14" s="35"/>
      <c r="U14" s="33"/>
      <c r="V14" s="34"/>
      <c r="W14" s="34"/>
      <c r="X14" s="35"/>
      <c r="Y14" s="33"/>
      <c r="Z14" s="34"/>
      <c r="AA14" s="34"/>
      <c r="AB14" s="35"/>
      <c r="AC14" s="33"/>
      <c r="AD14" s="34"/>
      <c r="AE14" s="34"/>
      <c r="AF14" s="35"/>
      <c r="AG14" s="33"/>
      <c r="AH14" s="34"/>
      <c r="AI14" s="34"/>
      <c r="AJ14" s="35"/>
      <c r="AK14" s="33"/>
      <c r="AL14" s="34"/>
      <c r="AM14" s="34"/>
      <c r="AN14" s="35"/>
      <c r="AO14" s="33"/>
      <c r="AP14" s="34"/>
      <c r="AQ14" s="34"/>
      <c r="AR14" s="35"/>
      <c r="AS14" s="33"/>
      <c r="AT14" s="34"/>
      <c r="AU14" s="34"/>
      <c r="AV14" s="35"/>
      <c r="AW14" s="33"/>
      <c r="AX14" s="34"/>
      <c r="AY14" s="34"/>
      <c r="AZ14" s="35"/>
      <c r="BA14" s="33"/>
      <c r="BB14" s="34"/>
      <c r="BC14" s="34"/>
      <c r="BD14" s="35"/>
      <c r="BE14" s="33"/>
      <c r="BF14" s="34"/>
      <c r="BG14" s="34"/>
      <c r="BH14" s="35"/>
      <c r="BI14" s="33"/>
      <c r="BJ14" s="34"/>
      <c r="BK14" s="34"/>
      <c r="BL14" s="35"/>
      <c r="BM14" s="33"/>
      <c r="BN14" s="34"/>
      <c r="BO14" s="34"/>
      <c r="BP14" s="35"/>
      <c r="BQ14" s="33"/>
      <c r="BR14" s="34"/>
      <c r="BS14" s="34"/>
      <c r="BT14" s="35"/>
      <c r="BU14" s="33"/>
      <c r="BV14" s="34"/>
      <c r="BW14" s="34"/>
      <c r="BX14" s="35"/>
      <c r="BY14" s="33"/>
      <c r="BZ14" s="34"/>
      <c r="CA14" s="34"/>
      <c r="CB14" s="35"/>
      <c r="CC14" s="33"/>
      <c r="CD14" s="34"/>
      <c r="CE14" s="34"/>
      <c r="CF14" s="35"/>
      <c r="CG14" s="33"/>
      <c r="CH14" s="34"/>
      <c r="CI14" s="34"/>
      <c r="CJ14" s="35"/>
      <c r="CK14" s="33"/>
      <c r="CL14" s="34"/>
      <c r="CM14" s="34"/>
      <c r="CN14" s="35"/>
      <c r="CO14" s="33"/>
      <c r="CP14" s="34"/>
      <c r="CQ14" s="34"/>
      <c r="CR14" s="35"/>
      <c r="CS14" s="33"/>
      <c r="CT14" s="34"/>
      <c r="CU14" s="34"/>
      <c r="CV14" s="35"/>
      <c r="CW14" s="33"/>
      <c r="CX14" s="34"/>
      <c r="CY14" s="34"/>
      <c r="CZ14" s="35"/>
      <c r="DA14" s="33"/>
      <c r="DB14" s="34"/>
      <c r="DC14" s="34"/>
      <c r="DD14" s="35"/>
      <c r="DE14" s="33"/>
      <c r="DF14" s="34"/>
      <c r="DG14" s="34"/>
      <c r="DH14" s="35"/>
      <c r="DI14" s="33"/>
      <c r="DJ14" s="34"/>
      <c r="DK14" s="34"/>
      <c r="DL14" s="35"/>
      <c r="DM14" s="33"/>
      <c r="DN14" s="34"/>
      <c r="DO14" s="34"/>
      <c r="DP14" s="35"/>
      <c r="DQ14" s="33"/>
      <c r="DR14" s="34"/>
      <c r="DS14" s="34"/>
      <c r="DT14" s="35"/>
      <c r="DV14" s="36">
        <v>3</v>
      </c>
      <c r="DW14" s="37">
        <f>IF(ISBLANK(B13),"",COUNTIF(B16:DT16,"&gt;=3"))</f>
        <v>3</v>
      </c>
      <c r="DX14" s="83"/>
      <c r="DY14" s="20"/>
      <c r="EC14"/>
      <c r="ED14"/>
      <c r="EE14"/>
      <c r="EF14"/>
      <c r="EG14"/>
      <c r="EH14"/>
      <c r="EI14"/>
      <c r="EJ14"/>
      <c r="EK14"/>
      <c r="EL14"/>
      <c r="EM14"/>
      <c r="EN14"/>
      <c r="EO14"/>
      <c r="EZ14"/>
      <c r="FA14"/>
    </row>
    <row r="15" spans="2:175" ht="15" customHeight="1" x14ac:dyDescent="0.25">
      <c r="B15" s="84"/>
      <c r="C15" s="84"/>
      <c r="D15" s="27"/>
      <c r="E15" s="33"/>
      <c r="F15" s="34"/>
      <c r="G15" s="34"/>
      <c r="H15" s="35"/>
      <c r="I15" s="33"/>
      <c r="J15" s="34"/>
      <c r="K15" s="34"/>
      <c r="L15" s="35"/>
      <c r="M15" s="33"/>
      <c r="N15" s="34"/>
      <c r="O15" s="34"/>
      <c r="P15" s="35"/>
      <c r="Q15" s="33"/>
      <c r="R15" s="34"/>
      <c r="S15" s="34"/>
      <c r="T15" s="35"/>
      <c r="U15" s="33"/>
      <c r="V15" s="34"/>
      <c r="W15" s="34"/>
      <c r="X15" s="35"/>
      <c r="Y15" s="33"/>
      <c r="Z15" s="34"/>
      <c r="AA15" s="34"/>
      <c r="AB15" s="35"/>
      <c r="AC15" s="33"/>
      <c r="AD15" s="34"/>
      <c r="AE15" s="34"/>
      <c r="AF15" s="35"/>
      <c r="AG15" s="33"/>
      <c r="AH15" s="34"/>
      <c r="AI15" s="34"/>
      <c r="AJ15" s="35"/>
      <c r="AK15" s="33"/>
      <c r="AL15" s="34"/>
      <c r="AM15" s="34"/>
      <c r="AN15" s="35"/>
      <c r="AO15" s="33"/>
      <c r="AP15" s="34"/>
      <c r="AQ15" s="34"/>
      <c r="AR15" s="35"/>
      <c r="AS15" s="33"/>
      <c r="AT15" s="34"/>
      <c r="AU15" s="34"/>
      <c r="AV15" s="35"/>
      <c r="AW15" s="33"/>
      <c r="AX15" s="34"/>
      <c r="AY15" s="34"/>
      <c r="AZ15" s="35"/>
      <c r="BA15" s="33"/>
      <c r="BB15" s="34"/>
      <c r="BC15" s="34"/>
      <c r="BD15" s="35"/>
      <c r="BE15" s="33"/>
      <c r="BF15" s="34"/>
      <c r="BG15" s="34"/>
      <c r="BH15" s="35"/>
      <c r="BI15" s="33"/>
      <c r="BJ15" s="34"/>
      <c r="BK15" s="34"/>
      <c r="BL15" s="35"/>
      <c r="BM15" s="33"/>
      <c r="BN15" s="34"/>
      <c r="BO15" s="34"/>
      <c r="BP15" s="35"/>
      <c r="BQ15" s="33"/>
      <c r="BR15" s="34"/>
      <c r="BS15" s="34"/>
      <c r="BT15" s="35"/>
      <c r="BU15" s="33"/>
      <c r="BV15" s="34"/>
      <c r="BW15" s="34"/>
      <c r="BX15" s="35"/>
      <c r="BY15" s="33"/>
      <c r="BZ15" s="34"/>
      <c r="CA15" s="34"/>
      <c r="CB15" s="35"/>
      <c r="CC15" s="33"/>
      <c r="CD15" s="34"/>
      <c r="CE15" s="34"/>
      <c r="CF15" s="35"/>
      <c r="CG15" s="33"/>
      <c r="CH15" s="34"/>
      <c r="CI15" s="34"/>
      <c r="CJ15" s="35"/>
      <c r="CK15" s="33"/>
      <c r="CL15" s="34"/>
      <c r="CM15" s="34"/>
      <c r="CN15" s="35"/>
      <c r="CO15" s="33"/>
      <c r="CP15" s="34"/>
      <c r="CQ15" s="34"/>
      <c r="CR15" s="35"/>
      <c r="CS15" s="33"/>
      <c r="CT15" s="34"/>
      <c r="CU15" s="34"/>
      <c r="CV15" s="35"/>
      <c r="CW15" s="33"/>
      <c r="CX15" s="34"/>
      <c r="CY15" s="34"/>
      <c r="CZ15" s="35"/>
      <c r="DA15" s="33"/>
      <c r="DB15" s="34"/>
      <c r="DC15" s="34"/>
      <c r="DD15" s="35"/>
      <c r="DE15" s="33"/>
      <c r="DF15" s="34"/>
      <c r="DG15" s="34"/>
      <c r="DH15" s="35"/>
      <c r="DI15" s="33"/>
      <c r="DJ15" s="34"/>
      <c r="DK15" s="34"/>
      <c r="DL15" s="35"/>
      <c r="DM15" s="33"/>
      <c r="DN15" s="34"/>
      <c r="DO15" s="34"/>
      <c r="DP15" s="35"/>
      <c r="DQ15" s="33"/>
      <c r="DR15" s="34"/>
      <c r="DS15" s="34"/>
      <c r="DT15" s="35"/>
      <c r="DV15" s="81" t="str">
        <f>IF(ISBLANK(B13),"","personas cualificadas")</f>
        <v>personas cualificadas</v>
      </c>
      <c r="DW15" s="81" t="str">
        <f>IF(ISBLANK(B13),"","personas cualificadas")</f>
        <v>personas cualificadas</v>
      </c>
      <c r="DX15" s="83"/>
      <c r="DY15" s="20"/>
      <c r="EC15"/>
      <c r="ED15"/>
      <c r="EG15"/>
      <c r="EH15"/>
      <c r="EI15"/>
      <c r="EJ15"/>
      <c r="EK15"/>
      <c r="EL15"/>
      <c r="EM15"/>
      <c r="EN15"/>
      <c r="EO15"/>
      <c r="EZ15"/>
      <c r="FA15"/>
    </row>
    <row r="16" spans="2:175" x14ac:dyDescent="0.25">
      <c r="B16" s="84"/>
      <c r="C16" s="84"/>
      <c r="D16" s="27"/>
      <c r="E16" s="69"/>
      <c r="F16" s="70"/>
      <c r="G16" s="70"/>
      <c r="H16" s="71"/>
      <c r="I16" s="69"/>
      <c r="J16" s="70"/>
      <c r="K16" s="70"/>
      <c r="L16" s="71"/>
      <c r="M16" s="69"/>
      <c r="N16" s="70"/>
      <c r="O16" s="70"/>
      <c r="P16" s="71"/>
      <c r="Q16" s="69">
        <v>3</v>
      </c>
      <c r="R16" s="70"/>
      <c r="S16" s="70"/>
      <c r="T16" s="71"/>
      <c r="U16" s="69"/>
      <c r="V16" s="70"/>
      <c r="W16" s="70"/>
      <c r="X16" s="71"/>
      <c r="Y16" s="69"/>
      <c r="Z16" s="70"/>
      <c r="AA16" s="70"/>
      <c r="AB16" s="71"/>
      <c r="AC16" s="69"/>
      <c r="AD16" s="70"/>
      <c r="AE16" s="70"/>
      <c r="AF16" s="71"/>
      <c r="AG16" s="69">
        <v>2</v>
      </c>
      <c r="AH16" s="70"/>
      <c r="AI16" s="70"/>
      <c r="AJ16" s="71"/>
      <c r="AK16" s="69"/>
      <c r="AL16" s="70"/>
      <c r="AM16" s="70"/>
      <c r="AN16" s="71"/>
      <c r="AO16" s="69"/>
      <c r="AP16" s="70"/>
      <c r="AQ16" s="70"/>
      <c r="AR16" s="71"/>
      <c r="AS16" s="69"/>
      <c r="AT16" s="70"/>
      <c r="AU16" s="70"/>
      <c r="AV16" s="71"/>
      <c r="AW16" s="69">
        <v>2</v>
      </c>
      <c r="AX16" s="70"/>
      <c r="AY16" s="70"/>
      <c r="AZ16" s="71"/>
      <c r="BA16" s="69"/>
      <c r="BB16" s="70"/>
      <c r="BC16" s="70"/>
      <c r="BD16" s="71"/>
      <c r="BE16" s="69"/>
      <c r="BF16" s="70"/>
      <c r="BG16" s="70"/>
      <c r="BH16" s="71"/>
      <c r="BI16" s="69"/>
      <c r="BJ16" s="70"/>
      <c r="BK16" s="70"/>
      <c r="BL16" s="71"/>
      <c r="BM16" s="69"/>
      <c r="BN16" s="70"/>
      <c r="BO16" s="70"/>
      <c r="BP16" s="71"/>
      <c r="BQ16" s="69">
        <v>4</v>
      </c>
      <c r="BR16" s="70"/>
      <c r="BS16" s="70"/>
      <c r="BT16" s="71"/>
      <c r="BU16" s="69"/>
      <c r="BV16" s="70"/>
      <c r="BW16" s="70"/>
      <c r="BX16" s="71"/>
      <c r="BY16" s="69"/>
      <c r="BZ16" s="70"/>
      <c r="CA16" s="70"/>
      <c r="CB16" s="71"/>
      <c r="CC16" s="69"/>
      <c r="CD16" s="70"/>
      <c r="CE16" s="70"/>
      <c r="CF16" s="71"/>
      <c r="CG16" s="69">
        <v>3</v>
      </c>
      <c r="CH16" s="70"/>
      <c r="CI16" s="70"/>
      <c r="CJ16" s="71"/>
      <c r="CK16" s="69"/>
      <c r="CL16" s="70"/>
      <c r="CM16" s="70"/>
      <c r="CN16" s="71"/>
      <c r="CO16" s="69"/>
      <c r="CP16" s="70"/>
      <c r="CQ16" s="70"/>
      <c r="CR16" s="71"/>
      <c r="CS16" s="69"/>
      <c r="CT16" s="70"/>
      <c r="CU16" s="70"/>
      <c r="CV16" s="71"/>
      <c r="CW16" s="69"/>
      <c r="CX16" s="70"/>
      <c r="CY16" s="70"/>
      <c r="CZ16" s="71"/>
      <c r="DA16" s="69"/>
      <c r="DB16" s="70"/>
      <c r="DC16" s="70"/>
      <c r="DD16" s="71"/>
      <c r="DE16" s="69">
        <v>2</v>
      </c>
      <c r="DF16" s="70"/>
      <c r="DG16" s="70"/>
      <c r="DH16" s="71"/>
      <c r="DI16" s="69"/>
      <c r="DJ16" s="70"/>
      <c r="DK16" s="70"/>
      <c r="DL16" s="71"/>
      <c r="DM16" s="69"/>
      <c r="DN16" s="70"/>
      <c r="DO16" s="70"/>
      <c r="DP16" s="71"/>
      <c r="DQ16" s="69"/>
      <c r="DR16" s="70"/>
      <c r="DS16" s="70"/>
      <c r="DT16" s="71"/>
      <c r="DU16" s="38"/>
      <c r="DV16" s="82"/>
      <c r="DW16" s="82"/>
      <c r="DX16" s="83"/>
      <c r="DY16" s="20"/>
      <c r="EC16"/>
      <c r="ED16"/>
      <c r="EG16"/>
      <c r="EH16"/>
      <c r="EI16"/>
      <c r="EJ16"/>
      <c r="EK16"/>
      <c r="EL16"/>
      <c r="EM16"/>
      <c r="EN16"/>
      <c r="EO16"/>
      <c r="EZ16"/>
      <c r="FA16"/>
    </row>
    <row r="17" spans="2:157" ht="6" customHeight="1" x14ac:dyDescent="0.25">
      <c r="B17" s="84" t="s">
        <v>51</v>
      </c>
      <c r="C17" s="84"/>
      <c r="D17" s="27"/>
      <c r="E17" s="28"/>
      <c r="F17" s="29"/>
      <c r="G17" s="29"/>
      <c r="H17" s="30"/>
      <c r="I17" s="28"/>
      <c r="J17" s="29"/>
      <c r="K17" s="29"/>
      <c r="L17" s="30"/>
      <c r="M17" s="28"/>
      <c r="N17" s="29"/>
      <c r="O17" s="29"/>
      <c r="P17" s="30"/>
      <c r="Q17" s="28"/>
      <c r="R17" s="29"/>
      <c r="S17" s="29"/>
      <c r="T17" s="30"/>
      <c r="U17" s="28"/>
      <c r="V17" s="29"/>
      <c r="W17" s="29"/>
      <c r="X17" s="30"/>
      <c r="Y17" s="28"/>
      <c r="Z17" s="29"/>
      <c r="AA17" s="29"/>
      <c r="AB17" s="30"/>
      <c r="AC17" s="28"/>
      <c r="AD17" s="29"/>
      <c r="AE17" s="29"/>
      <c r="AF17" s="30"/>
      <c r="AG17" s="28"/>
      <c r="AH17" s="29"/>
      <c r="AI17" s="29"/>
      <c r="AJ17" s="30"/>
      <c r="AK17" s="28"/>
      <c r="AL17" s="29"/>
      <c r="AM17" s="29"/>
      <c r="AN17" s="30"/>
      <c r="AO17" s="28"/>
      <c r="AP17" s="29"/>
      <c r="AQ17" s="29"/>
      <c r="AR17" s="30"/>
      <c r="AS17" s="28"/>
      <c r="AT17" s="29"/>
      <c r="AU17" s="29"/>
      <c r="AV17" s="30"/>
      <c r="AW17" s="28"/>
      <c r="AX17" s="29"/>
      <c r="AY17" s="29"/>
      <c r="AZ17" s="30"/>
      <c r="BA17" s="28"/>
      <c r="BB17" s="29"/>
      <c r="BC17" s="29"/>
      <c r="BD17" s="30"/>
      <c r="BE17" s="28"/>
      <c r="BF17" s="29"/>
      <c r="BG17" s="29"/>
      <c r="BH17" s="30"/>
      <c r="BI17" s="28"/>
      <c r="BJ17" s="29"/>
      <c r="BK17" s="29"/>
      <c r="BL17" s="30"/>
      <c r="BM17" s="28"/>
      <c r="BN17" s="29"/>
      <c r="BO17" s="29"/>
      <c r="BP17" s="30"/>
      <c r="BQ17" s="28"/>
      <c r="BR17" s="29"/>
      <c r="BS17" s="29"/>
      <c r="BT17" s="30"/>
      <c r="BU17" s="28"/>
      <c r="BV17" s="29"/>
      <c r="BW17" s="29"/>
      <c r="BX17" s="30"/>
      <c r="BY17" s="28"/>
      <c r="BZ17" s="29"/>
      <c r="CA17" s="29"/>
      <c r="CB17" s="30"/>
      <c r="CC17" s="28"/>
      <c r="CD17" s="29"/>
      <c r="CE17" s="29"/>
      <c r="CF17" s="30"/>
      <c r="CG17" s="28"/>
      <c r="CH17" s="29"/>
      <c r="CI17" s="29"/>
      <c r="CJ17" s="30"/>
      <c r="CK17" s="28"/>
      <c r="CL17" s="29"/>
      <c r="CM17" s="29"/>
      <c r="CN17" s="30"/>
      <c r="CO17" s="28"/>
      <c r="CP17" s="29"/>
      <c r="CQ17" s="29"/>
      <c r="CR17" s="30"/>
      <c r="CS17" s="28"/>
      <c r="CT17" s="29"/>
      <c r="CU17" s="29"/>
      <c r="CV17" s="30"/>
      <c r="CW17" s="28"/>
      <c r="CX17" s="29"/>
      <c r="CY17" s="29"/>
      <c r="CZ17" s="30"/>
      <c r="DA17" s="28"/>
      <c r="DB17" s="29"/>
      <c r="DC17" s="29"/>
      <c r="DD17" s="30"/>
      <c r="DE17" s="28"/>
      <c r="DF17" s="29"/>
      <c r="DG17" s="29"/>
      <c r="DH17" s="30"/>
      <c r="DI17" s="28"/>
      <c r="DJ17" s="29"/>
      <c r="DK17" s="29"/>
      <c r="DL17" s="30"/>
      <c r="DM17" s="28"/>
      <c r="DN17" s="29"/>
      <c r="DO17" s="29"/>
      <c r="DP17" s="30"/>
      <c r="DQ17" s="28"/>
      <c r="DR17" s="29"/>
      <c r="DS17" s="29"/>
      <c r="DT17" s="30"/>
      <c r="DV17" s="31"/>
      <c r="DW17" s="32"/>
      <c r="DX17" s="83">
        <f>IF(ISBLANK(B17),"",IF(DW18&gt;=DV18,3,IF(DW18=(DV18-1),2,1)))</f>
        <v>3</v>
      </c>
      <c r="DY17" s="20"/>
      <c r="EB17"/>
      <c r="EC17"/>
      <c r="ED17"/>
      <c r="EE17"/>
      <c r="EF17"/>
      <c r="EG17"/>
      <c r="EH17"/>
      <c r="EI17"/>
      <c r="EJ17"/>
      <c r="EK17"/>
      <c r="EL17"/>
      <c r="EM17"/>
      <c r="EN17"/>
      <c r="EO17"/>
      <c r="EZ17"/>
      <c r="FA17"/>
    </row>
    <row r="18" spans="2:157" ht="15" customHeight="1" x14ac:dyDescent="0.25">
      <c r="B18" s="84"/>
      <c r="C18" s="84"/>
      <c r="D18" s="27"/>
      <c r="E18" s="33"/>
      <c r="F18" s="34"/>
      <c r="G18" s="34"/>
      <c r="H18" s="35"/>
      <c r="I18" s="33"/>
      <c r="J18" s="34"/>
      <c r="K18" s="34"/>
      <c r="L18" s="35"/>
      <c r="M18" s="33"/>
      <c r="N18" s="34"/>
      <c r="O18" s="34"/>
      <c r="P18" s="35"/>
      <c r="Q18" s="33"/>
      <c r="R18" s="34"/>
      <c r="S18" s="34"/>
      <c r="T18" s="35"/>
      <c r="U18" s="33"/>
      <c r="V18" s="34"/>
      <c r="W18" s="34"/>
      <c r="X18" s="35"/>
      <c r="Y18" s="33"/>
      <c r="Z18" s="34"/>
      <c r="AA18" s="34"/>
      <c r="AB18" s="35"/>
      <c r="AC18" s="33"/>
      <c r="AD18" s="34"/>
      <c r="AE18" s="34"/>
      <c r="AF18" s="35"/>
      <c r="AG18" s="33"/>
      <c r="AH18" s="34"/>
      <c r="AI18" s="34"/>
      <c r="AJ18" s="35"/>
      <c r="AK18" s="33"/>
      <c r="AL18" s="34"/>
      <c r="AM18" s="34"/>
      <c r="AN18" s="35"/>
      <c r="AO18" s="33"/>
      <c r="AP18" s="34"/>
      <c r="AQ18" s="34"/>
      <c r="AR18" s="35"/>
      <c r="AS18" s="33"/>
      <c r="AT18" s="34"/>
      <c r="AU18" s="34"/>
      <c r="AV18" s="35"/>
      <c r="AW18" s="33"/>
      <c r="AX18" s="34"/>
      <c r="AY18" s="34"/>
      <c r="AZ18" s="35"/>
      <c r="BA18" s="33"/>
      <c r="BB18" s="34"/>
      <c r="BC18" s="34"/>
      <c r="BD18" s="35"/>
      <c r="BE18" s="33"/>
      <c r="BF18" s="34"/>
      <c r="BG18" s="34"/>
      <c r="BH18" s="35"/>
      <c r="BI18" s="33"/>
      <c r="BJ18" s="34"/>
      <c r="BK18" s="34"/>
      <c r="BL18" s="35"/>
      <c r="BM18" s="33"/>
      <c r="BN18" s="34"/>
      <c r="BO18" s="34"/>
      <c r="BP18" s="35"/>
      <c r="BQ18" s="33"/>
      <c r="BR18" s="34"/>
      <c r="BS18" s="34"/>
      <c r="BT18" s="35"/>
      <c r="BU18" s="33"/>
      <c r="BV18" s="34"/>
      <c r="BW18" s="34"/>
      <c r="BX18" s="35"/>
      <c r="BY18" s="33"/>
      <c r="BZ18" s="34"/>
      <c r="CA18" s="34"/>
      <c r="CB18" s="35"/>
      <c r="CC18" s="33"/>
      <c r="CD18" s="34"/>
      <c r="CE18" s="34"/>
      <c r="CF18" s="35"/>
      <c r="CG18" s="33"/>
      <c r="CH18" s="34"/>
      <c r="CI18" s="34"/>
      <c r="CJ18" s="35"/>
      <c r="CK18" s="33"/>
      <c r="CL18" s="34"/>
      <c r="CM18" s="34"/>
      <c r="CN18" s="35"/>
      <c r="CO18" s="33"/>
      <c r="CP18" s="34"/>
      <c r="CQ18" s="34"/>
      <c r="CR18" s="35"/>
      <c r="CS18" s="33"/>
      <c r="CT18" s="34"/>
      <c r="CU18" s="34"/>
      <c r="CV18" s="35"/>
      <c r="CW18" s="33"/>
      <c r="CX18" s="34"/>
      <c r="CY18" s="34"/>
      <c r="CZ18" s="35"/>
      <c r="DA18" s="33"/>
      <c r="DB18" s="34"/>
      <c r="DC18" s="34"/>
      <c r="DD18" s="35"/>
      <c r="DE18" s="33"/>
      <c r="DF18" s="34"/>
      <c r="DG18" s="34"/>
      <c r="DH18" s="35"/>
      <c r="DI18" s="33"/>
      <c r="DJ18" s="34"/>
      <c r="DK18" s="34"/>
      <c r="DL18" s="35"/>
      <c r="DM18" s="33"/>
      <c r="DN18" s="34"/>
      <c r="DO18" s="34"/>
      <c r="DP18" s="35"/>
      <c r="DQ18" s="33"/>
      <c r="DR18" s="34"/>
      <c r="DS18" s="34"/>
      <c r="DT18" s="35"/>
      <c r="DV18" s="36">
        <v>4</v>
      </c>
      <c r="DW18" s="37">
        <f>IF(ISBLANK(B17),"",COUNTIF(B20:DT20,"&gt;=3"))</f>
        <v>5</v>
      </c>
      <c r="DX18" s="83"/>
      <c r="DY18" s="20"/>
      <c r="EB18"/>
      <c r="EC18"/>
      <c r="ED18"/>
      <c r="EE18"/>
      <c r="EF18"/>
      <c r="EG18"/>
      <c r="EH18"/>
      <c r="EI18"/>
      <c r="EJ18"/>
      <c r="EK18"/>
      <c r="EL18"/>
      <c r="EM18"/>
      <c r="EN18"/>
      <c r="EO18"/>
      <c r="EZ18"/>
      <c r="FA18"/>
    </row>
    <row r="19" spans="2:157" ht="15" customHeight="1" x14ac:dyDescent="0.25">
      <c r="B19" s="84"/>
      <c r="C19" s="84"/>
      <c r="D19" s="27"/>
      <c r="E19" s="33"/>
      <c r="F19" s="34"/>
      <c r="G19" s="34"/>
      <c r="H19" s="35"/>
      <c r="I19" s="33"/>
      <c r="J19" s="34"/>
      <c r="K19" s="34"/>
      <c r="L19" s="35"/>
      <c r="M19" s="33"/>
      <c r="N19" s="34"/>
      <c r="O19" s="34"/>
      <c r="P19" s="35"/>
      <c r="Q19" s="33"/>
      <c r="R19" s="34"/>
      <c r="S19" s="34"/>
      <c r="T19" s="35"/>
      <c r="U19" s="33"/>
      <c r="V19" s="34"/>
      <c r="W19" s="34"/>
      <c r="X19" s="35"/>
      <c r="Y19" s="33"/>
      <c r="Z19" s="34"/>
      <c r="AA19" s="34"/>
      <c r="AB19" s="35"/>
      <c r="AC19" s="33"/>
      <c r="AD19" s="34"/>
      <c r="AE19" s="34"/>
      <c r="AF19" s="35"/>
      <c r="AG19" s="33"/>
      <c r="AH19" s="34"/>
      <c r="AI19" s="34"/>
      <c r="AJ19" s="35"/>
      <c r="AK19" s="33"/>
      <c r="AL19" s="34"/>
      <c r="AM19" s="34"/>
      <c r="AN19" s="35"/>
      <c r="AO19" s="33"/>
      <c r="AP19" s="34"/>
      <c r="AQ19" s="34"/>
      <c r="AR19" s="35"/>
      <c r="AS19" s="33"/>
      <c r="AT19" s="34"/>
      <c r="AU19" s="34"/>
      <c r="AV19" s="35"/>
      <c r="AW19" s="33"/>
      <c r="AX19" s="34"/>
      <c r="AY19" s="34"/>
      <c r="AZ19" s="35"/>
      <c r="BA19" s="33"/>
      <c r="BB19" s="34"/>
      <c r="BC19" s="34"/>
      <c r="BD19" s="35"/>
      <c r="BE19" s="33"/>
      <c r="BF19" s="34"/>
      <c r="BG19" s="34"/>
      <c r="BH19" s="35"/>
      <c r="BI19" s="33"/>
      <c r="BJ19" s="34"/>
      <c r="BK19" s="34"/>
      <c r="BL19" s="35"/>
      <c r="BM19" s="33"/>
      <c r="BN19" s="34"/>
      <c r="BO19" s="34"/>
      <c r="BP19" s="35"/>
      <c r="BQ19" s="33"/>
      <c r="BR19" s="34"/>
      <c r="BS19" s="34"/>
      <c r="BT19" s="35"/>
      <c r="BU19" s="33"/>
      <c r="BV19" s="34"/>
      <c r="BW19" s="34"/>
      <c r="BX19" s="35"/>
      <c r="BY19" s="33"/>
      <c r="BZ19" s="34"/>
      <c r="CA19" s="34"/>
      <c r="CB19" s="35"/>
      <c r="CC19" s="33"/>
      <c r="CD19" s="34"/>
      <c r="CE19" s="34"/>
      <c r="CF19" s="35"/>
      <c r="CG19" s="33"/>
      <c r="CH19" s="34"/>
      <c r="CI19" s="34"/>
      <c r="CJ19" s="35"/>
      <c r="CK19" s="33"/>
      <c r="CL19" s="34"/>
      <c r="CM19" s="34"/>
      <c r="CN19" s="35"/>
      <c r="CO19" s="33"/>
      <c r="CP19" s="34"/>
      <c r="CQ19" s="34"/>
      <c r="CR19" s="35"/>
      <c r="CS19" s="33"/>
      <c r="CT19" s="34"/>
      <c r="CU19" s="34"/>
      <c r="CV19" s="35"/>
      <c r="CW19" s="33"/>
      <c r="CX19" s="34"/>
      <c r="CY19" s="34"/>
      <c r="CZ19" s="35"/>
      <c r="DA19" s="33"/>
      <c r="DB19" s="34"/>
      <c r="DC19" s="34"/>
      <c r="DD19" s="35"/>
      <c r="DE19" s="33"/>
      <c r="DF19" s="34"/>
      <c r="DG19" s="34"/>
      <c r="DH19" s="35"/>
      <c r="DI19" s="33"/>
      <c r="DJ19" s="34"/>
      <c r="DK19" s="34"/>
      <c r="DL19" s="35"/>
      <c r="DM19" s="33"/>
      <c r="DN19" s="34"/>
      <c r="DO19" s="34"/>
      <c r="DP19" s="35"/>
      <c r="DQ19" s="33"/>
      <c r="DR19" s="34"/>
      <c r="DS19" s="34"/>
      <c r="DT19" s="35"/>
      <c r="DV19" s="81" t="str">
        <f>IF(ISBLANK(B17),"","personas cualificadas")</f>
        <v>personas cualificadas</v>
      </c>
      <c r="DW19" s="81" t="str">
        <f>IF(ISBLANK(B17),"","personas cualificadas")</f>
        <v>personas cualificadas</v>
      </c>
      <c r="DX19" s="83"/>
      <c r="DY19" s="20"/>
      <c r="EB19"/>
      <c r="EC19"/>
      <c r="ED19"/>
      <c r="EE19"/>
      <c r="EF19"/>
      <c r="EG19"/>
      <c r="EH19"/>
      <c r="EI19"/>
      <c r="EJ19"/>
      <c r="EK19"/>
      <c r="EL19"/>
      <c r="EM19"/>
      <c r="EN19"/>
      <c r="EO19"/>
      <c r="EZ19"/>
      <c r="FA19"/>
    </row>
    <row r="20" spans="2:157" x14ac:dyDescent="0.25">
      <c r="B20" s="84"/>
      <c r="C20" s="84"/>
      <c r="D20" s="27"/>
      <c r="E20" s="69"/>
      <c r="F20" s="70"/>
      <c r="G20" s="70"/>
      <c r="H20" s="71"/>
      <c r="I20" s="69"/>
      <c r="J20" s="70"/>
      <c r="K20" s="70"/>
      <c r="L20" s="71"/>
      <c r="M20" s="69"/>
      <c r="N20" s="70"/>
      <c r="O20" s="70"/>
      <c r="P20" s="71"/>
      <c r="Q20" s="69">
        <v>2</v>
      </c>
      <c r="R20" s="70"/>
      <c r="S20" s="70"/>
      <c r="T20" s="71"/>
      <c r="U20" s="69"/>
      <c r="V20" s="70"/>
      <c r="W20" s="70"/>
      <c r="X20" s="71"/>
      <c r="Y20" s="69"/>
      <c r="Z20" s="70"/>
      <c r="AA20" s="70"/>
      <c r="AB20" s="71"/>
      <c r="AC20" s="69"/>
      <c r="AD20" s="70"/>
      <c r="AE20" s="70"/>
      <c r="AF20" s="71"/>
      <c r="AG20" s="69">
        <v>4</v>
      </c>
      <c r="AH20" s="70"/>
      <c r="AI20" s="70"/>
      <c r="AJ20" s="71"/>
      <c r="AK20" s="69"/>
      <c r="AL20" s="70"/>
      <c r="AM20" s="70"/>
      <c r="AN20" s="71"/>
      <c r="AO20" s="69"/>
      <c r="AP20" s="70"/>
      <c r="AQ20" s="70"/>
      <c r="AR20" s="71"/>
      <c r="AS20" s="69"/>
      <c r="AT20" s="70"/>
      <c r="AU20" s="70"/>
      <c r="AV20" s="71"/>
      <c r="AW20" s="69">
        <v>4</v>
      </c>
      <c r="AX20" s="70"/>
      <c r="AY20" s="70"/>
      <c r="AZ20" s="71"/>
      <c r="BA20" s="69"/>
      <c r="BB20" s="70"/>
      <c r="BC20" s="70"/>
      <c r="BD20" s="71"/>
      <c r="BE20" s="69"/>
      <c r="BF20" s="70"/>
      <c r="BG20" s="70"/>
      <c r="BH20" s="71"/>
      <c r="BI20" s="69">
        <v>3</v>
      </c>
      <c r="BJ20" s="70"/>
      <c r="BK20" s="70"/>
      <c r="BL20" s="71"/>
      <c r="BM20" s="69"/>
      <c r="BN20" s="70"/>
      <c r="BO20" s="70"/>
      <c r="BP20" s="71"/>
      <c r="BQ20" s="69">
        <v>1</v>
      </c>
      <c r="BR20" s="70"/>
      <c r="BS20" s="70"/>
      <c r="BT20" s="71"/>
      <c r="BU20" s="69"/>
      <c r="BV20" s="70"/>
      <c r="BW20" s="70"/>
      <c r="BX20" s="71"/>
      <c r="BY20" s="69"/>
      <c r="BZ20" s="70"/>
      <c r="CA20" s="70"/>
      <c r="CB20" s="71"/>
      <c r="CC20" s="69"/>
      <c r="CD20" s="70"/>
      <c r="CE20" s="70"/>
      <c r="CF20" s="71"/>
      <c r="CG20" s="69">
        <v>3</v>
      </c>
      <c r="CH20" s="70"/>
      <c r="CI20" s="70"/>
      <c r="CJ20" s="71"/>
      <c r="CK20" s="69"/>
      <c r="CL20" s="70"/>
      <c r="CM20" s="70"/>
      <c r="CN20" s="71"/>
      <c r="CO20" s="69"/>
      <c r="CP20" s="70"/>
      <c r="CQ20" s="70"/>
      <c r="CR20" s="71"/>
      <c r="CS20" s="69"/>
      <c r="CT20" s="70"/>
      <c r="CU20" s="70"/>
      <c r="CV20" s="71"/>
      <c r="CW20" s="69"/>
      <c r="CX20" s="70"/>
      <c r="CY20" s="70"/>
      <c r="CZ20" s="71"/>
      <c r="DA20" s="69"/>
      <c r="DB20" s="70"/>
      <c r="DC20" s="70"/>
      <c r="DD20" s="71"/>
      <c r="DE20" s="69">
        <v>4</v>
      </c>
      <c r="DF20" s="70"/>
      <c r="DG20" s="70"/>
      <c r="DH20" s="71"/>
      <c r="DI20" s="69"/>
      <c r="DJ20" s="70"/>
      <c r="DK20" s="70"/>
      <c r="DL20" s="71"/>
      <c r="DM20" s="69"/>
      <c r="DN20" s="70"/>
      <c r="DO20" s="70"/>
      <c r="DP20" s="71"/>
      <c r="DQ20" s="69"/>
      <c r="DR20" s="70"/>
      <c r="DS20" s="70"/>
      <c r="DT20" s="71"/>
      <c r="DU20" s="38"/>
      <c r="DV20" s="82"/>
      <c r="DW20" s="82"/>
      <c r="DX20" s="83"/>
      <c r="DY20" s="20"/>
      <c r="EB20"/>
      <c r="EC20"/>
      <c r="ED20"/>
      <c r="EE20"/>
      <c r="EF20"/>
      <c r="EG20"/>
      <c r="EH20"/>
      <c r="EI20"/>
      <c r="EJ20"/>
      <c r="EK20"/>
      <c r="EL20"/>
      <c r="EM20"/>
      <c r="EN20"/>
      <c r="EO20"/>
      <c r="EZ20"/>
      <c r="FA20"/>
    </row>
    <row r="21" spans="2:157" ht="6" customHeight="1" x14ac:dyDescent="0.25">
      <c r="B21" s="84" t="s">
        <v>52</v>
      </c>
      <c r="C21" s="84"/>
      <c r="D21" s="27"/>
      <c r="E21" s="28"/>
      <c r="F21" s="29"/>
      <c r="G21" s="29"/>
      <c r="H21" s="30"/>
      <c r="I21" s="28"/>
      <c r="J21" s="29"/>
      <c r="K21" s="29"/>
      <c r="L21" s="30"/>
      <c r="M21" s="28"/>
      <c r="N21" s="29"/>
      <c r="O21" s="29"/>
      <c r="P21" s="30"/>
      <c r="Q21" s="28"/>
      <c r="R21" s="29"/>
      <c r="S21" s="29"/>
      <c r="T21" s="30"/>
      <c r="U21" s="28"/>
      <c r="V21" s="29"/>
      <c r="W21" s="29"/>
      <c r="X21" s="30"/>
      <c r="Y21" s="28"/>
      <c r="Z21" s="29"/>
      <c r="AA21" s="29"/>
      <c r="AB21" s="30"/>
      <c r="AC21" s="28"/>
      <c r="AD21" s="29"/>
      <c r="AE21" s="29"/>
      <c r="AF21" s="30"/>
      <c r="AG21" s="28"/>
      <c r="AH21" s="29"/>
      <c r="AI21" s="29"/>
      <c r="AJ21" s="30"/>
      <c r="AK21" s="28"/>
      <c r="AL21" s="29"/>
      <c r="AM21" s="29"/>
      <c r="AN21" s="30"/>
      <c r="AO21" s="28"/>
      <c r="AP21" s="29"/>
      <c r="AQ21" s="29"/>
      <c r="AR21" s="30"/>
      <c r="AS21" s="28"/>
      <c r="AT21" s="29"/>
      <c r="AU21" s="29"/>
      <c r="AV21" s="30"/>
      <c r="AW21" s="28"/>
      <c r="AX21" s="29"/>
      <c r="AY21" s="29"/>
      <c r="AZ21" s="30"/>
      <c r="BA21" s="28"/>
      <c r="BB21" s="29"/>
      <c r="BC21" s="29"/>
      <c r="BD21" s="30"/>
      <c r="BE21" s="28"/>
      <c r="BF21" s="29"/>
      <c r="BG21" s="29"/>
      <c r="BH21" s="30"/>
      <c r="BI21" s="28"/>
      <c r="BJ21" s="29"/>
      <c r="BK21" s="29"/>
      <c r="BL21" s="30"/>
      <c r="BM21" s="28"/>
      <c r="BN21" s="29"/>
      <c r="BO21" s="29"/>
      <c r="BP21" s="30"/>
      <c r="BQ21" s="28"/>
      <c r="BR21" s="29"/>
      <c r="BS21" s="29"/>
      <c r="BT21" s="30"/>
      <c r="BU21" s="28"/>
      <c r="BV21" s="29"/>
      <c r="BW21" s="29"/>
      <c r="BX21" s="30"/>
      <c r="BY21" s="28"/>
      <c r="BZ21" s="29"/>
      <c r="CA21" s="29"/>
      <c r="CB21" s="30"/>
      <c r="CC21" s="28"/>
      <c r="CD21" s="29"/>
      <c r="CE21" s="29"/>
      <c r="CF21" s="30"/>
      <c r="CG21" s="28"/>
      <c r="CH21" s="29"/>
      <c r="CI21" s="29"/>
      <c r="CJ21" s="30"/>
      <c r="CK21" s="28"/>
      <c r="CL21" s="29"/>
      <c r="CM21" s="29"/>
      <c r="CN21" s="30"/>
      <c r="CO21" s="28"/>
      <c r="CP21" s="29"/>
      <c r="CQ21" s="29"/>
      <c r="CR21" s="30"/>
      <c r="CS21" s="28"/>
      <c r="CT21" s="29"/>
      <c r="CU21" s="29"/>
      <c r="CV21" s="30"/>
      <c r="CW21" s="28"/>
      <c r="CX21" s="29"/>
      <c r="CY21" s="29"/>
      <c r="CZ21" s="30"/>
      <c r="DA21" s="28"/>
      <c r="DB21" s="29"/>
      <c r="DC21" s="29"/>
      <c r="DD21" s="30"/>
      <c r="DE21" s="28"/>
      <c r="DF21" s="29"/>
      <c r="DG21" s="29"/>
      <c r="DH21" s="30"/>
      <c r="DI21" s="28"/>
      <c r="DJ21" s="29"/>
      <c r="DK21" s="29"/>
      <c r="DL21" s="30"/>
      <c r="DM21" s="28"/>
      <c r="DN21" s="29"/>
      <c r="DO21" s="29"/>
      <c r="DP21" s="30"/>
      <c r="DQ21" s="28"/>
      <c r="DR21" s="29"/>
      <c r="DS21" s="29"/>
      <c r="DT21" s="30"/>
      <c r="DV21" s="31"/>
      <c r="DW21" s="32"/>
      <c r="DX21" s="83">
        <f>IF(ISBLANK(B21),"",IF(DW22&gt;=DV22,3,IF(DW22=(DV22-1),2,1)))</f>
        <v>3</v>
      </c>
      <c r="DY21" s="20"/>
      <c r="EB21"/>
      <c r="EC21"/>
      <c r="ED21"/>
      <c r="EE21"/>
      <c r="EF21"/>
      <c r="EG21"/>
      <c r="EH21"/>
      <c r="EI21"/>
      <c r="EJ21"/>
      <c r="EK21"/>
      <c r="EL21"/>
      <c r="EM21"/>
      <c r="EN21"/>
      <c r="EO21"/>
      <c r="EZ21"/>
      <c r="FA21"/>
    </row>
    <row r="22" spans="2:157" ht="15" customHeight="1" x14ac:dyDescent="0.25">
      <c r="B22" s="84"/>
      <c r="C22" s="84"/>
      <c r="D22" s="27"/>
      <c r="E22" s="33"/>
      <c r="F22" s="34"/>
      <c r="G22" s="34"/>
      <c r="H22" s="35"/>
      <c r="I22" s="33"/>
      <c r="J22" s="34"/>
      <c r="K22" s="34"/>
      <c r="L22" s="35"/>
      <c r="M22" s="33"/>
      <c r="N22" s="34"/>
      <c r="O22" s="34"/>
      <c r="P22" s="35"/>
      <c r="Q22" s="33"/>
      <c r="R22" s="34"/>
      <c r="S22" s="34"/>
      <c r="T22" s="35"/>
      <c r="U22" s="33"/>
      <c r="V22" s="34"/>
      <c r="W22" s="34"/>
      <c r="X22" s="35"/>
      <c r="Y22" s="33"/>
      <c r="Z22" s="34"/>
      <c r="AA22" s="34"/>
      <c r="AB22" s="35"/>
      <c r="AC22" s="33"/>
      <c r="AD22" s="34"/>
      <c r="AE22" s="34"/>
      <c r="AF22" s="35"/>
      <c r="AG22" s="33"/>
      <c r="AH22" s="34"/>
      <c r="AI22" s="34"/>
      <c r="AJ22" s="35"/>
      <c r="AK22" s="33"/>
      <c r="AL22" s="34"/>
      <c r="AM22" s="34"/>
      <c r="AN22" s="35"/>
      <c r="AO22" s="33"/>
      <c r="AP22" s="34"/>
      <c r="AQ22" s="34"/>
      <c r="AR22" s="35"/>
      <c r="AS22" s="33"/>
      <c r="AT22" s="34"/>
      <c r="AU22" s="34"/>
      <c r="AV22" s="35"/>
      <c r="AW22" s="33"/>
      <c r="AX22" s="34"/>
      <c r="AY22" s="34"/>
      <c r="AZ22" s="35"/>
      <c r="BA22" s="33"/>
      <c r="BB22" s="34"/>
      <c r="BC22" s="34"/>
      <c r="BD22" s="35"/>
      <c r="BE22" s="33"/>
      <c r="BF22" s="34"/>
      <c r="BG22" s="34"/>
      <c r="BH22" s="35"/>
      <c r="BI22" s="33"/>
      <c r="BJ22" s="34"/>
      <c r="BK22" s="34"/>
      <c r="BL22" s="35"/>
      <c r="BM22" s="33"/>
      <c r="BN22" s="34"/>
      <c r="BO22" s="34"/>
      <c r="BP22" s="35"/>
      <c r="BQ22" s="33"/>
      <c r="BR22" s="34"/>
      <c r="BS22" s="34"/>
      <c r="BT22" s="35"/>
      <c r="BU22" s="33"/>
      <c r="BV22" s="34"/>
      <c r="BW22" s="34"/>
      <c r="BX22" s="35"/>
      <c r="BY22" s="33"/>
      <c r="BZ22" s="34"/>
      <c r="CA22" s="34"/>
      <c r="CB22" s="35"/>
      <c r="CC22" s="33"/>
      <c r="CD22" s="34"/>
      <c r="CE22" s="34"/>
      <c r="CF22" s="35"/>
      <c r="CG22" s="33"/>
      <c r="CH22" s="34"/>
      <c r="CI22" s="34"/>
      <c r="CJ22" s="35"/>
      <c r="CK22" s="33"/>
      <c r="CL22" s="34"/>
      <c r="CM22" s="34"/>
      <c r="CN22" s="35"/>
      <c r="CO22" s="33"/>
      <c r="CP22" s="34"/>
      <c r="CQ22" s="34"/>
      <c r="CR22" s="35"/>
      <c r="CS22" s="33"/>
      <c r="CT22" s="34"/>
      <c r="CU22" s="34"/>
      <c r="CV22" s="35"/>
      <c r="CW22" s="33"/>
      <c r="CX22" s="34"/>
      <c r="CY22" s="34"/>
      <c r="CZ22" s="35"/>
      <c r="DA22" s="33"/>
      <c r="DB22" s="34"/>
      <c r="DC22" s="34"/>
      <c r="DD22" s="35"/>
      <c r="DE22" s="33"/>
      <c r="DF22" s="34"/>
      <c r="DG22" s="34"/>
      <c r="DH22" s="35"/>
      <c r="DI22" s="33"/>
      <c r="DJ22" s="34"/>
      <c r="DK22" s="34"/>
      <c r="DL22" s="35"/>
      <c r="DM22" s="33"/>
      <c r="DN22" s="34"/>
      <c r="DO22" s="34"/>
      <c r="DP22" s="35"/>
      <c r="DQ22" s="33"/>
      <c r="DR22" s="34"/>
      <c r="DS22" s="34"/>
      <c r="DT22" s="35"/>
      <c r="DV22" s="36">
        <v>4</v>
      </c>
      <c r="DW22" s="37">
        <f>IF(ISBLANK(B21),"",COUNTIF(B24:DT24,"&gt;=3"))</f>
        <v>5</v>
      </c>
      <c r="DX22" s="83"/>
      <c r="DY22" s="20"/>
      <c r="EB22"/>
      <c r="EC22"/>
      <c r="ED22"/>
      <c r="EE22"/>
      <c r="EF22"/>
      <c r="EG22"/>
      <c r="EH22"/>
      <c r="EI22"/>
      <c r="EJ22"/>
      <c r="EK22"/>
      <c r="EL22"/>
      <c r="EM22"/>
      <c r="EN22"/>
      <c r="EO22"/>
      <c r="EZ22"/>
      <c r="FA22"/>
    </row>
    <row r="23" spans="2:157" ht="15" customHeight="1" x14ac:dyDescent="0.25">
      <c r="B23" s="84"/>
      <c r="C23" s="84"/>
      <c r="D23" s="27"/>
      <c r="E23" s="33"/>
      <c r="F23" s="34"/>
      <c r="G23" s="34"/>
      <c r="H23" s="35"/>
      <c r="I23" s="33"/>
      <c r="J23" s="34"/>
      <c r="K23" s="34"/>
      <c r="L23" s="35"/>
      <c r="M23" s="33"/>
      <c r="N23" s="34"/>
      <c r="O23" s="34"/>
      <c r="P23" s="35"/>
      <c r="Q23" s="33"/>
      <c r="R23" s="34"/>
      <c r="S23" s="34"/>
      <c r="T23" s="35"/>
      <c r="U23" s="33"/>
      <c r="V23" s="34"/>
      <c r="W23" s="34"/>
      <c r="X23" s="35"/>
      <c r="Y23" s="33"/>
      <c r="Z23" s="34"/>
      <c r="AA23" s="34"/>
      <c r="AB23" s="35"/>
      <c r="AC23" s="33"/>
      <c r="AD23" s="34"/>
      <c r="AE23" s="34"/>
      <c r="AF23" s="35"/>
      <c r="AG23" s="33"/>
      <c r="AH23" s="34"/>
      <c r="AI23" s="34"/>
      <c r="AJ23" s="35"/>
      <c r="AK23" s="33"/>
      <c r="AL23" s="34"/>
      <c r="AM23" s="34"/>
      <c r="AN23" s="35"/>
      <c r="AO23" s="33"/>
      <c r="AP23" s="34"/>
      <c r="AQ23" s="34"/>
      <c r="AR23" s="35"/>
      <c r="AS23" s="33"/>
      <c r="AT23" s="34"/>
      <c r="AU23" s="34"/>
      <c r="AV23" s="35"/>
      <c r="AW23" s="33"/>
      <c r="AX23" s="34"/>
      <c r="AY23" s="34"/>
      <c r="AZ23" s="35"/>
      <c r="BA23" s="33"/>
      <c r="BB23" s="34"/>
      <c r="BC23" s="34"/>
      <c r="BD23" s="35"/>
      <c r="BE23" s="33"/>
      <c r="BF23" s="34"/>
      <c r="BG23" s="34"/>
      <c r="BH23" s="35"/>
      <c r="BI23" s="33"/>
      <c r="BJ23" s="34"/>
      <c r="BK23" s="34"/>
      <c r="BL23" s="35"/>
      <c r="BM23" s="33"/>
      <c r="BN23" s="34"/>
      <c r="BO23" s="34"/>
      <c r="BP23" s="35"/>
      <c r="BQ23" s="33"/>
      <c r="BR23" s="34"/>
      <c r="BS23" s="34"/>
      <c r="BT23" s="35"/>
      <c r="BU23" s="33"/>
      <c r="BV23" s="34"/>
      <c r="BW23" s="34"/>
      <c r="BX23" s="35"/>
      <c r="BY23" s="33"/>
      <c r="BZ23" s="34"/>
      <c r="CA23" s="34"/>
      <c r="CB23" s="35"/>
      <c r="CC23" s="33"/>
      <c r="CD23" s="34"/>
      <c r="CE23" s="34"/>
      <c r="CF23" s="35"/>
      <c r="CG23" s="33"/>
      <c r="CH23" s="34"/>
      <c r="CI23" s="34"/>
      <c r="CJ23" s="35"/>
      <c r="CK23" s="33"/>
      <c r="CL23" s="34"/>
      <c r="CM23" s="34"/>
      <c r="CN23" s="35"/>
      <c r="CO23" s="33"/>
      <c r="CP23" s="34"/>
      <c r="CQ23" s="34"/>
      <c r="CR23" s="35"/>
      <c r="CS23" s="33"/>
      <c r="CT23" s="34"/>
      <c r="CU23" s="34"/>
      <c r="CV23" s="35"/>
      <c r="CW23" s="33"/>
      <c r="CX23" s="34"/>
      <c r="CY23" s="34"/>
      <c r="CZ23" s="35"/>
      <c r="DA23" s="33"/>
      <c r="DB23" s="34"/>
      <c r="DC23" s="34"/>
      <c r="DD23" s="35"/>
      <c r="DE23" s="33"/>
      <c r="DF23" s="34"/>
      <c r="DG23" s="34"/>
      <c r="DH23" s="35"/>
      <c r="DI23" s="33"/>
      <c r="DJ23" s="34"/>
      <c r="DK23" s="34"/>
      <c r="DL23" s="35"/>
      <c r="DM23" s="33"/>
      <c r="DN23" s="34"/>
      <c r="DO23" s="34"/>
      <c r="DP23" s="35"/>
      <c r="DQ23" s="33"/>
      <c r="DR23" s="34"/>
      <c r="DS23" s="34"/>
      <c r="DT23" s="35"/>
      <c r="DV23" s="81" t="str">
        <f>IF(ISBLANK(B21),"","personas cualificadas")</f>
        <v>personas cualificadas</v>
      </c>
      <c r="DW23" s="81" t="str">
        <f>IF(ISBLANK(B21),"","personas cualificadas")</f>
        <v>personas cualificadas</v>
      </c>
      <c r="DX23" s="83"/>
      <c r="DY23" s="20"/>
      <c r="EB23"/>
      <c r="EC23"/>
      <c r="ED23"/>
      <c r="EE23"/>
      <c r="EF23"/>
      <c r="EG23"/>
      <c r="EH23"/>
      <c r="EI23"/>
      <c r="EJ23"/>
      <c r="EK23"/>
      <c r="EL23"/>
      <c r="EM23"/>
      <c r="EN23"/>
      <c r="EO23"/>
      <c r="EZ23"/>
      <c r="FA23"/>
    </row>
    <row r="24" spans="2:157" x14ac:dyDescent="0.25">
      <c r="B24" s="84"/>
      <c r="C24" s="84"/>
      <c r="D24" s="27"/>
      <c r="E24" s="69"/>
      <c r="F24" s="70"/>
      <c r="G24" s="70"/>
      <c r="H24" s="71"/>
      <c r="I24" s="69"/>
      <c r="J24" s="70"/>
      <c r="K24" s="70"/>
      <c r="L24" s="71"/>
      <c r="M24" s="69"/>
      <c r="N24" s="70"/>
      <c r="O24" s="70"/>
      <c r="P24" s="71"/>
      <c r="Q24" s="69">
        <v>2</v>
      </c>
      <c r="R24" s="70"/>
      <c r="S24" s="70"/>
      <c r="T24" s="71"/>
      <c r="U24" s="69"/>
      <c r="V24" s="70"/>
      <c r="W24" s="70"/>
      <c r="X24" s="71"/>
      <c r="Y24" s="69"/>
      <c r="Z24" s="70"/>
      <c r="AA24" s="70"/>
      <c r="AB24" s="71"/>
      <c r="AC24" s="69">
        <v>1</v>
      </c>
      <c r="AD24" s="70"/>
      <c r="AE24" s="70"/>
      <c r="AF24" s="71"/>
      <c r="AG24" s="69">
        <v>4</v>
      </c>
      <c r="AH24" s="70"/>
      <c r="AI24" s="70"/>
      <c r="AJ24" s="71"/>
      <c r="AK24" s="69"/>
      <c r="AL24" s="70"/>
      <c r="AM24" s="70"/>
      <c r="AN24" s="71"/>
      <c r="AO24" s="69"/>
      <c r="AP24" s="70"/>
      <c r="AQ24" s="70"/>
      <c r="AR24" s="71"/>
      <c r="AS24" s="69"/>
      <c r="AT24" s="70"/>
      <c r="AU24" s="70"/>
      <c r="AV24" s="71"/>
      <c r="AW24" s="69">
        <v>4</v>
      </c>
      <c r="AX24" s="70"/>
      <c r="AY24" s="70"/>
      <c r="AZ24" s="71"/>
      <c r="BA24" s="69"/>
      <c r="BB24" s="70"/>
      <c r="BC24" s="70"/>
      <c r="BD24" s="71"/>
      <c r="BE24" s="69"/>
      <c r="BF24" s="70"/>
      <c r="BG24" s="70"/>
      <c r="BH24" s="71"/>
      <c r="BI24" s="69"/>
      <c r="BJ24" s="70"/>
      <c r="BK24" s="70"/>
      <c r="BL24" s="71"/>
      <c r="BM24" s="69"/>
      <c r="BN24" s="70"/>
      <c r="BO24" s="70"/>
      <c r="BP24" s="71"/>
      <c r="BQ24" s="69">
        <v>4</v>
      </c>
      <c r="BR24" s="70"/>
      <c r="BS24" s="70"/>
      <c r="BT24" s="71"/>
      <c r="BU24" s="69"/>
      <c r="BV24" s="70"/>
      <c r="BW24" s="70"/>
      <c r="BX24" s="71"/>
      <c r="BY24" s="69"/>
      <c r="BZ24" s="70"/>
      <c r="CA24" s="70"/>
      <c r="CB24" s="71"/>
      <c r="CC24" s="69"/>
      <c r="CD24" s="70"/>
      <c r="CE24" s="70"/>
      <c r="CF24" s="71"/>
      <c r="CG24" s="69">
        <v>4</v>
      </c>
      <c r="CH24" s="70"/>
      <c r="CI24" s="70"/>
      <c r="CJ24" s="71"/>
      <c r="CK24" s="69"/>
      <c r="CL24" s="70"/>
      <c r="CM24" s="70"/>
      <c r="CN24" s="71"/>
      <c r="CO24" s="69"/>
      <c r="CP24" s="70"/>
      <c r="CQ24" s="70"/>
      <c r="CR24" s="71"/>
      <c r="CS24" s="69"/>
      <c r="CT24" s="70"/>
      <c r="CU24" s="70"/>
      <c r="CV24" s="71"/>
      <c r="CW24" s="69"/>
      <c r="CX24" s="70"/>
      <c r="CY24" s="70"/>
      <c r="CZ24" s="71"/>
      <c r="DA24" s="69"/>
      <c r="DB24" s="70"/>
      <c r="DC24" s="70"/>
      <c r="DD24" s="71"/>
      <c r="DE24" s="69">
        <v>4</v>
      </c>
      <c r="DF24" s="70"/>
      <c r="DG24" s="70"/>
      <c r="DH24" s="71"/>
      <c r="DI24" s="69"/>
      <c r="DJ24" s="70"/>
      <c r="DK24" s="70"/>
      <c r="DL24" s="71"/>
      <c r="DM24" s="69"/>
      <c r="DN24" s="70"/>
      <c r="DO24" s="70"/>
      <c r="DP24" s="71"/>
      <c r="DQ24" s="69"/>
      <c r="DR24" s="70"/>
      <c r="DS24" s="70"/>
      <c r="DT24" s="71"/>
      <c r="DU24" s="38"/>
      <c r="DV24" s="82"/>
      <c r="DW24" s="82"/>
      <c r="DX24" s="83"/>
      <c r="DY24" s="20"/>
      <c r="EB24"/>
      <c r="EC24"/>
      <c r="ED24"/>
      <c r="EE24"/>
      <c r="EF24"/>
      <c r="EG24"/>
      <c r="EH24"/>
      <c r="EI24"/>
      <c r="EJ24"/>
      <c r="EK24"/>
      <c r="EL24"/>
      <c r="EM24"/>
      <c r="EN24"/>
      <c r="EO24"/>
      <c r="EZ24"/>
      <c r="FA24"/>
    </row>
    <row r="25" spans="2:157" ht="6" customHeight="1" x14ac:dyDescent="0.25">
      <c r="B25" s="84" t="s">
        <v>53</v>
      </c>
      <c r="C25" s="84"/>
      <c r="D25" s="27"/>
      <c r="E25" s="28"/>
      <c r="F25" s="29"/>
      <c r="G25" s="29"/>
      <c r="H25" s="30"/>
      <c r="I25" s="28"/>
      <c r="J25" s="29"/>
      <c r="K25" s="29"/>
      <c r="L25" s="30"/>
      <c r="M25" s="28"/>
      <c r="N25" s="29"/>
      <c r="O25" s="29"/>
      <c r="P25" s="30"/>
      <c r="Q25" s="28"/>
      <c r="R25" s="29"/>
      <c r="S25" s="29"/>
      <c r="T25" s="30"/>
      <c r="U25" s="28"/>
      <c r="V25" s="29"/>
      <c r="W25" s="29"/>
      <c r="X25" s="30"/>
      <c r="Y25" s="28"/>
      <c r="Z25" s="29"/>
      <c r="AA25" s="29"/>
      <c r="AB25" s="30"/>
      <c r="AC25" s="28"/>
      <c r="AD25" s="29"/>
      <c r="AE25" s="29"/>
      <c r="AF25" s="30"/>
      <c r="AG25" s="28"/>
      <c r="AH25" s="29"/>
      <c r="AI25" s="29"/>
      <c r="AJ25" s="30"/>
      <c r="AK25" s="28"/>
      <c r="AL25" s="29"/>
      <c r="AM25" s="29"/>
      <c r="AN25" s="30"/>
      <c r="AO25" s="28"/>
      <c r="AP25" s="29"/>
      <c r="AQ25" s="29"/>
      <c r="AR25" s="30"/>
      <c r="AS25" s="28"/>
      <c r="AT25" s="29"/>
      <c r="AU25" s="29"/>
      <c r="AV25" s="30"/>
      <c r="AW25" s="28"/>
      <c r="AX25" s="29"/>
      <c r="AY25" s="29"/>
      <c r="AZ25" s="30"/>
      <c r="BA25" s="28"/>
      <c r="BB25" s="29"/>
      <c r="BC25" s="29"/>
      <c r="BD25" s="30"/>
      <c r="BE25" s="28"/>
      <c r="BF25" s="29"/>
      <c r="BG25" s="29"/>
      <c r="BH25" s="30"/>
      <c r="BI25" s="28"/>
      <c r="BJ25" s="29"/>
      <c r="BK25" s="29"/>
      <c r="BL25" s="30"/>
      <c r="BM25" s="28"/>
      <c r="BN25" s="29"/>
      <c r="BO25" s="29"/>
      <c r="BP25" s="30"/>
      <c r="BQ25" s="28"/>
      <c r="BR25" s="29"/>
      <c r="BS25" s="29"/>
      <c r="BT25" s="30"/>
      <c r="BU25" s="28"/>
      <c r="BV25" s="29"/>
      <c r="BW25" s="29"/>
      <c r="BX25" s="30"/>
      <c r="BY25" s="28"/>
      <c r="BZ25" s="29"/>
      <c r="CA25" s="29"/>
      <c r="CB25" s="30"/>
      <c r="CC25" s="28"/>
      <c r="CD25" s="29"/>
      <c r="CE25" s="29"/>
      <c r="CF25" s="30"/>
      <c r="CG25" s="28"/>
      <c r="CH25" s="29"/>
      <c r="CI25" s="29"/>
      <c r="CJ25" s="30"/>
      <c r="CK25" s="28"/>
      <c r="CL25" s="29"/>
      <c r="CM25" s="29"/>
      <c r="CN25" s="30"/>
      <c r="CO25" s="28"/>
      <c r="CP25" s="29"/>
      <c r="CQ25" s="29"/>
      <c r="CR25" s="30"/>
      <c r="CS25" s="28"/>
      <c r="CT25" s="29"/>
      <c r="CU25" s="29"/>
      <c r="CV25" s="30"/>
      <c r="CW25" s="28"/>
      <c r="CX25" s="29"/>
      <c r="CY25" s="29"/>
      <c r="CZ25" s="30"/>
      <c r="DA25" s="28"/>
      <c r="DB25" s="29"/>
      <c r="DC25" s="29"/>
      <c r="DD25" s="30"/>
      <c r="DE25" s="28"/>
      <c r="DF25" s="29"/>
      <c r="DG25" s="29"/>
      <c r="DH25" s="30"/>
      <c r="DI25" s="28"/>
      <c r="DJ25" s="29"/>
      <c r="DK25" s="29"/>
      <c r="DL25" s="30"/>
      <c r="DM25" s="28"/>
      <c r="DN25" s="29"/>
      <c r="DO25" s="29"/>
      <c r="DP25" s="30"/>
      <c r="DQ25" s="28"/>
      <c r="DR25" s="29"/>
      <c r="DS25" s="29"/>
      <c r="DT25" s="30"/>
      <c r="DV25" s="31"/>
      <c r="DW25" s="32"/>
      <c r="DX25" s="83">
        <f>IF(ISBLANK(B25),"",IF(DW26&gt;=DV26,3,IF(DW26=(DV26-1),2,1)))</f>
        <v>3</v>
      </c>
      <c r="DY25" s="20"/>
      <c r="EB25"/>
      <c r="EC25"/>
      <c r="ED25"/>
      <c r="EE25"/>
      <c r="EF25"/>
      <c r="EG25"/>
      <c r="EH25"/>
      <c r="EI25"/>
      <c r="EJ25"/>
      <c r="EK25"/>
      <c r="EL25"/>
      <c r="EM25"/>
      <c r="EN25"/>
      <c r="EO25"/>
      <c r="EZ25"/>
      <c r="FA25"/>
    </row>
    <row r="26" spans="2:157" ht="15" customHeight="1" x14ac:dyDescent="0.25">
      <c r="B26" s="84"/>
      <c r="C26" s="84"/>
      <c r="D26" s="27"/>
      <c r="E26" s="33"/>
      <c r="F26" s="34"/>
      <c r="G26" s="34"/>
      <c r="H26" s="35"/>
      <c r="I26" s="33"/>
      <c r="J26" s="34"/>
      <c r="K26" s="34"/>
      <c r="L26" s="35"/>
      <c r="M26" s="33"/>
      <c r="N26" s="34"/>
      <c r="O26" s="34"/>
      <c r="P26" s="35"/>
      <c r="Q26" s="33"/>
      <c r="R26" s="34"/>
      <c r="S26" s="34"/>
      <c r="T26" s="35"/>
      <c r="U26" s="33"/>
      <c r="V26" s="34"/>
      <c r="W26" s="34"/>
      <c r="X26" s="35"/>
      <c r="Y26" s="33"/>
      <c r="Z26" s="34"/>
      <c r="AA26" s="34"/>
      <c r="AB26" s="35"/>
      <c r="AC26" s="33"/>
      <c r="AD26" s="34"/>
      <c r="AE26" s="34"/>
      <c r="AF26" s="35"/>
      <c r="AG26" s="33"/>
      <c r="AH26" s="34"/>
      <c r="AI26" s="34"/>
      <c r="AJ26" s="35"/>
      <c r="AK26" s="33"/>
      <c r="AL26" s="34"/>
      <c r="AM26" s="34"/>
      <c r="AN26" s="35"/>
      <c r="AO26" s="33"/>
      <c r="AP26" s="34"/>
      <c r="AQ26" s="34"/>
      <c r="AR26" s="35"/>
      <c r="AS26" s="33"/>
      <c r="AT26" s="34"/>
      <c r="AU26" s="34"/>
      <c r="AV26" s="35"/>
      <c r="AW26" s="33"/>
      <c r="AX26" s="34"/>
      <c r="AY26" s="34"/>
      <c r="AZ26" s="35"/>
      <c r="BA26" s="33"/>
      <c r="BB26" s="34"/>
      <c r="BC26" s="34"/>
      <c r="BD26" s="35"/>
      <c r="BE26" s="33"/>
      <c r="BF26" s="34"/>
      <c r="BG26" s="34"/>
      <c r="BH26" s="35"/>
      <c r="BI26" s="33"/>
      <c r="BJ26" s="34"/>
      <c r="BK26" s="34"/>
      <c r="BL26" s="35"/>
      <c r="BM26" s="33"/>
      <c r="BN26" s="34"/>
      <c r="BO26" s="34"/>
      <c r="BP26" s="35"/>
      <c r="BQ26" s="33"/>
      <c r="BR26" s="34"/>
      <c r="BS26" s="34"/>
      <c r="BT26" s="35"/>
      <c r="BU26" s="33"/>
      <c r="BV26" s="34"/>
      <c r="BW26" s="34"/>
      <c r="BX26" s="35"/>
      <c r="BY26" s="33"/>
      <c r="BZ26" s="34"/>
      <c r="CA26" s="34"/>
      <c r="CB26" s="35"/>
      <c r="CC26" s="33"/>
      <c r="CD26" s="34"/>
      <c r="CE26" s="34"/>
      <c r="CF26" s="35"/>
      <c r="CG26" s="33"/>
      <c r="CH26" s="34"/>
      <c r="CI26" s="34"/>
      <c r="CJ26" s="35"/>
      <c r="CK26" s="33"/>
      <c r="CL26" s="34"/>
      <c r="CM26" s="34"/>
      <c r="CN26" s="35"/>
      <c r="CO26" s="33"/>
      <c r="CP26" s="34"/>
      <c r="CQ26" s="34"/>
      <c r="CR26" s="35"/>
      <c r="CS26" s="33"/>
      <c r="CT26" s="34"/>
      <c r="CU26" s="34"/>
      <c r="CV26" s="35"/>
      <c r="CW26" s="33"/>
      <c r="CX26" s="34"/>
      <c r="CY26" s="34"/>
      <c r="CZ26" s="35"/>
      <c r="DA26" s="33"/>
      <c r="DB26" s="34"/>
      <c r="DC26" s="34"/>
      <c r="DD26" s="35"/>
      <c r="DE26" s="33"/>
      <c r="DF26" s="34"/>
      <c r="DG26" s="34"/>
      <c r="DH26" s="35"/>
      <c r="DI26" s="33"/>
      <c r="DJ26" s="34"/>
      <c r="DK26" s="34"/>
      <c r="DL26" s="35"/>
      <c r="DM26" s="33"/>
      <c r="DN26" s="34"/>
      <c r="DO26" s="34"/>
      <c r="DP26" s="35"/>
      <c r="DQ26" s="33"/>
      <c r="DR26" s="34"/>
      <c r="DS26" s="34"/>
      <c r="DT26" s="35"/>
      <c r="DV26" s="36">
        <v>4</v>
      </c>
      <c r="DW26" s="37">
        <f>IF(ISBLANK(B25),"",COUNTIF(B28:DT28,"&gt;=3"))</f>
        <v>7</v>
      </c>
      <c r="DX26" s="83"/>
      <c r="DY26" s="20"/>
      <c r="EB26"/>
      <c r="EC26"/>
      <c r="ED26"/>
      <c r="EE26"/>
      <c r="EF26"/>
      <c r="EG26"/>
      <c r="EH26"/>
      <c r="EI26"/>
      <c r="EJ26"/>
      <c r="EK26"/>
      <c r="EL26"/>
      <c r="EM26"/>
      <c r="EN26"/>
      <c r="EO26"/>
      <c r="EZ26"/>
      <c r="FA26"/>
    </row>
    <row r="27" spans="2:157" ht="15" customHeight="1" x14ac:dyDescent="0.25">
      <c r="B27" s="84"/>
      <c r="C27" s="84"/>
      <c r="D27" s="27"/>
      <c r="E27" s="33"/>
      <c r="F27" s="34"/>
      <c r="G27" s="34"/>
      <c r="H27" s="35"/>
      <c r="I27" s="33"/>
      <c r="J27" s="34"/>
      <c r="K27" s="34"/>
      <c r="L27" s="35"/>
      <c r="M27" s="33"/>
      <c r="N27" s="34"/>
      <c r="O27" s="34"/>
      <c r="P27" s="35"/>
      <c r="Q27" s="33"/>
      <c r="R27" s="34"/>
      <c r="S27" s="34"/>
      <c r="T27" s="35"/>
      <c r="U27" s="33"/>
      <c r="V27" s="34"/>
      <c r="W27" s="34"/>
      <c r="X27" s="35"/>
      <c r="Y27" s="33"/>
      <c r="Z27" s="34"/>
      <c r="AA27" s="34"/>
      <c r="AB27" s="35"/>
      <c r="AC27" s="33"/>
      <c r="AD27" s="34"/>
      <c r="AE27" s="34"/>
      <c r="AF27" s="35"/>
      <c r="AG27" s="33"/>
      <c r="AH27" s="34"/>
      <c r="AI27" s="34"/>
      <c r="AJ27" s="35"/>
      <c r="AK27" s="33"/>
      <c r="AL27" s="34"/>
      <c r="AM27" s="34"/>
      <c r="AN27" s="35"/>
      <c r="AO27" s="33"/>
      <c r="AP27" s="34"/>
      <c r="AQ27" s="34"/>
      <c r="AR27" s="35"/>
      <c r="AS27" s="33"/>
      <c r="AT27" s="34"/>
      <c r="AU27" s="34"/>
      <c r="AV27" s="35"/>
      <c r="AW27" s="33"/>
      <c r="AX27" s="34"/>
      <c r="AY27" s="34"/>
      <c r="AZ27" s="35"/>
      <c r="BA27" s="33"/>
      <c r="BB27" s="34"/>
      <c r="BC27" s="34"/>
      <c r="BD27" s="35"/>
      <c r="BE27" s="33"/>
      <c r="BF27" s="34"/>
      <c r="BG27" s="34"/>
      <c r="BH27" s="35"/>
      <c r="BI27" s="33"/>
      <c r="BJ27" s="34"/>
      <c r="BK27" s="34"/>
      <c r="BL27" s="35"/>
      <c r="BM27" s="33"/>
      <c r="BN27" s="34"/>
      <c r="BO27" s="34"/>
      <c r="BP27" s="35"/>
      <c r="BQ27" s="33"/>
      <c r="BR27" s="34"/>
      <c r="BS27" s="34"/>
      <c r="BT27" s="35"/>
      <c r="BU27" s="33"/>
      <c r="BV27" s="34"/>
      <c r="BW27" s="34"/>
      <c r="BX27" s="35"/>
      <c r="BY27" s="33"/>
      <c r="BZ27" s="34"/>
      <c r="CA27" s="34"/>
      <c r="CB27" s="35"/>
      <c r="CC27" s="33"/>
      <c r="CD27" s="34"/>
      <c r="CE27" s="34"/>
      <c r="CF27" s="35"/>
      <c r="CG27" s="33"/>
      <c r="CH27" s="34"/>
      <c r="CI27" s="34"/>
      <c r="CJ27" s="35"/>
      <c r="CK27" s="33"/>
      <c r="CL27" s="34"/>
      <c r="CM27" s="34"/>
      <c r="CN27" s="35"/>
      <c r="CO27" s="33"/>
      <c r="CP27" s="34"/>
      <c r="CQ27" s="34"/>
      <c r="CR27" s="35"/>
      <c r="CS27" s="33"/>
      <c r="CT27" s="34"/>
      <c r="CU27" s="34"/>
      <c r="CV27" s="35"/>
      <c r="CW27" s="33"/>
      <c r="CX27" s="34"/>
      <c r="CY27" s="34"/>
      <c r="CZ27" s="35"/>
      <c r="DA27" s="33"/>
      <c r="DB27" s="34"/>
      <c r="DC27" s="34"/>
      <c r="DD27" s="35"/>
      <c r="DE27" s="33"/>
      <c r="DF27" s="34"/>
      <c r="DG27" s="34"/>
      <c r="DH27" s="35"/>
      <c r="DI27" s="33"/>
      <c r="DJ27" s="34"/>
      <c r="DK27" s="34"/>
      <c r="DL27" s="35"/>
      <c r="DM27" s="33"/>
      <c r="DN27" s="34"/>
      <c r="DO27" s="34"/>
      <c r="DP27" s="35"/>
      <c r="DQ27" s="33"/>
      <c r="DR27" s="34"/>
      <c r="DS27" s="34"/>
      <c r="DT27" s="35"/>
      <c r="DV27" s="81" t="str">
        <f>IF(ISBLANK(B25),"","personas cualificadas")</f>
        <v>personas cualificadas</v>
      </c>
      <c r="DW27" s="81" t="str">
        <f>IF(ISBLANK(B25),"","personas cualificadas")</f>
        <v>personas cualificadas</v>
      </c>
      <c r="DX27" s="83"/>
      <c r="DY27" s="20"/>
      <c r="EB27"/>
      <c r="EC27"/>
      <c r="ED27"/>
      <c r="EE27"/>
      <c r="EF27"/>
      <c r="EG27"/>
      <c r="EH27"/>
      <c r="EI27"/>
      <c r="EJ27"/>
      <c r="EK27"/>
      <c r="EL27"/>
      <c r="EM27"/>
      <c r="EN27"/>
      <c r="EO27"/>
      <c r="EZ27"/>
      <c r="FA27"/>
    </row>
    <row r="28" spans="2:157" x14ac:dyDescent="0.25">
      <c r="B28" s="84"/>
      <c r="C28" s="84"/>
      <c r="D28" s="27"/>
      <c r="E28" s="69"/>
      <c r="F28" s="70"/>
      <c r="G28" s="70"/>
      <c r="H28" s="71"/>
      <c r="I28" s="69"/>
      <c r="J28" s="70"/>
      <c r="K28" s="70"/>
      <c r="L28" s="71"/>
      <c r="M28" s="69"/>
      <c r="N28" s="70"/>
      <c r="O28" s="70"/>
      <c r="P28" s="71"/>
      <c r="Q28" s="69">
        <v>3</v>
      </c>
      <c r="R28" s="70"/>
      <c r="S28" s="70"/>
      <c r="T28" s="71"/>
      <c r="U28" s="69"/>
      <c r="V28" s="70"/>
      <c r="W28" s="70"/>
      <c r="X28" s="71"/>
      <c r="Y28" s="69"/>
      <c r="Z28" s="70"/>
      <c r="AA28" s="70"/>
      <c r="AB28" s="71"/>
      <c r="AC28" s="69"/>
      <c r="AD28" s="70"/>
      <c r="AE28" s="70"/>
      <c r="AF28" s="71"/>
      <c r="AG28" s="69">
        <v>4</v>
      </c>
      <c r="AH28" s="70"/>
      <c r="AI28" s="70"/>
      <c r="AJ28" s="71"/>
      <c r="AK28" s="69"/>
      <c r="AL28" s="70"/>
      <c r="AM28" s="70"/>
      <c r="AN28" s="71"/>
      <c r="AO28" s="69"/>
      <c r="AP28" s="70"/>
      <c r="AQ28" s="70"/>
      <c r="AR28" s="71"/>
      <c r="AS28" s="69"/>
      <c r="AT28" s="70"/>
      <c r="AU28" s="70"/>
      <c r="AV28" s="71"/>
      <c r="AW28" s="69"/>
      <c r="AX28" s="70"/>
      <c r="AY28" s="70"/>
      <c r="AZ28" s="71"/>
      <c r="BA28" s="69"/>
      <c r="BB28" s="70"/>
      <c r="BC28" s="70"/>
      <c r="BD28" s="71"/>
      <c r="BE28" s="69"/>
      <c r="BF28" s="70"/>
      <c r="BG28" s="70"/>
      <c r="BH28" s="71"/>
      <c r="BI28" s="69"/>
      <c r="BJ28" s="70"/>
      <c r="BK28" s="70"/>
      <c r="BL28" s="71"/>
      <c r="BM28" s="69"/>
      <c r="BN28" s="70"/>
      <c r="BO28" s="70"/>
      <c r="BP28" s="71"/>
      <c r="BQ28" s="69">
        <v>4</v>
      </c>
      <c r="BR28" s="70"/>
      <c r="BS28" s="70"/>
      <c r="BT28" s="71"/>
      <c r="BU28" s="69">
        <v>4</v>
      </c>
      <c r="BV28" s="70"/>
      <c r="BW28" s="70"/>
      <c r="BX28" s="71"/>
      <c r="BY28" s="69"/>
      <c r="BZ28" s="70"/>
      <c r="CA28" s="70"/>
      <c r="CB28" s="71"/>
      <c r="CC28" s="69">
        <v>4</v>
      </c>
      <c r="CD28" s="70"/>
      <c r="CE28" s="70"/>
      <c r="CF28" s="71"/>
      <c r="CG28" s="69">
        <v>4</v>
      </c>
      <c r="CH28" s="70"/>
      <c r="CI28" s="70"/>
      <c r="CJ28" s="71"/>
      <c r="CK28" s="69"/>
      <c r="CL28" s="70"/>
      <c r="CM28" s="70"/>
      <c r="CN28" s="71"/>
      <c r="CO28" s="69"/>
      <c r="CP28" s="70"/>
      <c r="CQ28" s="70"/>
      <c r="CR28" s="71"/>
      <c r="CS28" s="69">
        <v>4</v>
      </c>
      <c r="CT28" s="70"/>
      <c r="CU28" s="70"/>
      <c r="CV28" s="71"/>
      <c r="CW28" s="69">
        <v>2</v>
      </c>
      <c r="CX28" s="70"/>
      <c r="CY28" s="70"/>
      <c r="CZ28" s="71"/>
      <c r="DA28" s="69"/>
      <c r="DB28" s="70"/>
      <c r="DC28" s="70"/>
      <c r="DD28" s="71"/>
      <c r="DE28" s="69"/>
      <c r="DF28" s="70"/>
      <c r="DG28" s="70"/>
      <c r="DH28" s="71"/>
      <c r="DI28" s="69"/>
      <c r="DJ28" s="70"/>
      <c r="DK28" s="70"/>
      <c r="DL28" s="71"/>
      <c r="DM28" s="69"/>
      <c r="DN28" s="70"/>
      <c r="DO28" s="70"/>
      <c r="DP28" s="71"/>
      <c r="DQ28" s="69"/>
      <c r="DR28" s="70"/>
      <c r="DS28" s="70"/>
      <c r="DT28" s="71"/>
      <c r="DU28" s="38"/>
      <c r="DV28" s="82"/>
      <c r="DW28" s="82"/>
      <c r="DX28" s="83"/>
      <c r="DY28" s="20"/>
      <c r="EB28"/>
      <c r="EC28"/>
      <c r="ED28"/>
      <c r="EE28"/>
      <c r="EF28"/>
      <c r="EG28"/>
      <c r="EH28"/>
      <c r="EI28"/>
      <c r="EJ28"/>
      <c r="EK28"/>
      <c r="EL28"/>
      <c r="EM28"/>
      <c r="EN28"/>
      <c r="EO28"/>
      <c r="EZ28"/>
      <c r="FA28"/>
    </row>
    <row r="29" spans="2:157" ht="6" customHeight="1" x14ac:dyDescent="0.25">
      <c r="B29" s="84" t="s">
        <v>54</v>
      </c>
      <c r="C29" s="84"/>
      <c r="D29" s="27"/>
      <c r="E29" s="28"/>
      <c r="F29" s="29"/>
      <c r="G29" s="29"/>
      <c r="H29" s="30"/>
      <c r="I29" s="28"/>
      <c r="J29" s="29"/>
      <c r="K29" s="29"/>
      <c r="L29" s="30"/>
      <c r="M29" s="28"/>
      <c r="N29" s="29"/>
      <c r="O29" s="29"/>
      <c r="P29" s="30"/>
      <c r="Q29" s="28"/>
      <c r="R29" s="29"/>
      <c r="S29" s="29"/>
      <c r="T29" s="30"/>
      <c r="U29" s="28"/>
      <c r="V29" s="29"/>
      <c r="W29" s="29"/>
      <c r="X29" s="30"/>
      <c r="Y29" s="28"/>
      <c r="Z29" s="29"/>
      <c r="AA29" s="29"/>
      <c r="AB29" s="30"/>
      <c r="AC29" s="28"/>
      <c r="AD29" s="29"/>
      <c r="AE29" s="29"/>
      <c r="AF29" s="30"/>
      <c r="AG29" s="28"/>
      <c r="AH29" s="29"/>
      <c r="AI29" s="29"/>
      <c r="AJ29" s="30"/>
      <c r="AK29" s="28"/>
      <c r="AL29" s="29"/>
      <c r="AM29" s="29"/>
      <c r="AN29" s="30"/>
      <c r="AO29" s="28"/>
      <c r="AP29" s="29"/>
      <c r="AQ29" s="29"/>
      <c r="AR29" s="30"/>
      <c r="AS29" s="28"/>
      <c r="AT29" s="29"/>
      <c r="AU29" s="29"/>
      <c r="AV29" s="30"/>
      <c r="AW29" s="28"/>
      <c r="AX29" s="29"/>
      <c r="AY29" s="29"/>
      <c r="AZ29" s="30"/>
      <c r="BA29" s="28"/>
      <c r="BB29" s="29"/>
      <c r="BC29" s="29"/>
      <c r="BD29" s="30"/>
      <c r="BE29" s="28"/>
      <c r="BF29" s="29"/>
      <c r="BG29" s="29"/>
      <c r="BH29" s="30"/>
      <c r="BI29" s="28"/>
      <c r="BJ29" s="29"/>
      <c r="BK29" s="29"/>
      <c r="BL29" s="30"/>
      <c r="BM29" s="28"/>
      <c r="BN29" s="29"/>
      <c r="BO29" s="29"/>
      <c r="BP29" s="30"/>
      <c r="BQ29" s="28"/>
      <c r="BR29" s="29"/>
      <c r="BS29" s="29"/>
      <c r="BT29" s="30"/>
      <c r="BU29" s="28"/>
      <c r="BV29" s="29"/>
      <c r="BW29" s="29"/>
      <c r="BX29" s="30"/>
      <c r="BY29" s="28"/>
      <c r="BZ29" s="29"/>
      <c r="CA29" s="29"/>
      <c r="CB29" s="30"/>
      <c r="CC29" s="28"/>
      <c r="CD29" s="29"/>
      <c r="CE29" s="29"/>
      <c r="CF29" s="30"/>
      <c r="CG29" s="28"/>
      <c r="CH29" s="29"/>
      <c r="CI29" s="29"/>
      <c r="CJ29" s="30"/>
      <c r="CK29" s="28"/>
      <c r="CL29" s="29"/>
      <c r="CM29" s="29"/>
      <c r="CN29" s="30"/>
      <c r="CO29" s="28"/>
      <c r="CP29" s="29"/>
      <c r="CQ29" s="29"/>
      <c r="CR29" s="30"/>
      <c r="CS29" s="28"/>
      <c r="CT29" s="29"/>
      <c r="CU29" s="29"/>
      <c r="CV29" s="30"/>
      <c r="CW29" s="28"/>
      <c r="CX29" s="29"/>
      <c r="CY29" s="29"/>
      <c r="CZ29" s="30"/>
      <c r="DA29" s="28"/>
      <c r="DB29" s="29"/>
      <c r="DC29" s="29"/>
      <c r="DD29" s="30"/>
      <c r="DE29" s="28"/>
      <c r="DF29" s="29"/>
      <c r="DG29" s="29"/>
      <c r="DH29" s="30"/>
      <c r="DI29" s="28"/>
      <c r="DJ29" s="29"/>
      <c r="DK29" s="29"/>
      <c r="DL29" s="30"/>
      <c r="DM29" s="28"/>
      <c r="DN29" s="29"/>
      <c r="DO29" s="29"/>
      <c r="DP29" s="30"/>
      <c r="DQ29" s="28"/>
      <c r="DR29" s="29"/>
      <c r="DS29" s="29"/>
      <c r="DT29" s="30"/>
      <c r="DV29" s="31"/>
      <c r="DW29" s="32"/>
      <c r="DX29" s="83">
        <f>IF(ISBLANK(B29),"",IF(DW30&gt;=DV30,3,IF(DW30=(DV30-1),2,1)))</f>
        <v>3</v>
      </c>
      <c r="DY29" s="20"/>
      <c r="EB29"/>
      <c r="EC29"/>
      <c r="ED29"/>
      <c r="EE29"/>
      <c r="EF29"/>
      <c r="EG29"/>
      <c r="EH29"/>
      <c r="EI29"/>
      <c r="EJ29"/>
      <c r="EK29"/>
      <c r="EL29"/>
      <c r="EM29"/>
      <c r="EN29"/>
      <c r="EO29"/>
      <c r="EZ29"/>
      <c r="FA29"/>
    </row>
    <row r="30" spans="2:157" ht="15" customHeight="1" x14ac:dyDescent="0.25">
      <c r="B30" s="84"/>
      <c r="C30" s="84"/>
      <c r="D30" s="27"/>
      <c r="E30" s="33"/>
      <c r="F30" s="34"/>
      <c r="G30" s="34"/>
      <c r="H30" s="35"/>
      <c r="I30" s="33"/>
      <c r="J30" s="34"/>
      <c r="K30" s="34"/>
      <c r="L30" s="35"/>
      <c r="M30" s="33"/>
      <c r="N30" s="34"/>
      <c r="O30" s="34"/>
      <c r="P30" s="35"/>
      <c r="Q30" s="33"/>
      <c r="R30" s="34"/>
      <c r="S30" s="34"/>
      <c r="T30" s="35"/>
      <c r="U30" s="33"/>
      <c r="V30" s="34"/>
      <c r="W30" s="34"/>
      <c r="X30" s="35"/>
      <c r="Y30" s="33"/>
      <c r="Z30" s="34"/>
      <c r="AA30" s="34"/>
      <c r="AB30" s="35"/>
      <c r="AC30" s="33"/>
      <c r="AD30" s="34"/>
      <c r="AE30" s="34"/>
      <c r="AF30" s="35"/>
      <c r="AG30" s="33"/>
      <c r="AH30" s="34"/>
      <c r="AI30" s="34"/>
      <c r="AJ30" s="35"/>
      <c r="AK30" s="33"/>
      <c r="AL30" s="34"/>
      <c r="AM30" s="34"/>
      <c r="AN30" s="35"/>
      <c r="AO30" s="33"/>
      <c r="AP30" s="34"/>
      <c r="AQ30" s="34"/>
      <c r="AR30" s="35"/>
      <c r="AS30" s="33"/>
      <c r="AT30" s="34"/>
      <c r="AU30" s="34"/>
      <c r="AV30" s="35"/>
      <c r="AW30" s="33"/>
      <c r="AX30" s="34"/>
      <c r="AY30" s="34"/>
      <c r="AZ30" s="35"/>
      <c r="BA30" s="33"/>
      <c r="BB30" s="34"/>
      <c r="BC30" s="34"/>
      <c r="BD30" s="35"/>
      <c r="BE30" s="33"/>
      <c r="BF30" s="34"/>
      <c r="BG30" s="34"/>
      <c r="BH30" s="35"/>
      <c r="BI30" s="33"/>
      <c r="BJ30" s="34"/>
      <c r="BK30" s="34"/>
      <c r="BL30" s="35"/>
      <c r="BM30" s="33"/>
      <c r="BN30" s="34"/>
      <c r="BO30" s="34"/>
      <c r="BP30" s="35"/>
      <c r="BQ30" s="33"/>
      <c r="BR30" s="34"/>
      <c r="BS30" s="34"/>
      <c r="BT30" s="35"/>
      <c r="BU30" s="33"/>
      <c r="BV30" s="34"/>
      <c r="BW30" s="34"/>
      <c r="BX30" s="35"/>
      <c r="BY30" s="33"/>
      <c r="BZ30" s="34"/>
      <c r="CA30" s="34"/>
      <c r="CB30" s="35"/>
      <c r="CC30" s="33"/>
      <c r="CD30" s="34"/>
      <c r="CE30" s="34"/>
      <c r="CF30" s="35"/>
      <c r="CG30" s="33"/>
      <c r="CH30" s="34"/>
      <c r="CI30" s="34"/>
      <c r="CJ30" s="35"/>
      <c r="CK30" s="33"/>
      <c r="CL30" s="34"/>
      <c r="CM30" s="34"/>
      <c r="CN30" s="35"/>
      <c r="CO30" s="33"/>
      <c r="CP30" s="34"/>
      <c r="CQ30" s="34"/>
      <c r="CR30" s="35"/>
      <c r="CS30" s="33"/>
      <c r="CT30" s="34"/>
      <c r="CU30" s="34"/>
      <c r="CV30" s="35"/>
      <c r="CW30" s="33"/>
      <c r="CX30" s="34"/>
      <c r="CY30" s="34"/>
      <c r="CZ30" s="35"/>
      <c r="DA30" s="33"/>
      <c r="DB30" s="34"/>
      <c r="DC30" s="34"/>
      <c r="DD30" s="35"/>
      <c r="DE30" s="33"/>
      <c r="DF30" s="34"/>
      <c r="DG30" s="34"/>
      <c r="DH30" s="35"/>
      <c r="DI30" s="33"/>
      <c r="DJ30" s="34"/>
      <c r="DK30" s="34"/>
      <c r="DL30" s="35"/>
      <c r="DM30" s="33"/>
      <c r="DN30" s="34"/>
      <c r="DO30" s="34"/>
      <c r="DP30" s="35"/>
      <c r="DQ30" s="33"/>
      <c r="DR30" s="34"/>
      <c r="DS30" s="34"/>
      <c r="DT30" s="35"/>
      <c r="DV30" s="36">
        <v>8</v>
      </c>
      <c r="DW30" s="37">
        <f>IF(ISBLANK(B29),"",COUNTIF(B32:DT32,"&gt;=3"))</f>
        <v>10</v>
      </c>
      <c r="DX30" s="83"/>
      <c r="DY30" s="20"/>
      <c r="EB30"/>
      <c r="EC30"/>
      <c r="ED30"/>
      <c r="EE30"/>
      <c r="EF30"/>
      <c r="EG30"/>
      <c r="EH30"/>
      <c r="EI30"/>
      <c r="EJ30"/>
      <c r="EK30"/>
      <c r="EL30"/>
      <c r="EM30"/>
      <c r="EN30"/>
      <c r="EO30"/>
      <c r="EZ30"/>
      <c r="FA30"/>
    </row>
    <row r="31" spans="2:157" ht="15" customHeight="1" x14ac:dyDescent="0.25">
      <c r="B31" s="84"/>
      <c r="C31" s="84"/>
      <c r="D31" s="27"/>
      <c r="E31" s="33"/>
      <c r="F31" s="34"/>
      <c r="G31" s="34"/>
      <c r="H31" s="35"/>
      <c r="I31" s="33"/>
      <c r="J31" s="34"/>
      <c r="K31" s="34"/>
      <c r="L31" s="35"/>
      <c r="M31" s="33"/>
      <c r="N31" s="34"/>
      <c r="O31" s="34"/>
      <c r="P31" s="35"/>
      <c r="Q31" s="33"/>
      <c r="R31" s="34"/>
      <c r="S31" s="34"/>
      <c r="T31" s="35"/>
      <c r="U31" s="33"/>
      <c r="V31" s="34"/>
      <c r="W31" s="34"/>
      <c r="X31" s="35"/>
      <c r="Y31" s="33"/>
      <c r="Z31" s="34"/>
      <c r="AA31" s="34"/>
      <c r="AB31" s="35"/>
      <c r="AC31" s="33"/>
      <c r="AD31" s="34"/>
      <c r="AE31" s="34"/>
      <c r="AF31" s="35"/>
      <c r="AG31" s="33"/>
      <c r="AH31" s="34"/>
      <c r="AI31" s="34"/>
      <c r="AJ31" s="35"/>
      <c r="AK31" s="33"/>
      <c r="AL31" s="34"/>
      <c r="AM31" s="34"/>
      <c r="AN31" s="35"/>
      <c r="AO31" s="33"/>
      <c r="AP31" s="34"/>
      <c r="AQ31" s="34"/>
      <c r="AR31" s="35"/>
      <c r="AS31" s="33"/>
      <c r="AT31" s="34"/>
      <c r="AU31" s="34"/>
      <c r="AV31" s="35"/>
      <c r="AW31" s="33"/>
      <c r="AX31" s="34"/>
      <c r="AY31" s="34"/>
      <c r="AZ31" s="35"/>
      <c r="BA31" s="33"/>
      <c r="BB31" s="34"/>
      <c r="BC31" s="34"/>
      <c r="BD31" s="35"/>
      <c r="BE31" s="33"/>
      <c r="BF31" s="34"/>
      <c r="BG31" s="34"/>
      <c r="BH31" s="35"/>
      <c r="BI31" s="33"/>
      <c r="BJ31" s="34"/>
      <c r="BK31" s="34"/>
      <c r="BL31" s="35"/>
      <c r="BM31" s="33"/>
      <c r="BN31" s="34"/>
      <c r="BO31" s="34"/>
      <c r="BP31" s="35"/>
      <c r="BQ31" s="33"/>
      <c r="BR31" s="34"/>
      <c r="BS31" s="34"/>
      <c r="BT31" s="35"/>
      <c r="BU31" s="33"/>
      <c r="BV31" s="34"/>
      <c r="BW31" s="34"/>
      <c r="BX31" s="35"/>
      <c r="BY31" s="33"/>
      <c r="BZ31" s="34"/>
      <c r="CA31" s="34"/>
      <c r="CB31" s="35"/>
      <c r="CC31" s="33"/>
      <c r="CD31" s="34"/>
      <c r="CE31" s="34"/>
      <c r="CF31" s="35"/>
      <c r="CG31" s="33"/>
      <c r="CH31" s="34"/>
      <c r="CI31" s="34"/>
      <c r="CJ31" s="35"/>
      <c r="CK31" s="33"/>
      <c r="CL31" s="34"/>
      <c r="CM31" s="34"/>
      <c r="CN31" s="35"/>
      <c r="CO31" s="33"/>
      <c r="CP31" s="34"/>
      <c r="CQ31" s="34"/>
      <c r="CR31" s="35"/>
      <c r="CS31" s="33"/>
      <c r="CT31" s="34"/>
      <c r="CU31" s="34"/>
      <c r="CV31" s="35"/>
      <c r="CW31" s="33"/>
      <c r="CX31" s="34"/>
      <c r="CY31" s="34"/>
      <c r="CZ31" s="35"/>
      <c r="DA31" s="33"/>
      <c r="DB31" s="34"/>
      <c r="DC31" s="34"/>
      <c r="DD31" s="35"/>
      <c r="DE31" s="33"/>
      <c r="DF31" s="34"/>
      <c r="DG31" s="34"/>
      <c r="DH31" s="35"/>
      <c r="DI31" s="33"/>
      <c r="DJ31" s="34"/>
      <c r="DK31" s="34"/>
      <c r="DL31" s="35"/>
      <c r="DM31" s="33"/>
      <c r="DN31" s="34"/>
      <c r="DO31" s="34"/>
      <c r="DP31" s="35"/>
      <c r="DQ31" s="33"/>
      <c r="DR31" s="34"/>
      <c r="DS31" s="34"/>
      <c r="DT31" s="35"/>
      <c r="DV31" s="81" t="str">
        <f>IF(ISBLANK(B29),"","personas cualificadas")</f>
        <v>personas cualificadas</v>
      </c>
      <c r="DW31" s="81" t="str">
        <f>IF(ISBLANK(B29),"","personas cualificadas")</f>
        <v>personas cualificadas</v>
      </c>
      <c r="DX31" s="83"/>
      <c r="DY31" s="20"/>
      <c r="EB31"/>
      <c r="EC31"/>
      <c r="ED31"/>
      <c r="EE31"/>
      <c r="EF31"/>
      <c r="EG31"/>
      <c r="EH31"/>
      <c r="EI31"/>
      <c r="EJ31"/>
      <c r="EK31"/>
      <c r="EL31"/>
      <c r="EM31"/>
      <c r="EN31"/>
      <c r="EO31"/>
      <c r="EZ31"/>
      <c r="FA31"/>
    </row>
    <row r="32" spans="2:157" ht="14.45" customHeight="1" x14ac:dyDescent="0.25">
      <c r="B32" s="84"/>
      <c r="C32" s="84"/>
      <c r="D32" s="27"/>
      <c r="E32" s="69"/>
      <c r="F32" s="70"/>
      <c r="G32" s="70"/>
      <c r="H32" s="71"/>
      <c r="I32" s="69">
        <v>1</v>
      </c>
      <c r="J32" s="70"/>
      <c r="K32" s="70"/>
      <c r="L32" s="71"/>
      <c r="M32" s="69"/>
      <c r="N32" s="70"/>
      <c r="O32" s="70"/>
      <c r="P32" s="71"/>
      <c r="Q32" s="69">
        <v>2</v>
      </c>
      <c r="R32" s="70"/>
      <c r="S32" s="70"/>
      <c r="T32" s="71"/>
      <c r="U32" s="69">
        <v>4</v>
      </c>
      <c r="V32" s="70"/>
      <c r="W32" s="70"/>
      <c r="X32" s="71"/>
      <c r="Y32" s="69">
        <v>4</v>
      </c>
      <c r="Z32" s="70"/>
      <c r="AA32" s="70"/>
      <c r="AB32" s="71"/>
      <c r="AC32" s="69">
        <v>3</v>
      </c>
      <c r="AD32" s="70"/>
      <c r="AE32" s="70"/>
      <c r="AF32" s="71"/>
      <c r="AG32" s="69">
        <v>3</v>
      </c>
      <c r="AH32" s="70"/>
      <c r="AI32" s="70"/>
      <c r="AJ32" s="71"/>
      <c r="AK32" s="69"/>
      <c r="AL32" s="70"/>
      <c r="AM32" s="70"/>
      <c r="AN32" s="71"/>
      <c r="AO32" s="69"/>
      <c r="AP32" s="70"/>
      <c r="AQ32" s="70"/>
      <c r="AR32" s="71"/>
      <c r="AS32" s="69"/>
      <c r="AT32" s="70"/>
      <c r="AU32" s="70"/>
      <c r="AV32" s="71"/>
      <c r="AW32" s="69"/>
      <c r="AX32" s="70"/>
      <c r="AY32" s="70"/>
      <c r="AZ32" s="71"/>
      <c r="BA32" s="69">
        <v>4</v>
      </c>
      <c r="BB32" s="70"/>
      <c r="BC32" s="70"/>
      <c r="BD32" s="71"/>
      <c r="BE32" s="69"/>
      <c r="BF32" s="70"/>
      <c r="BG32" s="70"/>
      <c r="BH32" s="71"/>
      <c r="BI32" s="69"/>
      <c r="BJ32" s="70"/>
      <c r="BK32" s="70"/>
      <c r="BL32" s="71"/>
      <c r="BM32" s="69"/>
      <c r="BN32" s="70"/>
      <c r="BO32" s="70"/>
      <c r="BP32" s="71"/>
      <c r="BQ32" s="69"/>
      <c r="BR32" s="70"/>
      <c r="BS32" s="70"/>
      <c r="BT32" s="71"/>
      <c r="BU32" s="69">
        <v>3</v>
      </c>
      <c r="BV32" s="70"/>
      <c r="BW32" s="70"/>
      <c r="BX32" s="71"/>
      <c r="BY32" s="69"/>
      <c r="BZ32" s="70"/>
      <c r="CA32" s="70"/>
      <c r="CB32" s="71"/>
      <c r="CC32" s="69">
        <v>2</v>
      </c>
      <c r="CD32" s="70"/>
      <c r="CE32" s="70"/>
      <c r="CF32" s="71"/>
      <c r="CG32" s="69">
        <v>2</v>
      </c>
      <c r="CH32" s="70"/>
      <c r="CI32" s="70"/>
      <c r="CJ32" s="71"/>
      <c r="CK32" s="69">
        <v>3</v>
      </c>
      <c r="CL32" s="70"/>
      <c r="CM32" s="70"/>
      <c r="CN32" s="71"/>
      <c r="CO32" s="69">
        <v>3</v>
      </c>
      <c r="CP32" s="70"/>
      <c r="CQ32" s="70"/>
      <c r="CR32" s="71"/>
      <c r="CS32" s="69">
        <v>4</v>
      </c>
      <c r="CT32" s="70"/>
      <c r="CU32" s="70"/>
      <c r="CV32" s="71"/>
      <c r="CW32" s="69">
        <v>4</v>
      </c>
      <c r="CX32" s="70"/>
      <c r="CY32" s="70"/>
      <c r="CZ32" s="71"/>
      <c r="DA32" s="69">
        <v>1</v>
      </c>
      <c r="DB32" s="70"/>
      <c r="DC32" s="70"/>
      <c r="DD32" s="71"/>
      <c r="DE32" s="69"/>
      <c r="DF32" s="70"/>
      <c r="DG32" s="70"/>
      <c r="DH32" s="71"/>
      <c r="DI32" s="69"/>
      <c r="DJ32" s="70"/>
      <c r="DK32" s="70"/>
      <c r="DL32" s="71"/>
      <c r="DM32" s="69"/>
      <c r="DN32" s="70"/>
      <c r="DO32" s="70"/>
      <c r="DP32" s="71"/>
      <c r="DQ32" s="69"/>
      <c r="DR32" s="70"/>
      <c r="DS32" s="70"/>
      <c r="DT32" s="71"/>
      <c r="DU32" s="38"/>
      <c r="DV32" s="82"/>
      <c r="DW32" s="82"/>
      <c r="DX32" s="83"/>
      <c r="DY32" s="20"/>
      <c r="EB32"/>
      <c r="EC32"/>
      <c r="ED32"/>
      <c r="EE32"/>
      <c r="EF32"/>
      <c r="EG32"/>
      <c r="EH32"/>
      <c r="EI32"/>
      <c r="EJ32"/>
      <c r="EK32"/>
      <c r="EL32"/>
      <c r="EM32"/>
      <c r="EN32"/>
      <c r="EO32"/>
      <c r="EZ32"/>
      <c r="FA32"/>
    </row>
    <row r="33" spans="2:157" ht="6" customHeight="1" x14ac:dyDescent="0.25">
      <c r="B33" s="84" t="s">
        <v>55</v>
      </c>
      <c r="C33" s="84"/>
      <c r="D33" s="27"/>
      <c r="E33" s="28"/>
      <c r="F33" s="29"/>
      <c r="G33" s="29"/>
      <c r="H33" s="30"/>
      <c r="I33" s="28"/>
      <c r="J33" s="29"/>
      <c r="K33" s="29"/>
      <c r="L33" s="30"/>
      <c r="M33" s="28"/>
      <c r="N33" s="29"/>
      <c r="O33" s="29"/>
      <c r="P33" s="30"/>
      <c r="Q33" s="28"/>
      <c r="R33" s="29"/>
      <c r="S33" s="29"/>
      <c r="T33" s="30"/>
      <c r="U33" s="28"/>
      <c r="V33" s="29"/>
      <c r="W33" s="29"/>
      <c r="X33" s="30"/>
      <c r="Y33" s="28"/>
      <c r="Z33" s="29"/>
      <c r="AA33" s="29"/>
      <c r="AB33" s="30"/>
      <c r="AC33" s="28"/>
      <c r="AD33" s="29"/>
      <c r="AE33" s="29"/>
      <c r="AF33" s="30"/>
      <c r="AG33" s="28"/>
      <c r="AH33" s="29"/>
      <c r="AI33" s="29"/>
      <c r="AJ33" s="30"/>
      <c r="AK33" s="28"/>
      <c r="AL33" s="29"/>
      <c r="AM33" s="29"/>
      <c r="AN33" s="30"/>
      <c r="AO33" s="28"/>
      <c r="AP33" s="29"/>
      <c r="AQ33" s="29"/>
      <c r="AR33" s="30"/>
      <c r="AS33" s="28"/>
      <c r="AT33" s="29"/>
      <c r="AU33" s="29"/>
      <c r="AV33" s="30"/>
      <c r="AW33" s="28"/>
      <c r="AX33" s="29"/>
      <c r="AY33" s="29"/>
      <c r="AZ33" s="30"/>
      <c r="BA33" s="28"/>
      <c r="BB33" s="29"/>
      <c r="BC33" s="29"/>
      <c r="BD33" s="30"/>
      <c r="BE33" s="28"/>
      <c r="BF33" s="29"/>
      <c r="BG33" s="29"/>
      <c r="BH33" s="30"/>
      <c r="BI33" s="28"/>
      <c r="BJ33" s="29"/>
      <c r="BK33" s="29"/>
      <c r="BL33" s="30"/>
      <c r="BM33" s="28"/>
      <c r="BN33" s="29"/>
      <c r="BO33" s="29"/>
      <c r="BP33" s="30"/>
      <c r="BQ33" s="28"/>
      <c r="BR33" s="29"/>
      <c r="BS33" s="29"/>
      <c r="BT33" s="30"/>
      <c r="BU33" s="28"/>
      <c r="BV33" s="29"/>
      <c r="BW33" s="29"/>
      <c r="BX33" s="30"/>
      <c r="BY33" s="28"/>
      <c r="BZ33" s="29"/>
      <c r="CA33" s="29"/>
      <c r="CB33" s="30"/>
      <c r="CC33" s="28"/>
      <c r="CD33" s="29"/>
      <c r="CE33" s="29"/>
      <c r="CF33" s="30"/>
      <c r="CG33" s="28"/>
      <c r="CH33" s="29"/>
      <c r="CI33" s="29"/>
      <c r="CJ33" s="30"/>
      <c r="CK33" s="28"/>
      <c r="CL33" s="29"/>
      <c r="CM33" s="29"/>
      <c r="CN33" s="30"/>
      <c r="CO33" s="28"/>
      <c r="CP33" s="29"/>
      <c r="CQ33" s="29"/>
      <c r="CR33" s="30"/>
      <c r="CS33" s="28"/>
      <c r="CT33" s="29"/>
      <c r="CU33" s="29"/>
      <c r="CV33" s="30"/>
      <c r="CW33" s="28"/>
      <c r="CX33" s="29"/>
      <c r="CY33" s="29"/>
      <c r="CZ33" s="30"/>
      <c r="DA33" s="28"/>
      <c r="DB33" s="29"/>
      <c r="DC33" s="29"/>
      <c r="DD33" s="30"/>
      <c r="DE33" s="28"/>
      <c r="DF33" s="29"/>
      <c r="DG33" s="29"/>
      <c r="DH33" s="30"/>
      <c r="DI33" s="28"/>
      <c r="DJ33" s="29"/>
      <c r="DK33" s="29"/>
      <c r="DL33" s="30"/>
      <c r="DM33" s="28"/>
      <c r="DN33" s="29"/>
      <c r="DO33" s="29"/>
      <c r="DP33" s="30"/>
      <c r="DQ33" s="28"/>
      <c r="DR33" s="29"/>
      <c r="DS33" s="29"/>
      <c r="DT33" s="30"/>
      <c r="DV33" s="31"/>
      <c r="DW33" s="32"/>
      <c r="DX33" s="83">
        <f>IF(ISBLANK(B33),"",IF(DW34&gt;=DV34,3,IF(DW34=(DV34-1),2,1)))</f>
        <v>3</v>
      </c>
      <c r="DY33" s="20"/>
      <c r="EB33"/>
      <c r="EC33"/>
      <c r="ED33"/>
      <c r="EE33"/>
      <c r="EF33"/>
      <c r="EG33"/>
      <c r="EH33"/>
      <c r="EI33"/>
      <c r="EJ33"/>
      <c r="EK33"/>
      <c r="EL33"/>
      <c r="EM33"/>
      <c r="EN33"/>
      <c r="EO33"/>
      <c r="EZ33"/>
      <c r="FA33"/>
    </row>
    <row r="34" spans="2:157" ht="15" customHeight="1" x14ac:dyDescent="0.25">
      <c r="B34" s="84"/>
      <c r="C34" s="84"/>
      <c r="D34" s="27"/>
      <c r="E34" s="33"/>
      <c r="F34" s="34"/>
      <c r="G34" s="34"/>
      <c r="H34" s="35"/>
      <c r="I34" s="33"/>
      <c r="J34" s="34"/>
      <c r="K34" s="34"/>
      <c r="L34" s="35"/>
      <c r="M34" s="33"/>
      <c r="N34" s="34"/>
      <c r="O34" s="34"/>
      <c r="P34" s="35"/>
      <c r="Q34" s="33"/>
      <c r="R34" s="34"/>
      <c r="S34" s="34"/>
      <c r="T34" s="35"/>
      <c r="U34" s="33"/>
      <c r="V34" s="34"/>
      <c r="W34" s="34"/>
      <c r="X34" s="35"/>
      <c r="Y34" s="33"/>
      <c r="Z34" s="34"/>
      <c r="AA34" s="34"/>
      <c r="AB34" s="35"/>
      <c r="AC34" s="33"/>
      <c r="AD34" s="34"/>
      <c r="AE34" s="34"/>
      <c r="AF34" s="35"/>
      <c r="AG34" s="33"/>
      <c r="AH34" s="34"/>
      <c r="AI34" s="34"/>
      <c r="AJ34" s="35"/>
      <c r="AK34" s="33"/>
      <c r="AL34" s="34"/>
      <c r="AM34" s="34"/>
      <c r="AN34" s="35"/>
      <c r="AO34" s="33"/>
      <c r="AP34" s="34"/>
      <c r="AQ34" s="34"/>
      <c r="AR34" s="35"/>
      <c r="AS34" s="33"/>
      <c r="AT34" s="34"/>
      <c r="AU34" s="34"/>
      <c r="AV34" s="35"/>
      <c r="AW34" s="33"/>
      <c r="AX34" s="34"/>
      <c r="AY34" s="34"/>
      <c r="AZ34" s="35"/>
      <c r="BA34" s="33"/>
      <c r="BB34" s="34"/>
      <c r="BC34" s="34"/>
      <c r="BD34" s="35"/>
      <c r="BE34" s="33"/>
      <c r="BF34" s="34"/>
      <c r="BG34" s="34"/>
      <c r="BH34" s="35"/>
      <c r="BI34" s="33"/>
      <c r="BJ34" s="34"/>
      <c r="BK34" s="34"/>
      <c r="BL34" s="35"/>
      <c r="BM34" s="33"/>
      <c r="BN34" s="34"/>
      <c r="BO34" s="34"/>
      <c r="BP34" s="35"/>
      <c r="BQ34" s="33"/>
      <c r="BR34" s="34"/>
      <c r="BS34" s="34"/>
      <c r="BT34" s="35"/>
      <c r="BU34" s="33"/>
      <c r="BV34" s="34"/>
      <c r="BW34" s="34"/>
      <c r="BX34" s="35"/>
      <c r="BY34" s="33"/>
      <c r="BZ34" s="34"/>
      <c r="CA34" s="34"/>
      <c r="CB34" s="35"/>
      <c r="CC34" s="33"/>
      <c r="CD34" s="34"/>
      <c r="CE34" s="34"/>
      <c r="CF34" s="35"/>
      <c r="CG34" s="33"/>
      <c r="CH34" s="34"/>
      <c r="CI34" s="34"/>
      <c r="CJ34" s="35"/>
      <c r="CK34" s="33"/>
      <c r="CL34" s="34"/>
      <c r="CM34" s="34"/>
      <c r="CN34" s="35"/>
      <c r="CO34" s="33"/>
      <c r="CP34" s="34"/>
      <c r="CQ34" s="34"/>
      <c r="CR34" s="35"/>
      <c r="CS34" s="33"/>
      <c r="CT34" s="34"/>
      <c r="CU34" s="34"/>
      <c r="CV34" s="35"/>
      <c r="CW34" s="33"/>
      <c r="CX34" s="34"/>
      <c r="CY34" s="34"/>
      <c r="CZ34" s="35"/>
      <c r="DA34" s="33"/>
      <c r="DB34" s="34"/>
      <c r="DC34" s="34"/>
      <c r="DD34" s="35"/>
      <c r="DE34" s="33"/>
      <c r="DF34" s="34"/>
      <c r="DG34" s="34"/>
      <c r="DH34" s="35"/>
      <c r="DI34" s="33"/>
      <c r="DJ34" s="34"/>
      <c r="DK34" s="34"/>
      <c r="DL34" s="35"/>
      <c r="DM34" s="33"/>
      <c r="DN34" s="34"/>
      <c r="DO34" s="34"/>
      <c r="DP34" s="35"/>
      <c r="DQ34" s="33"/>
      <c r="DR34" s="34"/>
      <c r="DS34" s="34"/>
      <c r="DT34" s="35"/>
      <c r="DV34" s="36">
        <v>8</v>
      </c>
      <c r="DW34" s="37">
        <f>IF(ISBLANK(B33),"",COUNTIF(B36:DT36,"&gt;=3"))</f>
        <v>10</v>
      </c>
      <c r="DX34" s="83"/>
      <c r="DY34" s="20"/>
      <c r="EB34"/>
      <c r="EC34"/>
      <c r="ED34"/>
      <c r="EE34"/>
      <c r="EF34"/>
      <c r="EG34"/>
      <c r="EH34"/>
      <c r="EI34"/>
      <c r="EJ34"/>
      <c r="EK34"/>
      <c r="EL34"/>
      <c r="EM34"/>
      <c r="EN34"/>
      <c r="EO34"/>
      <c r="EZ34"/>
      <c r="FA34"/>
    </row>
    <row r="35" spans="2:157" ht="15" customHeight="1" x14ac:dyDescent="0.25">
      <c r="B35" s="84"/>
      <c r="C35" s="84"/>
      <c r="D35" s="27"/>
      <c r="E35" s="33"/>
      <c r="F35" s="34"/>
      <c r="G35" s="34"/>
      <c r="H35" s="35"/>
      <c r="I35" s="33"/>
      <c r="J35" s="34"/>
      <c r="K35" s="34"/>
      <c r="L35" s="35"/>
      <c r="M35" s="33"/>
      <c r="N35" s="34"/>
      <c r="O35" s="34"/>
      <c r="P35" s="35"/>
      <c r="Q35" s="33"/>
      <c r="R35" s="34"/>
      <c r="S35" s="34"/>
      <c r="T35" s="35"/>
      <c r="U35" s="33"/>
      <c r="V35" s="34"/>
      <c r="W35" s="34"/>
      <c r="X35" s="35"/>
      <c r="Y35" s="33"/>
      <c r="Z35" s="34"/>
      <c r="AA35" s="34"/>
      <c r="AB35" s="35"/>
      <c r="AC35" s="33"/>
      <c r="AD35" s="34"/>
      <c r="AE35" s="34"/>
      <c r="AF35" s="35"/>
      <c r="AG35" s="33"/>
      <c r="AH35" s="34"/>
      <c r="AI35" s="34"/>
      <c r="AJ35" s="35"/>
      <c r="AK35" s="33"/>
      <c r="AL35" s="34"/>
      <c r="AM35" s="34"/>
      <c r="AN35" s="35"/>
      <c r="AO35" s="33"/>
      <c r="AP35" s="34"/>
      <c r="AQ35" s="34"/>
      <c r="AR35" s="35"/>
      <c r="AS35" s="33"/>
      <c r="AT35" s="34"/>
      <c r="AU35" s="34"/>
      <c r="AV35" s="35"/>
      <c r="AW35" s="33"/>
      <c r="AX35" s="34"/>
      <c r="AY35" s="34"/>
      <c r="AZ35" s="35"/>
      <c r="BA35" s="33"/>
      <c r="BB35" s="34"/>
      <c r="BC35" s="34"/>
      <c r="BD35" s="35"/>
      <c r="BE35" s="33"/>
      <c r="BF35" s="34"/>
      <c r="BG35" s="34"/>
      <c r="BH35" s="35"/>
      <c r="BI35" s="33"/>
      <c r="BJ35" s="34"/>
      <c r="BK35" s="34"/>
      <c r="BL35" s="35"/>
      <c r="BM35" s="33"/>
      <c r="BN35" s="34"/>
      <c r="BO35" s="34"/>
      <c r="BP35" s="35"/>
      <c r="BQ35" s="33"/>
      <c r="BR35" s="34"/>
      <c r="BS35" s="34"/>
      <c r="BT35" s="35"/>
      <c r="BU35" s="33"/>
      <c r="BV35" s="34"/>
      <c r="BW35" s="34"/>
      <c r="BX35" s="35"/>
      <c r="BY35" s="33"/>
      <c r="BZ35" s="34"/>
      <c r="CA35" s="34"/>
      <c r="CB35" s="35"/>
      <c r="CC35" s="33"/>
      <c r="CD35" s="34"/>
      <c r="CE35" s="34"/>
      <c r="CF35" s="35"/>
      <c r="CG35" s="33"/>
      <c r="CH35" s="34"/>
      <c r="CI35" s="34"/>
      <c r="CJ35" s="35"/>
      <c r="CK35" s="33"/>
      <c r="CL35" s="34"/>
      <c r="CM35" s="34"/>
      <c r="CN35" s="35"/>
      <c r="CO35" s="33"/>
      <c r="CP35" s="34"/>
      <c r="CQ35" s="34"/>
      <c r="CR35" s="35"/>
      <c r="CS35" s="33"/>
      <c r="CT35" s="34"/>
      <c r="CU35" s="34"/>
      <c r="CV35" s="35"/>
      <c r="CW35" s="33"/>
      <c r="CX35" s="34"/>
      <c r="CY35" s="34"/>
      <c r="CZ35" s="35"/>
      <c r="DA35" s="33"/>
      <c r="DB35" s="34"/>
      <c r="DC35" s="34"/>
      <c r="DD35" s="35"/>
      <c r="DE35" s="33"/>
      <c r="DF35" s="34"/>
      <c r="DG35" s="34"/>
      <c r="DH35" s="35"/>
      <c r="DI35" s="33"/>
      <c r="DJ35" s="34"/>
      <c r="DK35" s="34"/>
      <c r="DL35" s="35"/>
      <c r="DM35" s="33"/>
      <c r="DN35" s="34"/>
      <c r="DO35" s="34"/>
      <c r="DP35" s="35"/>
      <c r="DQ35" s="33"/>
      <c r="DR35" s="34"/>
      <c r="DS35" s="34"/>
      <c r="DT35" s="35"/>
      <c r="DV35" s="81" t="str">
        <f>IF(ISBLANK(B33),"","personas cualificadas")</f>
        <v>personas cualificadas</v>
      </c>
      <c r="DW35" s="81" t="str">
        <f>IF(ISBLANK(B33),"","personas cualificadas")</f>
        <v>personas cualificadas</v>
      </c>
      <c r="DX35" s="83"/>
      <c r="DY35" s="20"/>
      <c r="EB35"/>
      <c r="EC35"/>
      <c r="ED35"/>
      <c r="EE35"/>
      <c r="EF35"/>
      <c r="EG35"/>
      <c r="EH35"/>
      <c r="EI35"/>
      <c r="EJ35"/>
      <c r="EK35"/>
      <c r="EL35"/>
      <c r="EM35"/>
      <c r="EN35"/>
      <c r="EO35"/>
      <c r="EZ35"/>
      <c r="FA35"/>
    </row>
    <row r="36" spans="2:157" ht="14.45" customHeight="1" x14ac:dyDescent="0.25">
      <c r="B36" s="84"/>
      <c r="C36" s="84"/>
      <c r="D36" s="27"/>
      <c r="E36" s="69"/>
      <c r="F36" s="70"/>
      <c r="G36" s="70"/>
      <c r="H36" s="71"/>
      <c r="I36" s="69">
        <v>1</v>
      </c>
      <c r="J36" s="70"/>
      <c r="K36" s="70"/>
      <c r="L36" s="71"/>
      <c r="M36" s="69"/>
      <c r="N36" s="70"/>
      <c r="O36" s="70"/>
      <c r="P36" s="71"/>
      <c r="Q36" s="69">
        <v>2</v>
      </c>
      <c r="R36" s="70"/>
      <c r="S36" s="70"/>
      <c r="T36" s="71"/>
      <c r="U36" s="69">
        <v>4</v>
      </c>
      <c r="V36" s="70"/>
      <c r="W36" s="70"/>
      <c r="X36" s="71"/>
      <c r="Y36" s="69">
        <v>4</v>
      </c>
      <c r="Z36" s="70"/>
      <c r="AA36" s="70"/>
      <c r="AB36" s="71"/>
      <c r="AC36" s="69">
        <v>3</v>
      </c>
      <c r="AD36" s="70"/>
      <c r="AE36" s="70"/>
      <c r="AF36" s="71"/>
      <c r="AG36" s="69">
        <v>4</v>
      </c>
      <c r="AH36" s="70"/>
      <c r="AI36" s="70"/>
      <c r="AJ36" s="71"/>
      <c r="AK36" s="69"/>
      <c r="AL36" s="70"/>
      <c r="AM36" s="70"/>
      <c r="AN36" s="71"/>
      <c r="AO36" s="69"/>
      <c r="AP36" s="70"/>
      <c r="AQ36" s="70"/>
      <c r="AR36" s="71"/>
      <c r="AS36" s="69"/>
      <c r="AT36" s="70"/>
      <c r="AU36" s="70"/>
      <c r="AV36" s="71"/>
      <c r="AW36" s="69"/>
      <c r="AX36" s="70"/>
      <c r="AY36" s="70"/>
      <c r="AZ36" s="71"/>
      <c r="BA36" s="69">
        <v>4</v>
      </c>
      <c r="BB36" s="70"/>
      <c r="BC36" s="70"/>
      <c r="BD36" s="71"/>
      <c r="BE36" s="69"/>
      <c r="BF36" s="70"/>
      <c r="BG36" s="70"/>
      <c r="BH36" s="71"/>
      <c r="BI36" s="69"/>
      <c r="BJ36" s="70"/>
      <c r="BK36" s="70"/>
      <c r="BL36" s="71"/>
      <c r="BM36" s="69"/>
      <c r="BN36" s="70"/>
      <c r="BO36" s="70"/>
      <c r="BP36" s="71"/>
      <c r="BQ36" s="69"/>
      <c r="BR36" s="70"/>
      <c r="BS36" s="70"/>
      <c r="BT36" s="71"/>
      <c r="BU36" s="69">
        <v>4</v>
      </c>
      <c r="BV36" s="70"/>
      <c r="BW36" s="70"/>
      <c r="BX36" s="71"/>
      <c r="BY36" s="69"/>
      <c r="BZ36" s="70"/>
      <c r="CA36" s="70"/>
      <c r="CB36" s="71"/>
      <c r="CC36" s="69">
        <v>2</v>
      </c>
      <c r="CD36" s="70"/>
      <c r="CE36" s="70"/>
      <c r="CF36" s="71"/>
      <c r="CG36" s="69">
        <v>2</v>
      </c>
      <c r="CH36" s="70"/>
      <c r="CI36" s="70"/>
      <c r="CJ36" s="71"/>
      <c r="CK36" s="69">
        <v>4</v>
      </c>
      <c r="CL36" s="70"/>
      <c r="CM36" s="70"/>
      <c r="CN36" s="71"/>
      <c r="CO36" s="69">
        <v>3</v>
      </c>
      <c r="CP36" s="70"/>
      <c r="CQ36" s="70"/>
      <c r="CR36" s="71"/>
      <c r="CS36" s="69">
        <v>4</v>
      </c>
      <c r="CT36" s="70"/>
      <c r="CU36" s="70"/>
      <c r="CV36" s="71"/>
      <c r="CW36" s="69">
        <v>4</v>
      </c>
      <c r="CX36" s="70"/>
      <c r="CY36" s="70"/>
      <c r="CZ36" s="71"/>
      <c r="DA36" s="69">
        <v>1</v>
      </c>
      <c r="DB36" s="70"/>
      <c r="DC36" s="70"/>
      <c r="DD36" s="71"/>
      <c r="DE36" s="69"/>
      <c r="DF36" s="70"/>
      <c r="DG36" s="70"/>
      <c r="DH36" s="71"/>
      <c r="DI36" s="69"/>
      <c r="DJ36" s="70"/>
      <c r="DK36" s="70"/>
      <c r="DL36" s="71"/>
      <c r="DM36" s="69"/>
      <c r="DN36" s="70"/>
      <c r="DO36" s="70"/>
      <c r="DP36" s="71"/>
      <c r="DQ36" s="69"/>
      <c r="DR36" s="70"/>
      <c r="DS36" s="70"/>
      <c r="DT36" s="71"/>
      <c r="DU36" s="38"/>
      <c r="DV36" s="82"/>
      <c r="DW36" s="82"/>
      <c r="DX36" s="83"/>
      <c r="DY36" s="20"/>
      <c r="EB36"/>
      <c r="EC36"/>
      <c r="ED36"/>
      <c r="EE36"/>
      <c r="EF36"/>
      <c r="EG36"/>
      <c r="EH36"/>
      <c r="EI36"/>
      <c r="EJ36"/>
      <c r="EK36"/>
      <c r="EL36"/>
      <c r="EM36"/>
      <c r="EN36"/>
      <c r="EO36"/>
      <c r="EZ36"/>
      <c r="FA36"/>
    </row>
    <row r="37" spans="2:157" ht="6" customHeight="1" x14ac:dyDescent="0.25">
      <c r="B37" s="84" t="s">
        <v>56</v>
      </c>
      <c r="C37" s="84"/>
      <c r="D37" s="27"/>
      <c r="E37" s="28"/>
      <c r="F37" s="29"/>
      <c r="G37" s="29"/>
      <c r="H37" s="30"/>
      <c r="I37" s="28"/>
      <c r="J37" s="29"/>
      <c r="K37" s="29"/>
      <c r="L37" s="30"/>
      <c r="M37" s="28"/>
      <c r="N37" s="29"/>
      <c r="O37" s="29"/>
      <c r="P37" s="30"/>
      <c r="Q37" s="28"/>
      <c r="R37" s="29"/>
      <c r="S37" s="29"/>
      <c r="T37" s="30"/>
      <c r="U37" s="28"/>
      <c r="V37" s="29"/>
      <c r="W37" s="29"/>
      <c r="X37" s="30"/>
      <c r="Y37" s="28"/>
      <c r="Z37" s="29"/>
      <c r="AA37" s="29"/>
      <c r="AB37" s="30"/>
      <c r="AC37" s="28"/>
      <c r="AD37" s="29"/>
      <c r="AE37" s="29"/>
      <c r="AF37" s="30"/>
      <c r="AG37" s="28"/>
      <c r="AH37" s="29"/>
      <c r="AI37" s="29"/>
      <c r="AJ37" s="30"/>
      <c r="AK37" s="28"/>
      <c r="AL37" s="29"/>
      <c r="AM37" s="29"/>
      <c r="AN37" s="30"/>
      <c r="AO37" s="28"/>
      <c r="AP37" s="29"/>
      <c r="AQ37" s="29"/>
      <c r="AR37" s="30"/>
      <c r="AS37" s="28"/>
      <c r="AT37" s="29"/>
      <c r="AU37" s="29"/>
      <c r="AV37" s="30"/>
      <c r="AW37" s="28"/>
      <c r="AX37" s="29"/>
      <c r="AY37" s="29"/>
      <c r="AZ37" s="30"/>
      <c r="BA37" s="28"/>
      <c r="BB37" s="29"/>
      <c r="BC37" s="29"/>
      <c r="BD37" s="30"/>
      <c r="BE37" s="28"/>
      <c r="BF37" s="29"/>
      <c r="BG37" s="29"/>
      <c r="BH37" s="30"/>
      <c r="BI37" s="28"/>
      <c r="BJ37" s="29"/>
      <c r="BK37" s="29"/>
      <c r="BL37" s="30"/>
      <c r="BM37" s="28"/>
      <c r="BN37" s="29"/>
      <c r="BO37" s="29"/>
      <c r="BP37" s="30"/>
      <c r="BQ37" s="28"/>
      <c r="BR37" s="29"/>
      <c r="BS37" s="29"/>
      <c r="BT37" s="30"/>
      <c r="BU37" s="28"/>
      <c r="BV37" s="29"/>
      <c r="BW37" s="29"/>
      <c r="BX37" s="30"/>
      <c r="BY37" s="28"/>
      <c r="BZ37" s="29"/>
      <c r="CA37" s="29"/>
      <c r="CB37" s="30"/>
      <c r="CC37" s="28"/>
      <c r="CD37" s="29"/>
      <c r="CE37" s="29"/>
      <c r="CF37" s="30"/>
      <c r="CG37" s="28"/>
      <c r="CH37" s="29"/>
      <c r="CI37" s="29"/>
      <c r="CJ37" s="30"/>
      <c r="CK37" s="28"/>
      <c r="CL37" s="29"/>
      <c r="CM37" s="29"/>
      <c r="CN37" s="30"/>
      <c r="CO37" s="28"/>
      <c r="CP37" s="29"/>
      <c r="CQ37" s="29"/>
      <c r="CR37" s="30"/>
      <c r="CS37" s="28"/>
      <c r="CT37" s="29"/>
      <c r="CU37" s="29"/>
      <c r="CV37" s="30"/>
      <c r="CW37" s="28"/>
      <c r="CX37" s="29"/>
      <c r="CY37" s="29"/>
      <c r="CZ37" s="30"/>
      <c r="DA37" s="28"/>
      <c r="DB37" s="29"/>
      <c r="DC37" s="29"/>
      <c r="DD37" s="30"/>
      <c r="DE37" s="28"/>
      <c r="DF37" s="29"/>
      <c r="DG37" s="29"/>
      <c r="DH37" s="30"/>
      <c r="DI37" s="28"/>
      <c r="DJ37" s="29"/>
      <c r="DK37" s="29"/>
      <c r="DL37" s="30"/>
      <c r="DM37" s="28"/>
      <c r="DN37" s="29"/>
      <c r="DO37" s="29"/>
      <c r="DP37" s="30"/>
      <c r="DQ37" s="28"/>
      <c r="DR37" s="29"/>
      <c r="DS37" s="29"/>
      <c r="DT37" s="30"/>
      <c r="DV37" s="31"/>
      <c r="DW37" s="31"/>
      <c r="DX37" s="83">
        <f>IF(ISBLANK(B37),"",IF(DW38&gt;=DV38,3,IF(DW38=(DV38-1),2,1)))</f>
        <v>3</v>
      </c>
      <c r="DY37" s="20"/>
      <c r="EB37"/>
      <c r="EC37"/>
      <c r="ED37"/>
      <c r="EE37"/>
      <c r="EF37"/>
      <c r="EG37"/>
      <c r="EH37"/>
      <c r="EI37"/>
      <c r="EJ37"/>
      <c r="EK37"/>
      <c r="EL37"/>
      <c r="EM37"/>
      <c r="EN37"/>
      <c r="EO37"/>
      <c r="EZ37"/>
      <c r="FA37"/>
    </row>
    <row r="38" spans="2:157" ht="15" customHeight="1" x14ac:dyDescent="0.25">
      <c r="B38" s="84"/>
      <c r="C38" s="84"/>
      <c r="D38" s="27"/>
      <c r="E38" s="33"/>
      <c r="F38" s="34"/>
      <c r="G38" s="34"/>
      <c r="H38" s="35"/>
      <c r="I38" s="33"/>
      <c r="J38" s="34"/>
      <c r="K38" s="34"/>
      <c r="L38" s="35"/>
      <c r="M38" s="33"/>
      <c r="N38" s="34"/>
      <c r="O38" s="34"/>
      <c r="P38" s="35"/>
      <c r="Q38" s="33"/>
      <c r="R38" s="34"/>
      <c r="S38" s="34"/>
      <c r="T38" s="35"/>
      <c r="U38" s="33"/>
      <c r="V38" s="34"/>
      <c r="W38" s="34"/>
      <c r="X38" s="35"/>
      <c r="Y38" s="33"/>
      <c r="Z38" s="34"/>
      <c r="AA38" s="34"/>
      <c r="AB38" s="35"/>
      <c r="AC38" s="33"/>
      <c r="AD38" s="34"/>
      <c r="AE38" s="34"/>
      <c r="AF38" s="35"/>
      <c r="AG38" s="33"/>
      <c r="AH38" s="34"/>
      <c r="AI38" s="34"/>
      <c r="AJ38" s="35"/>
      <c r="AK38" s="33"/>
      <c r="AL38" s="34"/>
      <c r="AM38" s="34"/>
      <c r="AN38" s="35"/>
      <c r="AO38" s="33"/>
      <c r="AP38" s="34"/>
      <c r="AQ38" s="34"/>
      <c r="AR38" s="35"/>
      <c r="AS38" s="33"/>
      <c r="AT38" s="34"/>
      <c r="AU38" s="34"/>
      <c r="AV38" s="35"/>
      <c r="AW38" s="33"/>
      <c r="AX38" s="34"/>
      <c r="AY38" s="34"/>
      <c r="AZ38" s="35"/>
      <c r="BA38" s="33"/>
      <c r="BB38" s="34"/>
      <c r="BC38" s="34"/>
      <c r="BD38" s="35"/>
      <c r="BE38" s="33"/>
      <c r="BF38" s="34"/>
      <c r="BG38" s="34"/>
      <c r="BH38" s="35"/>
      <c r="BI38" s="33"/>
      <c r="BJ38" s="34"/>
      <c r="BK38" s="34"/>
      <c r="BL38" s="35"/>
      <c r="BM38" s="33"/>
      <c r="BN38" s="34"/>
      <c r="BO38" s="34"/>
      <c r="BP38" s="35"/>
      <c r="BQ38" s="33"/>
      <c r="BR38" s="34"/>
      <c r="BS38" s="34"/>
      <c r="BT38" s="35"/>
      <c r="BU38" s="33"/>
      <c r="BV38" s="34"/>
      <c r="BW38" s="34"/>
      <c r="BX38" s="35"/>
      <c r="BY38" s="33"/>
      <c r="BZ38" s="34"/>
      <c r="CA38" s="34"/>
      <c r="CB38" s="35"/>
      <c r="CC38" s="33"/>
      <c r="CD38" s="34"/>
      <c r="CE38" s="34"/>
      <c r="CF38" s="35"/>
      <c r="CG38" s="33"/>
      <c r="CH38" s="34"/>
      <c r="CI38" s="34"/>
      <c r="CJ38" s="35"/>
      <c r="CK38" s="33"/>
      <c r="CL38" s="34"/>
      <c r="CM38" s="34"/>
      <c r="CN38" s="35"/>
      <c r="CO38" s="33"/>
      <c r="CP38" s="34"/>
      <c r="CQ38" s="34"/>
      <c r="CR38" s="35"/>
      <c r="CS38" s="33"/>
      <c r="CT38" s="34"/>
      <c r="CU38" s="34"/>
      <c r="CV38" s="35"/>
      <c r="CW38" s="33"/>
      <c r="CX38" s="34"/>
      <c r="CY38" s="34"/>
      <c r="CZ38" s="35"/>
      <c r="DA38" s="33"/>
      <c r="DB38" s="34"/>
      <c r="DC38" s="34"/>
      <c r="DD38" s="35"/>
      <c r="DE38" s="33"/>
      <c r="DF38" s="34"/>
      <c r="DG38" s="34"/>
      <c r="DH38" s="35"/>
      <c r="DI38" s="33"/>
      <c r="DJ38" s="34"/>
      <c r="DK38" s="34"/>
      <c r="DL38" s="35"/>
      <c r="DM38" s="33"/>
      <c r="DN38" s="34"/>
      <c r="DO38" s="34"/>
      <c r="DP38" s="35"/>
      <c r="DQ38" s="33"/>
      <c r="DR38" s="34"/>
      <c r="DS38" s="34"/>
      <c r="DT38" s="35"/>
      <c r="DV38" s="36">
        <v>8</v>
      </c>
      <c r="DW38" s="37">
        <f>IF(ISBLANK(B37),"",COUNTIF(B40:DT40,"&gt;=3"))</f>
        <v>10</v>
      </c>
      <c r="DX38" s="83"/>
      <c r="DY38" s="20"/>
      <c r="EB38"/>
      <c r="EC38"/>
      <c r="ED38"/>
      <c r="EE38"/>
      <c r="EF38"/>
      <c r="EG38"/>
      <c r="EH38"/>
      <c r="EI38"/>
      <c r="EJ38"/>
      <c r="EK38"/>
      <c r="EL38"/>
      <c r="EM38"/>
      <c r="EN38"/>
      <c r="EO38"/>
      <c r="EZ38"/>
      <c r="FA38"/>
    </row>
    <row r="39" spans="2:157" ht="15" customHeight="1" x14ac:dyDescent="0.25">
      <c r="B39" s="84"/>
      <c r="C39" s="84"/>
      <c r="D39" s="27"/>
      <c r="E39" s="33"/>
      <c r="F39" s="34"/>
      <c r="G39" s="34"/>
      <c r="H39" s="35"/>
      <c r="I39" s="33"/>
      <c r="J39" s="34"/>
      <c r="K39" s="34"/>
      <c r="L39" s="35"/>
      <c r="M39" s="33"/>
      <c r="N39" s="34"/>
      <c r="O39" s="34"/>
      <c r="P39" s="35"/>
      <c r="Q39" s="33"/>
      <c r="R39" s="34"/>
      <c r="S39" s="34"/>
      <c r="T39" s="35"/>
      <c r="U39" s="33"/>
      <c r="V39" s="34"/>
      <c r="W39" s="34"/>
      <c r="X39" s="35"/>
      <c r="Y39" s="33"/>
      <c r="Z39" s="34"/>
      <c r="AA39" s="34"/>
      <c r="AB39" s="35"/>
      <c r="AC39" s="33"/>
      <c r="AD39" s="34"/>
      <c r="AE39" s="34"/>
      <c r="AF39" s="35"/>
      <c r="AG39" s="33"/>
      <c r="AH39" s="34"/>
      <c r="AI39" s="34"/>
      <c r="AJ39" s="35"/>
      <c r="AK39" s="33"/>
      <c r="AL39" s="34"/>
      <c r="AM39" s="34"/>
      <c r="AN39" s="35"/>
      <c r="AO39" s="33"/>
      <c r="AP39" s="34"/>
      <c r="AQ39" s="34"/>
      <c r="AR39" s="35"/>
      <c r="AS39" s="33"/>
      <c r="AT39" s="34"/>
      <c r="AU39" s="34"/>
      <c r="AV39" s="35"/>
      <c r="AW39" s="33"/>
      <c r="AX39" s="34"/>
      <c r="AY39" s="34"/>
      <c r="AZ39" s="35"/>
      <c r="BA39" s="33"/>
      <c r="BB39" s="34"/>
      <c r="BC39" s="34"/>
      <c r="BD39" s="35"/>
      <c r="BE39" s="33"/>
      <c r="BF39" s="34"/>
      <c r="BG39" s="34"/>
      <c r="BH39" s="35"/>
      <c r="BI39" s="33"/>
      <c r="BJ39" s="34"/>
      <c r="BK39" s="34"/>
      <c r="BL39" s="35"/>
      <c r="BM39" s="33"/>
      <c r="BN39" s="34"/>
      <c r="BO39" s="34"/>
      <c r="BP39" s="35"/>
      <c r="BQ39" s="33"/>
      <c r="BR39" s="34"/>
      <c r="BS39" s="34"/>
      <c r="BT39" s="35"/>
      <c r="BU39" s="33"/>
      <c r="BV39" s="34"/>
      <c r="BW39" s="34"/>
      <c r="BX39" s="35"/>
      <c r="BY39" s="33"/>
      <c r="BZ39" s="34"/>
      <c r="CA39" s="34"/>
      <c r="CB39" s="35"/>
      <c r="CC39" s="33"/>
      <c r="CD39" s="34"/>
      <c r="CE39" s="34"/>
      <c r="CF39" s="35"/>
      <c r="CG39" s="33"/>
      <c r="CH39" s="34"/>
      <c r="CI39" s="34"/>
      <c r="CJ39" s="35"/>
      <c r="CK39" s="33"/>
      <c r="CL39" s="34"/>
      <c r="CM39" s="34"/>
      <c r="CN39" s="35"/>
      <c r="CO39" s="33"/>
      <c r="CP39" s="34"/>
      <c r="CQ39" s="34"/>
      <c r="CR39" s="35"/>
      <c r="CS39" s="33"/>
      <c r="CT39" s="34"/>
      <c r="CU39" s="34"/>
      <c r="CV39" s="35"/>
      <c r="CW39" s="33"/>
      <c r="CX39" s="34"/>
      <c r="CY39" s="34"/>
      <c r="CZ39" s="35"/>
      <c r="DA39" s="33"/>
      <c r="DB39" s="34"/>
      <c r="DC39" s="34"/>
      <c r="DD39" s="35"/>
      <c r="DE39" s="33"/>
      <c r="DF39" s="34"/>
      <c r="DG39" s="34"/>
      <c r="DH39" s="35"/>
      <c r="DI39" s="33"/>
      <c r="DJ39" s="34"/>
      <c r="DK39" s="34"/>
      <c r="DL39" s="35"/>
      <c r="DM39" s="33"/>
      <c r="DN39" s="34"/>
      <c r="DO39" s="34"/>
      <c r="DP39" s="35"/>
      <c r="DQ39" s="33"/>
      <c r="DR39" s="34"/>
      <c r="DS39" s="34"/>
      <c r="DT39" s="35"/>
      <c r="DV39" s="81" t="str">
        <f>IF(ISBLANK(B37),"","personas cualificadas")</f>
        <v>personas cualificadas</v>
      </c>
      <c r="DW39" s="81" t="str">
        <f>IF(ISBLANK(B37),"","personas cualificadas")</f>
        <v>personas cualificadas</v>
      </c>
      <c r="DX39" s="83"/>
      <c r="DY39" s="20"/>
      <c r="EB39"/>
      <c r="EC39"/>
      <c r="ED39"/>
      <c r="EE39"/>
      <c r="EF39"/>
      <c r="EG39"/>
      <c r="EH39"/>
      <c r="EI39"/>
      <c r="EJ39"/>
      <c r="EK39"/>
      <c r="EL39"/>
      <c r="EM39"/>
      <c r="EN39"/>
      <c r="EO39"/>
      <c r="EZ39"/>
      <c r="FA39"/>
    </row>
    <row r="40" spans="2:157" ht="14.45" customHeight="1" x14ac:dyDescent="0.25">
      <c r="B40" s="84"/>
      <c r="C40" s="84"/>
      <c r="D40" s="27"/>
      <c r="E40" s="69"/>
      <c r="F40" s="70"/>
      <c r="G40" s="70"/>
      <c r="H40" s="71"/>
      <c r="I40" s="69">
        <v>1</v>
      </c>
      <c r="J40" s="70"/>
      <c r="K40" s="70"/>
      <c r="L40" s="71"/>
      <c r="M40" s="69"/>
      <c r="N40" s="70"/>
      <c r="O40" s="70"/>
      <c r="P40" s="71"/>
      <c r="Q40" s="69">
        <v>2</v>
      </c>
      <c r="R40" s="70"/>
      <c r="S40" s="70"/>
      <c r="T40" s="71"/>
      <c r="U40" s="69">
        <v>4</v>
      </c>
      <c r="V40" s="70"/>
      <c r="W40" s="70"/>
      <c r="X40" s="71"/>
      <c r="Y40" s="69">
        <v>4</v>
      </c>
      <c r="Z40" s="70"/>
      <c r="AA40" s="70"/>
      <c r="AB40" s="71"/>
      <c r="AC40" s="69">
        <v>3</v>
      </c>
      <c r="AD40" s="70"/>
      <c r="AE40" s="70"/>
      <c r="AF40" s="71"/>
      <c r="AG40" s="69">
        <v>4</v>
      </c>
      <c r="AH40" s="70"/>
      <c r="AI40" s="70"/>
      <c r="AJ40" s="71"/>
      <c r="AK40" s="69"/>
      <c r="AL40" s="70"/>
      <c r="AM40" s="70"/>
      <c r="AN40" s="71"/>
      <c r="AO40" s="69"/>
      <c r="AP40" s="70"/>
      <c r="AQ40" s="70"/>
      <c r="AR40" s="71"/>
      <c r="AS40" s="69"/>
      <c r="AT40" s="70"/>
      <c r="AU40" s="70"/>
      <c r="AV40" s="71"/>
      <c r="AW40" s="69"/>
      <c r="AX40" s="70"/>
      <c r="AY40" s="70"/>
      <c r="AZ40" s="71"/>
      <c r="BA40" s="69">
        <v>4</v>
      </c>
      <c r="BB40" s="70"/>
      <c r="BC40" s="70"/>
      <c r="BD40" s="71"/>
      <c r="BE40" s="69"/>
      <c r="BF40" s="70"/>
      <c r="BG40" s="70"/>
      <c r="BH40" s="71"/>
      <c r="BI40" s="69"/>
      <c r="BJ40" s="70"/>
      <c r="BK40" s="70"/>
      <c r="BL40" s="71"/>
      <c r="BM40" s="69"/>
      <c r="BN40" s="70"/>
      <c r="BO40" s="70"/>
      <c r="BP40" s="71"/>
      <c r="BQ40" s="69"/>
      <c r="BR40" s="70"/>
      <c r="BS40" s="70"/>
      <c r="BT40" s="71"/>
      <c r="BU40" s="69">
        <v>4</v>
      </c>
      <c r="BV40" s="70"/>
      <c r="BW40" s="70"/>
      <c r="BX40" s="71"/>
      <c r="BY40" s="69"/>
      <c r="BZ40" s="70"/>
      <c r="CA40" s="70"/>
      <c r="CB40" s="71"/>
      <c r="CC40" s="69">
        <v>2</v>
      </c>
      <c r="CD40" s="70"/>
      <c r="CE40" s="70"/>
      <c r="CF40" s="71"/>
      <c r="CG40" s="69">
        <v>2</v>
      </c>
      <c r="CH40" s="70"/>
      <c r="CI40" s="70"/>
      <c r="CJ40" s="71"/>
      <c r="CK40" s="69">
        <v>4</v>
      </c>
      <c r="CL40" s="70"/>
      <c r="CM40" s="70"/>
      <c r="CN40" s="71"/>
      <c r="CO40" s="69">
        <v>3</v>
      </c>
      <c r="CP40" s="70"/>
      <c r="CQ40" s="70"/>
      <c r="CR40" s="71"/>
      <c r="CS40" s="69">
        <v>4</v>
      </c>
      <c r="CT40" s="70"/>
      <c r="CU40" s="70"/>
      <c r="CV40" s="71"/>
      <c r="CW40" s="69">
        <v>4</v>
      </c>
      <c r="CX40" s="70"/>
      <c r="CY40" s="70"/>
      <c r="CZ40" s="71"/>
      <c r="DA40" s="69">
        <v>1</v>
      </c>
      <c r="DB40" s="70"/>
      <c r="DC40" s="70"/>
      <c r="DD40" s="71"/>
      <c r="DE40" s="69"/>
      <c r="DF40" s="70"/>
      <c r="DG40" s="70"/>
      <c r="DH40" s="71"/>
      <c r="DI40" s="69"/>
      <c r="DJ40" s="70"/>
      <c r="DK40" s="70"/>
      <c r="DL40" s="71"/>
      <c r="DM40" s="69"/>
      <c r="DN40" s="70"/>
      <c r="DO40" s="70"/>
      <c r="DP40" s="71"/>
      <c r="DQ40" s="69"/>
      <c r="DR40" s="70"/>
      <c r="DS40" s="70"/>
      <c r="DT40" s="71"/>
      <c r="DU40" s="38"/>
      <c r="DV40" s="82"/>
      <c r="DW40" s="82"/>
      <c r="DX40" s="83"/>
      <c r="DY40" s="20"/>
      <c r="EB40"/>
      <c r="EC40"/>
      <c r="ED40"/>
      <c r="EE40"/>
      <c r="EF40"/>
      <c r="EG40"/>
      <c r="EH40"/>
      <c r="EI40"/>
      <c r="EJ40"/>
      <c r="EK40"/>
      <c r="EL40"/>
      <c r="EM40"/>
      <c r="EN40"/>
      <c r="EO40"/>
      <c r="EZ40"/>
      <c r="FA40"/>
    </row>
    <row r="41" spans="2:157" ht="6" customHeight="1" x14ac:dyDescent="0.25">
      <c r="B41" s="72" t="s">
        <v>57</v>
      </c>
      <c r="C41" s="73"/>
      <c r="D41" s="27"/>
      <c r="E41" s="28"/>
      <c r="F41" s="29"/>
      <c r="G41" s="29"/>
      <c r="H41" s="30"/>
      <c r="I41" s="28"/>
      <c r="J41" s="29"/>
      <c r="K41" s="29"/>
      <c r="L41" s="30"/>
      <c r="M41" s="28"/>
      <c r="N41" s="29"/>
      <c r="O41" s="29"/>
      <c r="P41" s="30"/>
      <c r="Q41" s="28"/>
      <c r="R41" s="29"/>
      <c r="S41" s="29"/>
      <c r="T41" s="30"/>
      <c r="U41" s="28"/>
      <c r="V41" s="29"/>
      <c r="W41" s="29"/>
      <c r="X41" s="30"/>
      <c r="Y41" s="28"/>
      <c r="Z41" s="29"/>
      <c r="AA41" s="29"/>
      <c r="AB41" s="30"/>
      <c r="AC41" s="28"/>
      <c r="AD41" s="29"/>
      <c r="AE41" s="29"/>
      <c r="AF41" s="30"/>
      <c r="AG41" s="28"/>
      <c r="AH41" s="29"/>
      <c r="AI41" s="29"/>
      <c r="AJ41" s="30"/>
      <c r="AK41" s="28"/>
      <c r="AL41" s="29"/>
      <c r="AM41" s="29"/>
      <c r="AN41" s="30"/>
      <c r="AO41" s="28"/>
      <c r="AP41" s="29"/>
      <c r="AQ41" s="29"/>
      <c r="AR41" s="30"/>
      <c r="AS41" s="28"/>
      <c r="AT41" s="29"/>
      <c r="AU41" s="29"/>
      <c r="AV41" s="30"/>
      <c r="AW41" s="28"/>
      <c r="AX41" s="29"/>
      <c r="AY41" s="29"/>
      <c r="AZ41" s="30"/>
      <c r="BA41" s="28"/>
      <c r="BB41" s="29"/>
      <c r="BC41" s="29"/>
      <c r="BD41" s="30"/>
      <c r="BE41" s="28"/>
      <c r="BF41" s="29"/>
      <c r="BG41" s="29"/>
      <c r="BH41" s="30"/>
      <c r="BI41" s="28"/>
      <c r="BJ41" s="29"/>
      <c r="BK41" s="29"/>
      <c r="BL41" s="30"/>
      <c r="BM41" s="28"/>
      <c r="BN41" s="29"/>
      <c r="BO41" s="29"/>
      <c r="BP41" s="30"/>
      <c r="BQ41" s="28"/>
      <c r="BR41" s="29"/>
      <c r="BS41" s="29"/>
      <c r="BT41" s="30"/>
      <c r="BU41" s="28"/>
      <c r="BV41" s="29"/>
      <c r="BW41" s="29"/>
      <c r="BX41" s="30"/>
      <c r="BY41" s="28"/>
      <c r="BZ41" s="29"/>
      <c r="CA41" s="29"/>
      <c r="CB41" s="30"/>
      <c r="CC41" s="28"/>
      <c r="CD41" s="29"/>
      <c r="CE41" s="29"/>
      <c r="CF41" s="30"/>
      <c r="CG41" s="28"/>
      <c r="CH41" s="29"/>
      <c r="CI41" s="29"/>
      <c r="CJ41" s="30"/>
      <c r="CK41" s="28"/>
      <c r="CL41" s="29"/>
      <c r="CM41" s="29"/>
      <c r="CN41" s="30"/>
      <c r="CO41" s="28"/>
      <c r="CP41" s="29"/>
      <c r="CQ41" s="29"/>
      <c r="CR41" s="30"/>
      <c r="CS41" s="28"/>
      <c r="CT41" s="29"/>
      <c r="CU41" s="29"/>
      <c r="CV41" s="30"/>
      <c r="CW41" s="28"/>
      <c r="CX41" s="29"/>
      <c r="CY41" s="29"/>
      <c r="CZ41" s="30"/>
      <c r="DA41" s="28"/>
      <c r="DB41" s="29"/>
      <c r="DC41" s="29"/>
      <c r="DD41" s="30"/>
      <c r="DE41" s="28"/>
      <c r="DF41" s="29"/>
      <c r="DG41" s="29"/>
      <c r="DH41" s="30"/>
      <c r="DI41" s="28"/>
      <c r="DJ41" s="29"/>
      <c r="DK41" s="29"/>
      <c r="DL41" s="30"/>
      <c r="DM41" s="28"/>
      <c r="DN41" s="29"/>
      <c r="DO41" s="29"/>
      <c r="DP41" s="30"/>
      <c r="DQ41" s="28"/>
      <c r="DR41" s="29"/>
      <c r="DS41" s="29"/>
      <c r="DT41" s="30"/>
      <c r="DV41" s="31"/>
      <c r="DW41" s="31"/>
      <c r="DX41" s="83">
        <f>IF(ISBLANK(B41),"",IF(DW42&gt;=DV42,3,IF(DW42=(DV42-1),2,1)))</f>
        <v>1</v>
      </c>
      <c r="DY41" s="20"/>
      <c r="EB41"/>
      <c r="EC41"/>
      <c r="ED41"/>
      <c r="EE41"/>
      <c r="EF41"/>
      <c r="EG41"/>
      <c r="EH41"/>
      <c r="EI41"/>
      <c r="EJ41"/>
      <c r="EK41"/>
      <c r="EL41"/>
      <c r="EM41"/>
      <c r="EN41"/>
      <c r="EO41"/>
      <c r="EZ41"/>
      <c r="FA41"/>
    </row>
    <row r="42" spans="2:157" ht="15" customHeight="1" x14ac:dyDescent="0.25">
      <c r="B42" s="74"/>
      <c r="C42" s="75"/>
      <c r="D42" s="27"/>
      <c r="E42" s="33"/>
      <c r="F42" s="34"/>
      <c r="G42" s="34"/>
      <c r="H42" s="35"/>
      <c r="I42" s="33"/>
      <c r="J42" s="34"/>
      <c r="K42" s="34"/>
      <c r="L42" s="35"/>
      <c r="M42" s="33"/>
      <c r="N42" s="34"/>
      <c r="O42" s="34"/>
      <c r="P42" s="35"/>
      <c r="Q42" s="33"/>
      <c r="R42" s="34"/>
      <c r="S42" s="34"/>
      <c r="T42" s="35"/>
      <c r="U42" s="33"/>
      <c r="V42" s="34"/>
      <c r="W42" s="34"/>
      <c r="X42" s="35"/>
      <c r="Y42" s="33"/>
      <c r="Z42" s="34"/>
      <c r="AA42" s="34"/>
      <c r="AB42" s="35"/>
      <c r="AC42" s="33"/>
      <c r="AD42" s="34"/>
      <c r="AE42" s="34"/>
      <c r="AF42" s="35"/>
      <c r="AG42" s="33"/>
      <c r="AH42" s="34"/>
      <c r="AI42" s="34"/>
      <c r="AJ42" s="35"/>
      <c r="AK42" s="33"/>
      <c r="AL42" s="34"/>
      <c r="AM42" s="34"/>
      <c r="AN42" s="35"/>
      <c r="AO42" s="33"/>
      <c r="AP42" s="34"/>
      <c r="AQ42" s="34"/>
      <c r="AR42" s="35"/>
      <c r="AS42" s="33"/>
      <c r="AT42" s="34"/>
      <c r="AU42" s="34"/>
      <c r="AV42" s="35"/>
      <c r="AW42" s="33"/>
      <c r="AX42" s="34"/>
      <c r="AY42" s="34"/>
      <c r="AZ42" s="35"/>
      <c r="BA42" s="33"/>
      <c r="BB42" s="34"/>
      <c r="BC42" s="34"/>
      <c r="BD42" s="35"/>
      <c r="BE42" s="33"/>
      <c r="BF42" s="34"/>
      <c r="BG42" s="34"/>
      <c r="BH42" s="35"/>
      <c r="BI42" s="33"/>
      <c r="BJ42" s="34"/>
      <c r="BK42" s="34"/>
      <c r="BL42" s="35"/>
      <c r="BM42" s="33"/>
      <c r="BN42" s="34"/>
      <c r="BO42" s="34"/>
      <c r="BP42" s="35"/>
      <c r="BQ42" s="33"/>
      <c r="BR42" s="34"/>
      <c r="BS42" s="34"/>
      <c r="BT42" s="35"/>
      <c r="BU42" s="33"/>
      <c r="BV42" s="34"/>
      <c r="BW42" s="34"/>
      <c r="BX42" s="35"/>
      <c r="BY42" s="33"/>
      <c r="BZ42" s="34"/>
      <c r="CA42" s="34"/>
      <c r="CB42" s="35"/>
      <c r="CC42" s="33"/>
      <c r="CD42" s="34"/>
      <c r="CE42" s="34"/>
      <c r="CF42" s="35"/>
      <c r="CG42" s="33"/>
      <c r="CH42" s="34"/>
      <c r="CI42" s="34"/>
      <c r="CJ42" s="35"/>
      <c r="CK42" s="33"/>
      <c r="CL42" s="34"/>
      <c r="CM42" s="34"/>
      <c r="CN42" s="35"/>
      <c r="CO42" s="33"/>
      <c r="CP42" s="34"/>
      <c r="CQ42" s="34"/>
      <c r="CR42" s="35"/>
      <c r="CS42" s="33"/>
      <c r="CT42" s="34"/>
      <c r="CU42" s="34"/>
      <c r="CV42" s="35"/>
      <c r="CW42" s="33"/>
      <c r="CX42" s="34"/>
      <c r="CY42" s="34"/>
      <c r="CZ42" s="35"/>
      <c r="DA42" s="33"/>
      <c r="DB42" s="34"/>
      <c r="DC42" s="34"/>
      <c r="DD42" s="35"/>
      <c r="DE42" s="33"/>
      <c r="DF42" s="34"/>
      <c r="DG42" s="34"/>
      <c r="DH42" s="35"/>
      <c r="DI42" s="33"/>
      <c r="DJ42" s="34"/>
      <c r="DK42" s="34"/>
      <c r="DL42" s="35"/>
      <c r="DM42" s="33"/>
      <c r="DN42" s="34"/>
      <c r="DO42" s="34"/>
      <c r="DP42" s="35"/>
      <c r="DQ42" s="33"/>
      <c r="DR42" s="34"/>
      <c r="DS42" s="34"/>
      <c r="DT42" s="35"/>
      <c r="DV42" s="36">
        <v>5</v>
      </c>
      <c r="DW42" s="37">
        <f>IF(ISBLANK(B41),"",COUNTIF(B44:DT44,"&gt;=3"))</f>
        <v>2</v>
      </c>
      <c r="DX42" s="83"/>
      <c r="DY42" s="20"/>
      <c r="EB42"/>
      <c r="EC42"/>
      <c r="ED42"/>
      <c r="EE42"/>
      <c r="EF42"/>
      <c r="EG42"/>
      <c r="EH42"/>
      <c r="EI42"/>
      <c r="EJ42"/>
      <c r="EK42"/>
      <c r="EL42"/>
      <c r="EM42"/>
      <c r="EN42"/>
      <c r="EO42"/>
      <c r="EZ42"/>
      <c r="FA42"/>
    </row>
    <row r="43" spans="2:157" ht="15" customHeight="1" x14ac:dyDescent="0.25">
      <c r="B43" s="74"/>
      <c r="C43" s="75"/>
      <c r="D43" s="27"/>
      <c r="E43" s="33"/>
      <c r="F43" s="34"/>
      <c r="G43" s="34"/>
      <c r="H43" s="35"/>
      <c r="I43" s="33"/>
      <c r="J43" s="34"/>
      <c r="K43" s="34"/>
      <c r="L43" s="35"/>
      <c r="M43" s="33"/>
      <c r="N43" s="34"/>
      <c r="O43" s="34"/>
      <c r="P43" s="35"/>
      <c r="Q43" s="33"/>
      <c r="R43" s="34"/>
      <c r="S43" s="34"/>
      <c r="T43" s="35"/>
      <c r="U43" s="33"/>
      <c r="V43" s="34"/>
      <c r="W43" s="34"/>
      <c r="X43" s="35"/>
      <c r="Y43" s="33"/>
      <c r="Z43" s="34"/>
      <c r="AA43" s="34"/>
      <c r="AB43" s="35"/>
      <c r="AC43" s="33"/>
      <c r="AD43" s="34"/>
      <c r="AE43" s="34"/>
      <c r="AF43" s="35"/>
      <c r="AG43" s="33"/>
      <c r="AH43" s="34"/>
      <c r="AI43" s="34"/>
      <c r="AJ43" s="35"/>
      <c r="AK43" s="33"/>
      <c r="AL43" s="34"/>
      <c r="AM43" s="34"/>
      <c r="AN43" s="35"/>
      <c r="AO43" s="33"/>
      <c r="AP43" s="34"/>
      <c r="AQ43" s="34"/>
      <c r="AR43" s="35"/>
      <c r="AS43" s="33"/>
      <c r="AT43" s="34"/>
      <c r="AU43" s="34"/>
      <c r="AV43" s="35"/>
      <c r="AW43" s="33"/>
      <c r="AX43" s="34"/>
      <c r="AY43" s="34"/>
      <c r="AZ43" s="35"/>
      <c r="BA43" s="33"/>
      <c r="BB43" s="34"/>
      <c r="BC43" s="34"/>
      <c r="BD43" s="35"/>
      <c r="BE43" s="33"/>
      <c r="BF43" s="34"/>
      <c r="BG43" s="34"/>
      <c r="BH43" s="35"/>
      <c r="BI43" s="33"/>
      <c r="BJ43" s="34"/>
      <c r="BK43" s="34"/>
      <c r="BL43" s="35"/>
      <c r="BM43" s="33"/>
      <c r="BN43" s="34"/>
      <c r="BO43" s="34"/>
      <c r="BP43" s="35"/>
      <c r="BQ43" s="33"/>
      <c r="BR43" s="34"/>
      <c r="BS43" s="34"/>
      <c r="BT43" s="35"/>
      <c r="BU43" s="33"/>
      <c r="BV43" s="34"/>
      <c r="BW43" s="34"/>
      <c r="BX43" s="35"/>
      <c r="BY43" s="33"/>
      <c r="BZ43" s="34"/>
      <c r="CA43" s="34"/>
      <c r="CB43" s="35"/>
      <c r="CC43" s="33"/>
      <c r="CD43" s="34"/>
      <c r="CE43" s="34"/>
      <c r="CF43" s="35"/>
      <c r="CG43" s="33"/>
      <c r="CH43" s="34"/>
      <c r="CI43" s="34"/>
      <c r="CJ43" s="35"/>
      <c r="CK43" s="33"/>
      <c r="CL43" s="34"/>
      <c r="CM43" s="34"/>
      <c r="CN43" s="35"/>
      <c r="CO43" s="33"/>
      <c r="CP43" s="34"/>
      <c r="CQ43" s="34"/>
      <c r="CR43" s="35"/>
      <c r="CS43" s="33"/>
      <c r="CT43" s="34"/>
      <c r="CU43" s="34"/>
      <c r="CV43" s="35"/>
      <c r="CW43" s="33"/>
      <c r="CX43" s="34"/>
      <c r="CY43" s="34"/>
      <c r="CZ43" s="35"/>
      <c r="DA43" s="33"/>
      <c r="DB43" s="34"/>
      <c r="DC43" s="34"/>
      <c r="DD43" s="35"/>
      <c r="DE43" s="33"/>
      <c r="DF43" s="34"/>
      <c r="DG43" s="34"/>
      <c r="DH43" s="35"/>
      <c r="DI43" s="33"/>
      <c r="DJ43" s="34"/>
      <c r="DK43" s="34"/>
      <c r="DL43" s="35"/>
      <c r="DM43" s="33"/>
      <c r="DN43" s="34"/>
      <c r="DO43" s="34"/>
      <c r="DP43" s="35"/>
      <c r="DQ43" s="33"/>
      <c r="DR43" s="34"/>
      <c r="DS43" s="34"/>
      <c r="DT43" s="35"/>
      <c r="DV43" s="81" t="str">
        <f>IF(ISBLANK(B41),"","personas cualificadas")</f>
        <v>personas cualificadas</v>
      </c>
      <c r="DW43" s="81" t="str">
        <f>IF(ISBLANK(B41),"","personas cualificadas")</f>
        <v>personas cualificadas</v>
      </c>
      <c r="DX43" s="83"/>
      <c r="DY43" s="20"/>
      <c r="EB43"/>
      <c r="EC43"/>
      <c r="ED43"/>
      <c r="EE43"/>
      <c r="EF43"/>
      <c r="EG43"/>
      <c r="EH43"/>
      <c r="EI43"/>
      <c r="EJ43"/>
      <c r="EK43"/>
      <c r="EL43"/>
      <c r="EM43"/>
      <c r="EN43"/>
      <c r="EO43"/>
      <c r="EZ43"/>
      <c r="FA43"/>
    </row>
    <row r="44" spans="2:157" ht="14.45" customHeight="1" x14ac:dyDescent="0.25">
      <c r="B44" s="76"/>
      <c r="C44" s="77"/>
      <c r="D44" s="27"/>
      <c r="E44" s="69"/>
      <c r="F44" s="70"/>
      <c r="G44" s="70"/>
      <c r="H44" s="71"/>
      <c r="I44" s="69">
        <v>1</v>
      </c>
      <c r="J44" s="70"/>
      <c r="K44" s="70"/>
      <c r="L44" s="71"/>
      <c r="M44" s="69"/>
      <c r="N44" s="70"/>
      <c r="O44" s="70"/>
      <c r="P44" s="71"/>
      <c r="Q44" s="69"/>
      <c r="R44" s="70"/>
      <c r="S44" s="70"/>
      <c r="T44" s="71"/>
      <c r="U44" s="69"/>
      <c r="V44" s="70"/>
      <c r="W44" s="70"/>
      <c r="X44" s="71"/>
      <c r="Y44" s="69"/>
      <c r="Z44" s="70"/>
      <c r="AA44" s="70"/>
      <c r="AB44" s="71"/>
      <c r="AC44" s="69"/>
      <c r="AD44" s="70"/>
      <c r="AE44" s="70"/>
      <c r="AF44" s="71"/>
      <c r="AG44" s="69"/>
      <c r="AH44" s="70"/>
      <c r="AI44" s="70"/>
      <c r="AJ44" s="71"/>
      <c r="AK44" s="69"/>
      <c r="AL44" s="70"/>
      <c r="AM44" s="70"/>
      <c r="AN44" s="71"/>
      <c r="AO44" s="69"/>
      <c r="AP44" s="70"/>
      <c r="AQ44" s="70"/>
      <c r="AR44" s="71"/>
      <c r="AS44" s="69"/>
      <c r="AT44" s="70"/>
      <c r="AU44" s="70"/>
      <c r="AV44" s="71"/>
      <c r="AW44" s="69"/>
      <c r="AX44" s="70"/>
      <c r="AY44" s="70"/>
      <c r="AZ44" s="71"/>
      <c r="BA44" s="69"/>
      <c r="BB44" s="70"/>
      <c r="BC44" s="70"/>
      <c r="BD44" s="71"/>
      <c r="BE44" s="69">
        <v>4</v>
      </c>
      <c r="BF44" s="70"/>
      <c r="BG44" s="70"/>
      <c r="BH44" s="71"/>
      <c r="BI44" s="69"/>
      <c r="BJ44" s="70"/>
      <c r="BK44" s="70"/>
      <c r="BL44" s="71"/>
      <c r="BM44" s="69">
        <v>4</v>
      </c>
      <c r="BN44" s="70"/>
      <c r="BO44" s="70"/>
      <c r="BP44" s="71"/>
      <c r="BQ44" s="69"/>
      <c r="BR44" s="70"/>
      <c r="BS44" s="70"/>
      <c r="BT44" s="71"/>
      <c r="BU44" s="69"/>
      <c r="BV44" s="70"/>
      <c r="BW44" s="70"/>
      <c r="BX44" s="71"/>
      <c r="BY44" s="69">
        <v>2</v>
      </c>
      <c r="BZ44" s="70"/>
      <c r="CA44" s="70"/>
      <c r="CB44" s="71"/>
      <c r="CC44" s="69"/>
      <c r="CD44" s="70"/>
      <c r="CE44" s="70"/>
      <c r="CF44" s="71"/>
      <c r="CG44" s="69"/>
      <c r="CH44" s="70"/>
      <c r="CI44" s="70"/>
      <c r="CJ44" s="71"/>
      <c r="CK44" s="69"/>
      <c r="CL44" s="70"/>
      <c r="CM44" s="70"/>
      <c r="CN44" s="71"/>
      <c r="CO44" s="69">
        <v>1</v>
      </c>
      <c r="CP44" s="70"/>
      <c r="CQ44" s="70"/>
      <c r="CR44" s="71"/>
      <c r="CS44" s="69"/>
      <c r="CT44" s="70"/>
      <c r="CU44" s="70"/>
      <c r="CV44" s="71"/>
      <c r="CW44" s="69"/>
      <c r="CX44" s="70"/>
      <c r="CY44" s="70"/>
      <c r="CZ44" s="71"/>
      <c r="DA44" s="69"/>
      <c r="DB44" s="70"/>
      <c r="DC44" s="70"/>
      <c r="DD44" s="71"/>
      <c r="DE44" s="69"/>
      <c r="DF44" s="70"/>
      <c r="DG44" s="70"/>
      <c r="DH44" s="71"/>
      <c r="DI44" s="69"/>
      <c r="DJ44" s="70"/>
      <c r="DK44" s="70"/>
      <c r="DL44" s="71"/>
      <c r="DM44" s="69"/>
      <c r="DN44" s="70"/>
      <c r="DO44" s="70"/>
      <c r="DP44" s="71"/>
      <c r="DQ44" s="69"/>
      <c r="DR44" s="70"/>
      <c r="DS44" s="70"/>
      <c r="DT44" s="71"/>
      <c r="DU44" s="38"/>
      <c r="DV44" s="82"/>
      <c r="DW44" s="82"/>
      <c r="DX44" s="83"/>
      <c r="DY44" s="20"/>
      <c r="EB44"/>
      <c r="EC44"/>
      <c r="ED44"/>
      <c r="EE44"/>
      <c r="EF44"/>
      <c r="EG44"/>
      <c r="EH44"/>
      <c r="EI44"/>
      <c r="EJ44"/>
      <c r="EK44"/>
      <c r="EL44"/>
      <c r="EM44"/>
      <c r="EN44"/>
      <c r="EO44"/>
      <c r="EZ44"/>
      <c r="FA44"/>
    </row>
    <row r="45" spans="2:157" ht="6" customHeight="1" x14ac:dyDescent="0.25">
      <c r="B45" s="72" t="s">
        <v>58</v>
      </c>
      <c r="C45" s="73"/>
      <c r="D45" s="27"/>
      <c r="E45" s="28"/>
      <c r="F45" s="29"/>
      <c r="G45" s="29"/>
      <c r="H45" s="30"/>
      <c r="I45" s="28"/>
      <c r="J45" s="29"/>
      <c r="K45" s="29"/>
      <c r="L45" s="30"/>
      <c r="M45" s="28"/>
      <c r="N45" s="29"/>
      <c r="O45" s="29"/>
      <c r="P45" s="30"/>
      <c r="Q45" s="28"/>
      <c r="R45" s="29"/>
      <c r="S45" s="29"/>
      <c r="T45" s="30"/>
      <c r="U45" s="28"/>
      <c r="V45" s="29"/>
      <c r="W45" s="29"/>
      <c r="X45" s="30"/>
      <c r="Y45" s="28"/>
      <c r="Z45" s="29"/>
      <c r="AA45" s="29"/>
      <c r="AB45" s="30"/>
      <c r="AC45" s="28"/>
      <c r="AD45" s="29"/>
      <c r="AE45" s="29"/>
      <c r="AF45" s="30"/>
      <c r="AG45" s="28"/>
      <c r="AH45" s="29"/>
      <c r="AI45" s="29"/>
      <c r="AJ45" s="30"/>
      <c r="AK45" s="28"/>
      <c r="AL45" s="29"/>
      <c r="AM45" s="29"/>
      <c r="AN45" s="30"/>
      <c r="AO45" s="28"/>
      <c r="AP45" s="29"/>
      <c r="AQ45" s="29"/>
      <c r="AR45" s="30"/>
      <c r="AS45" s="28"/>
      <c r="AT45" s="29"/>
      <c r="AU45" s="29"/>
      <c r="AV45" s="30"/>
      <c r="AW45" s="28"/>
      <c r="AX45" s="29"/>
      <c r="AY45" s="29"/>
      <c r="AZ45" s="30"/>
      <c r="BA45" s="28"/>
      <c r="BB45" s="29"/>
      <c r="BC45" s="29"/>
      <c r="BD45" s="30"/>
      <c r="BE45" s="28"/>
      <c r="BF45" s="29"/>
      <c r="BG45" s="29"/>
      <c r="BH45" s="30"/>
      <c r="BI45" s="28"/>
      <c r="BJ45" s="29"/>
      <c r="BK45" s="29"/>
      <c r="BL45" s="30"/>
      <c r="BM45" s="28"/>
      <c r="BN45" s="29"/>
      <c r="BO45" s="29"/>
      <c r="BP45" s="30"/>
      <c r="BQ45" s="28"/>
      <c r="BR45" s="29"/>
      <c r="BS45" s="29"/>
      <c r="BT45" s="30"/>
      <c r="BU45" s="28"/>
      <c r="BV45" s="29"/>
      <c r="BW45" s="29"/>
      <c r="BX45" s="30"/>
      <c r="BY45" s="28"/>
      <c r="BZ45" s="29"/>
      <c r="CA45" s="29"/>
      <c r="CB45" s="30"/>
      <c r="CC45" s="28"/>
      <c r="CD45" s="29"/>
      <c r="CE45" s="29"/>
      <c r="CF45" s="30"/>
      <c r="CG45" s="28"/>
      <c r="CH45" s="29"/>
      <c r="CI45" s="29"/>
      <c r="CJ45" s="30"/>
      <c r="CK45" s="28"/>
      <c r="CL45" s="29"/>
      <c r="CM45" s="29"/>
      <c r="CN45" s="30"/>
      <c r="CO45" s="28"/>
      <c r="CP45" s="29"/>
      <c r="CQ45" s="29"/>
      <c r="CR45" s="30"/>
      <c r="CS45" s="28"/>
      <c r="CT45" s="29"/>
      <c r="CU45" s="29"/>
      <c r="CV45" s="30"/>
      <c r="CW45" s="28"/>
      <c r="CX45" s="29"/>
      <c r="CY45" s="29"/>
      <c r="CZ45" s="30"/>
      <c r="DA45" s="28"/>
      <c r="DB45" s="29"/>
      <c r="DC45" s="29"/>
      <c r="DD45" s="30"/>
      <c r="DE45" s="28"/>
      <c r="DF45" s="29"/>
      <c r="DG45" s="29"/>
      <c r="DH45" s="30"/>
      <c r="DI45" s="28"/>
      <c r="DJ45" s="29"/>
      <c r="DK45" s="29"/>
      <c r="DL45" s="30"/>
      <c r="DM45" s="28"/>
      <c r="DN45" s="29"/>
      <c r="DO45" s="29"/>
      <c r="DP45" s="30"/>
      <c r="DQ45" s="28"/>
      <c r="DR45" s="29"/>
      <c r="DS45" s="29"/>
      <c r="DT45" s="30"/>
      <c r="DV45" s="31"/>
      <c r="DW45" s="31"/>
      <c r="DX45" s="83">
        <f>IF(ISBLANK(B45),"",IF(DW46&gt;=DV46,3,IF(DW46=(DV46-1),2,1)))</f>
        <v>1</v>
      </c>
      <c r="DY45" s="20"/>
      <c r="EB45"/>
      <c r="EC45"/>
      <c r="ED45"/>
      <c r="EE45"/>
      <c r="EF45"/>
      <c r="EG45"/>
      <c r="EH45"/>
      <c r="EI45"/>
      <c r="EJ45"/>
      <c r="EK45"/>
      <c r="EL45"/>
      <c r="EM45"/>
      <c r="EN45"/>
      <c r="EO45"/>
      <c r="EZ45"/>
      <c r="FA45"/>
    </row>
    <row r="46" spans="2:157" ht="15" customHeight="1" x14ac:dyDescent="0.25">
      <c r="B46" s="74"/>
      <c r="C46" s="75"/>
      <c r="D46" s="27"/>
      <c r="E46" s="33"/>
      <c r="F46" s="34"/>
      <c r="G46" s="34"/>
      <c r="H46" s="35"/>
      <c r="I46" s="33"/>
      <c r="J46" s="34"/>
      <c r="K46" s="34"/>
      <c r="L46" s="35"/>
      <c r="M46" s="33"/>
      <c r="N46" s="34"/>
      <c r="O46" s="34"/>
      <c r="P46" s="35"/>
      <c r="Q46" s="33"/>
      <c r="R46" s="34"/>
      <c r="S46" s="34"/>
      <c r="T46" s="35"/>
      <c r="U46" s="33"/>
      <c r="V46" s="34"/>
      <c r="W46" s="34"/>
      <c r="X46" s="35"/>
      <c r="Y46" s="33"/>
      <c r="Z46" s="34"/>
      <c r="AA46" s="34"/>
      <c r="AB46" s="35"/>
      <c r="AC46" s="33"/>
      <c r="AD46" s="34"/>
      <c r="AE46" s="34"/>
      <c r="AF46" s="35"/>
      <c r="AG46" s="33"/>
      <c r="AH46" s="34"/>
      <c r="AI46" s="34"/>
      <c r="AJ46" s="35"/>
      <c r="AK46" s="33"/>
      <c r="AL46" s="34"/>
      <c r="AM46" s="34"/>
      <c r="AN46" s="35"/>
      <c r="AO46" s="33"/>
      <c r="AP46" s="34"/>
      <c r="AQ46" s="34"/>
      <c r="AR46" s="35"/>
      <c r="AS46" s="33"/>
      <c r="AT46" s="34"/>
      <c r="AU46" s="34"/>
      <c r="AV46" s="35"/>
      <c r="AW46" s="33"/>
      <c r="AX46" s="34"/>
      <c r="AY46" s="34"/>
      <c r="AZ46" s="35"/>
      <c r="BA46" s="33"/>
      <c r="BB46" s="34"/>
      <c r="BC46" s="34"/>
      <c r="BD46" s="35"/>
      <c r="BE46" s="33"/>
      <c r="BF46" s="34"/>
      <c r="BG46" s="34"/>
      <c r="BH46" s="35"/>
      <c r="BI46" s="33"/>
      <c r="BJ46" s="34"/>
      <c r="BK46" s="34"/>
      <c r="BL46" s="35"/>
      <c r="BM46" s="33"/>
      <c r="BN46" s="34"/>
      <c r="BO46" s="34"/>
      <c r="BP46" s="35"/>
      <c r="BQ46" s="33"/>
      <c r="BR46" s="34"/>
      <c r="BS46" s="34"/>
      <c r="BT46" s="35"/>
      <c r="BU46" s="33"/>
      <c r="BV46" s="34"/>
      <c r="BW46" s="34"/>
      <c r="BX46" s="35"/>
      <c r="BY46" s="33"/>
      <c r="BZ46" s="34"/>
      <c r="CA46" s="34"/>
      <c r="CB46" s="35"/>
      <c r="CC46" s="33"/>
      <c r="CD46" s="34"/>
      <c r="CE46" s="34"/>
      <c r="CF46" s="35"/>
      <c r="CG46" s="33"/>
      <c r="CH46" s="34"/>
      <c r="CI46" s="34"/>
      <c r="CJ46" s="35"/>
      <c r="CK46" s="33"/>
      <c r="CL46" s="34"/>
      <c r="CM46" s="34"/>
      <c r="CN46" s="35"/>
      <c r="CO46" s="33"/>
      <c r="CP46" s="34"/>
      <c r="CQ46" s="34"/>
      <c r="CR46" s="35"/>
      <c r="CS46" s="33"/>
      <c r="CT46" s="34"/>
      <c r="CU46" s="34"/>
      <c r="CV46" s="35"/>
      <c r="CW46" s="33"/>
      <c r="CX46" s="34"/>
      <c r="CY46" s="34"/>
      <c r="CZ46" s="35"/>
      <c r="DA46" s="33"/>
      <c r="DB46" s="34"/>
      <c r="DC46" s="34"/>
      <c r="DD46" s="35"/>
      <c r="DE46" s="33"/>
      <c r="DF46" s="34"/>
      <c r="DG46" s="34"/>
      <c r="DH46" s="35"/>
      <c r="DI46" s="33"/>
      <c r="DJ46" s="34"/>
      <c r="DK46" s="34"/>
      <c r="DL46" s="35"/>
      <c r="DM46" s="33"/>
      <c r="DN46" s="34"/>
      <c r="DO46" s="34"/>
      <c r="DP46" s="35"/>
      <c r="DQ46" s="33"/>
      <c r="DR46" s="34"/>
      <c r="DS46" s="34"/>
      <c r="DT46" s="35"/>
      <c r="DV46" s="36">
        <v>5</v>
      </c>
      <c r="DW46" s="37">
        <f>IF(ISBLANK(B45),"",COUNTIF(B48:DT48,"&gt;=3"))</f>
        <v>3</v>
      </c>
      <c r="DX46" s="83"/>
      <c r="DY46" s="20"/>
      <c r="EB46"/>
      <c r="EC46"/>
      <c r="ED46"/>
      <c r="EE46"/>
      <c r="EF46"/>
      <c r="EG46"/>
      <c r="EH46"/>
      <c r="EI46"/>
      <c r="EJ46"/>
      <c r="EK46"/>
      <c r="EL46"/>
      <c r="EM46"/>
      <c r="EN46"/>
      <c r="EO46"/>
      <c r="EZ46"/>
      <c r="FA46"/>
    </row>
    <row r="47" spans="2:157" ht="15" customHeight="1" x14ac:dyDescent="0.25">
      <c r="B47" s="74"/>
      <c r="C47" s="75"/>
      <c r="D47" s="27"/>
      <c r="E47" s="33"/>
      <c r="F47" s="34"/>
      <c r="G47" s="34"/>
      <c r="H47" s="35"/>
      <c r="I47" s="33"/>
      <c r="J47" s="34"/>
      <c r="K47" s="34"/>
      <c r="L47" s="35"/>
      <c r="M47" s="33"/>
      <c r="N47" s="34"/>
      <c r="O47" s="34"/>
      <c r="P47" s="35"/>
      <c r="Q47" s="33"/>
      <c r="R47" s="34"/>
      <c r="S47" s="34"/>
      <c r="T47" s="35"/>
      <c r="U47" s="33"/>
      <c r="V47" s="34"/>
      <c r="W47" s="34"/>
      <c r="X47" s="35"/>
      <c r="Y47" s="33"/>
      <c r="Z47" s="34"/>
      <c r="AA47" s="34"/>
      <c r="AB47" s="35"/>
      <c r="AC47" s="33"/>
      <c r="AD47" s="34"/>
      <c r="AE47" s="34"/>
      <c r="AF47" s="35"/>
      <c r="AG47" s="33"/>
      <c r="AH47" s="34"/>
      <c r="AI47" s="34"/>
      <c r="AJ47" s="35"/>
      <c r="AK47" s="33"/>
      <c r="AL47" s="34"/>
      <c r="AM47" s="34"/>
      <c r="AN47" s="35"/>
      <c r="AO47" s="33"/>
      <c r="AP47" s="34"/>
      <c r="AQ47" s="34"/>
      <c r="AR47" s="35"/>
      <c r="AS47" s="33"/>
      <c r="AT47" s="34"/>
      <c r="AU47" s="34"/>
      <c r="AV47" s="35"/>
      <c r="AW47" s="33"/>
      <c r="AX47" s="34"/>
      <c r="AY47" s="34"/>
      <c r="AZ47" s="35"/>
      <c r="BA47" s="33"/>
      <c r="BB47" s="34"/>
      <c r="BC47" s="34"/>
      <c r="BD47" s="35"/>
      <c r="BE47" s="33"/>
      <c r="BF47" s="34"/>
      <c r="BG47" s="34"/>
      <c r="BH47" s="35"/>
      <c r="BI47" s="33"/>
      <c r="BJ47" s="34"/>
      <c r="BK47" s="34"/>
      <c r="BL47" s="35"/>
      <c r="BM47" s="33"/>
      <c r="BN47" s="34"/>
      <c r="BO47" s="34"/>
      <c r="BP47" s="35"/>
      <c r="BQ47" s="33"/>
      <c r="BR47" s="34"/>
      <c r="BS47" s="34"/>
      <c r="BT47" s="35"/>
      <c r="BU47" s="33"/>
      <c r="BV47" s="34"/>
      <c r="BW47" s="34"/>
      <c r="BX47" s="35"/>
      <c r="BY47" s="33"/>
      <c r="BZ47" s="34"/>
      <c r="CA47" s="34"/>
      <c r="CB47" s="35"/>
      <c r="CC47" s="33"/>
      <c r="CD47" s="34"/>
      <c r="CE47" s="34"/>
      <c r="CF47" s="35"/>
      <c r="CG47" s="33"/>
      <c r="CH47" s="34"/>
      <c r="CI47" s="34"/>
      <c r="CJ47" s="35"/>
      <c r="CK47" s="33"/>
      <c r="CL47" s="34"/>
      <c r="CM47" s="34"/>
      <c r="CN47" s="35"/>
      <c r="CO47" s="33"/>
      <c r="CP47" s="34"/>
      <c r="CQ47" s="34"/>
      <c r="CR47" s="35"/>
      <c r="CS47" s="33"/>
      <c r="CT47" s="34"/>
      <c r="CU47" s="34"/>
      <c r="CV47" s="35"/>
      <c r="CW47" s="33"/>
      <c r="CX47" s="34"/>
      <c r="CY47" s="34"/>
      <c r="CZ47" s="35"/>
      <c r="DA47" s="33"/>
      <c r="DB47" s="34"/>
      <c r="DC47" s="34"/>
      <c r="DD47" s="35"/>
      <c r="DE47" s="33"/>
      <c r="DF47" s="34"/>
      <c r="DG47" s="34"/>
      <c r="DH47" s="35"/>
      <c r="DI47" s="33"/>
      <c r="DJ47" s="34"/>
      <c r="DK47" s="34"/>
      <c r="DL47" s="35"/>
      <c r="DM47" s="33"/>
      <c r="DN47" s="34"/>
      <c r="DO47" s="34"/>
      <c r="DP47" s="35"/>
      <c r="DQ47" s="33"/>
      <c r="DR47" s="34"/>
      <c r="DS47" s="34"/>
      <c r="DT47" s="35"/>
      <c r="DV47" s="81" t="str">
        <f>IF(ISBLANK(B45),"","personas cualificadas")</f>
        <v>personas cualificadas</v>
      </c>
      <c r="DW47" s="81" t="str">
        <f>IF(ISBLANK(B45),"","personas cualificadas")</f>
        <v>personas cualificadas</v>
      </c>
      <c r="DX47" s="83"/>
      <c r="DY47" s="20"/>
      <c r="EB47"/>
      <c r="EC47"/>
      <c r="ED47"/>
      <c r="EE47"/>
      <c r="EF47"/>
      <c r="EG47"/>
      <c r="EH47"/>
      <c r="EI47"/>
      <c r="EJ47"/>
      <c r="EK47"/>
      <c r="EL47"/>
      <c r="EM47"/>
      <c r="EN47"/>
      <c r="EO47"/>
      <c r="EZ47"/>
      <c r="FA47"/>
    </row>
    <row r="48" spans="2:157" ht="14.45" customHeight="1" x14ac:dyDescent="0.25">
      <c r="B48" s="76"/>
      <c r="C48" s="77"/>
      <c r="D48" s="27"/>
      <c r="E48" s="69"/>
      <c r="F48" s="70"/>
      <c r="G48" s="70"/>
      <c r="H48" s="71"/>
      <c r="I48" s="69">
        <v>2</v>
      </c>
      <c r="J48" s="70"/>
      <c r="K48" s="70"/>
      <c r="L48" s="71"/>
      <c r="M48" s="69"/>
      <c r="N48" s="70"/>
      <c r="O48" s="70"/>
      <c r="P48" s="71"/>
      <c r="Q48" s="69"/>
      <c r="R48" s="70"/>
      <c r="S48" s="70"/>
      <c r="T48" s="71"/>
      <c r="U48" s="69"/>
      <c r="V48" s="70"/>
      <c r="W48" s="70"/>
      <c r="X48" s="71"/>
      <c r="Y48" s="69"/>
      <c r="Z48" s="70"/>
      <c r="AA48" s="70"/>
      <c r="AB48" s="71"/>
      <c r="AC48" s="69"/>
      <c r="AD48" s="70"/>
      <c r="AE48" s="70"/>
      <c r="AF48" s="71"/>
      <c r="AG48" s="69"/>
      <c r="AH48" s="70"/>
      <c r="AI48" s="70"/>
      <c r="AJ48" s="71"/>
      <c r="AK48" s="69"/>
      <c r="AL48" s="70"/>
      <c r="AM48" s="70"/>
      <c r="AN48" s="71"/>
      <c r="AO48" s="69"/>
      <c r="AP48" s="70"/>
      <c r="AQ48" s="70"/>
      <c r="AR48" s="71"/>
      <c r="AS48" s="69"/>
      <c r="AT48" s="70"/>
      <c r="AU48" s="70"/>
      <c r="AV48" s="71"/>
      <c r="AW48" s="69"/>
      <c r="AX48" s="70"/>
      <c r="AY48" s="70"/>
      <c r="AZ48" s="71"/>
      <c r="BA48" s="69"/>
      <c r="BB48" s="70"/>
      <c r="BC48" s="70"/>
      <c r="BD48" s="71"/>
      <c r="BE48" s="69">
        <v>4</v>
      </c>
      <c r="BF48" s="70"/>
      <c r="BG48" s="70"/>
      <c r="BH48" s="71"/>
      <c r="BI48" s="69"/>
      <c r="BJ48" s="70"/>
      <c r="BK48" s="70"/>
      <c r="BL48" s="71"/>
      <c r="BM48" s="69">
        <v>4</v>
      </c>
      <c r="BN48" s="70"/>
      <c r="BO48" s="70"/>
      <c r="BP48" s="71"/>
      <c r="BQ48" s="69"/>
      <c r="BR48" s="70"/>
      <c r="BS48" s="70"/>
      <c r="BT48" s="71"/>
      <c r="BU48" s="69"/>
      <c r="BV48" s="70"/>
      <c r="BW48" s="70"/>
      <c r="BX48" s="71"/>
      <c r="BY48" s="69">
        <v>3</v>
      </c>
      <c r="BZ48" s="70"/>
      <c r="CA48" s="70"/>
      <c r="CB48" s="71"/>
      <c r="CC48" s="69"/>
      <c r="CD48" s="70"/>
      <c r="CE48" s="70"/>
      <c r="CF48" s="71"/>
      <c r="CG48" s="69"/>
      <c r="CH48" s="70"/>
      <c r="CI48" s="70"/>
      <c r="CJ48" s="71"/>
      <c r="CK48" s="69"/>
      <c r="CL48" s="70"/>
      <c r="CM48" s="70"/>
      <c r="CN48" s="71"/>
      <c r="CO48" s="69">
        <v>1</v>
      </c>
      <c r="CP48" s="70"/>
      <c r="CQ48" s="70"/>
      <c r="CR48" s="71"/>
      <c r="CS48" s="69"/>
      <c r="CT48" s="70"/>
      <c r="CU48" s="70"/>
      <c r="CV48" s="71"/>
      <c r="CW48" s="69"/>
      <c r="CX48" s="70"/>
      <c r="CY48" s="70"/>
      <c r="CZ48" s="71"/>
      <c r="DA48" s="69"/>
      <c r="DB48" s="70"/>
      <c r="DC48" s="70"/>
      <c r="DD48" s="71"/>
      <c r="DE48" s="69"/>
      <c r="DF48" s="70"/>
      <c r="DG48" s="70"/>
      <c r="DH48" s="71"/>
      <c r="DI48" s="69"/>
      <c r="DJ48" s="70"/>
      <c r="DK48" s="70"/>
      <c r="DL48" s="71"/>
      <c r="DM48" s="69"/>
      <c r="DN48" s="70"/>
      <c r="DO48" s="70"/>
      <c r="DP48" s="71"/>
      <c r="DQ48" s="69"/>
      <c r="DR48" s="70"/>
      <c r="DS48" s="70"/>
      <c r="DT48" s="71"/>
      <c r="DU48" s="38"/>
      <c r="DV48" s="82"/>
      <c r="DW48" s="82"/>
      <c r="DX48" s="83"/>
      <c r="DY48" s="20"/>
      <c r="EB48"/>
      <c r="EC48"/>
      <c r="ED48"/>
      <c r="EE48"/>
      <c r="EF48"/>
      <c r="EG48"/>
      <c r="EH48"/>
      <c r="EI48"/>
      <c r="EJ48"/>
      <c r="EK48"/>
      <c r="EL48"/>
      <c r="EM48"/>
      <c r="EN48"/>
      <c r="EO48"/>
      <c r="EZ48"/>
      <c r="FA48"/>
    </row>
    <row r="49" spans="2:157" ht="6" customHeight="1" x14ac:dyDescent="0.25">
      <c r="B49" s="72" t="s">
        <v>59</v>
      </c>
      <c r="C49" s="73"/>
      <c r="D49" s="27"/>
      <c r="E49" s="28"/>
      <c r="F49" s="29"/>
      <c r="G49" s="29"/>
      <c r="H49" s="30"/>
      <c r="I49" s="28"/>
      <c r="J49" s="29"/>
      <c r="K49" s="29"/>
      <c r="L49" s="30"/>
      <c r="M49" s="28"/>
      <c r="N49" s="29"/>
      <c r="O49" s="29"/>
      <c r="P49" s="30"/>
      <c r="Q49" s="28"/>
      <c r="R49" s="29"/>
      <c r="S49" s="29"/>
      <c r="T49" s="30"/>
      <c r="U49" s="28"/>
      <c r="V49" s="29"/>
      <c r="W49" s="29"/>
      <c r="X49" s="30"/>
      <c r="Y49" s="28"/>
      <c r="Z49" s="29"/>
      <c r="AA49" s="29"/>
      <c r="AB49" s="30"/>
      <c r="AC49" s="28"/>
      <c r="AD49" s="29"/>
      <c r="AE49" s="29"/>
      <c r="AF49" s="30"/>
      <c r="AG49" s="28"/>
      <c r="AH49" s="29"/>
      <c r="AI49" s="29"/>
      <c r="AJ49" s="30"/>
      <c r="AK49" s="28"/>
      <c r="AL49" s="29"/>
      <c r="AM49" s="29"/>
      <c r="AN49" s="30"/>
      <c r="AO49" s="28"/>
      <c r="AP49" s="29"/>
      <c r="AQ49" s="29"/>
      <c r="AR49" s="30"/>
      <c r="AS49" s="28"/>
      <c r="AT49" s="29"/>
      <c r="AU49" s="29"/>
      <c r="AV49" s="30"/>
      <c r="AW49" s="28"/>
      <c r="AX49" s="29"/>
      <c r="AY49" s="29"/>
      <c r="AZ49" s="30"/>
      <c r="BA49" s="28"/>
      <c r="BB49" s="29"/>
      <c r="BC49" s="29"/>
      <c r="BD49" s="30"/>
      <c r="BE49" s="28"/>
      <c r="BF49" s="29"/>
      <c r="BG49" s="29"/>
      <c r="BH49" s="30"/>
      <c r="BI49" s="28"/>
      <c r="BJ49" s="29"/>
      <c r="BK49" s="29"/>
      <c r="BL49" s="30"/>
      <c r="BM49" s="28"/>
      <c r="BN49" s="29"/>
      <c r="BO49" s="29"/>
      <c r="BP49" s="30"/>
      <c r="BQ49" s="28"/>
      <c r="BR49" s="29"/>
      <c r="BS49" s="29"/>
      <c r="BT49" s="30"/>
      <c r="BU49" s="28"/>
      <c r="BV49" s="29"/>
      <c r="BW49" s="29"/>
      <c r="BX49" s="30"/>
      <c r="BY49" s="28"/>
      <c r="BZ49" s="29"/>
      <c r="CA49" s="29"/>
      <c r="CB49" s="30"/>
      <c r="CC49" s="28"/>
      <c r="CD49" s="29"/>
      <c r="CE49" s="29"/>
      <c r="CF49" s="30"/>
      <c r="CG49" s="28"/>
      <c r="CH49" s="29"/>
      <c r="CI49" s="29"/>
      <c r="CJ49" s="30"/>
      <c r="CK49" s="28"/>
      <c r="CL49" s="29"/>
      <c r="CM49" s="29"/>
      <c r="CN49" s="30"/>
      <c r="CO49" s="28"/>
      <c r="CP49" s="29"/>
      <c r="CQ49" s="29"/>
      <c r="CR49" s="30"/>
      <c r="CS49" s="28"/>
      <c r="CT49" s="29"/>
      <c r="CU49" s="29"/>
      <c r="CV49" s="30"/>
      <c r="CW49" s="28"/>
      <c r="CX49" s="29"/>
      <c r="CY49" s="29"/>
      <c r="CZ49" s="30"/>
      <c r="DA49" s="28"/>
      <c r="DB49" s="29"/>
      <c r="DC49" s="29"/>
      <c r="DD49" s="30"/>
      <c r="DE49" s="28"/>
      <c r="DF49" s="29"/>
      <c r="DG49" s="29"/>
      <c r="DH49" s="30"/>
      <c r="DI49" s="28"/>
      <c r="DJ49" s="29"/>
      <c r="DK49" s="29"/>
      <c r="DL49" s="30"/>
      <c r="DM49" s="28"/>
      <c r="DN49" s="29"/>
      <c r="DO49" s="29"/>
      <c r="DP49" s="30"/>
      <c r="DQ49" s="28"/>
      <c r="DR49" s="29"/>
      <c r="DS49" s="29"/>
      <c r="DT49" s="30"/>
      <c r="DV49" s="31"/>
      <c r="DW49" s="31"/>
      <c r="DX49" s="83">
        <f>IF(ISBLANK(B49),"",IF(DW50&gt;=DV50,3,IF(DW50=(DV50-1),2,1)))</f>
        <v>2</v>
      </c>
      <c r="DY49" s="20"/>
      <c r="EB49"/>
      <c r="EC49"/>
      <c r="ED49"/>
      <c r="EE49"/>
      <c r="EF49"/>
      <c r="EG49"/>
      <c r="EH49"/>
      <c r="EI49"/>
      <c r="EJ49"/>
      <c r="EK49"/>
      <c r="EL49"/>
      <c r="EM49"/>
      <c r="EN49"/>
      <c r="EO49"/>
      <c r="EZ49"/>
      <c r="FA49"/>
    </row>
    <row r="50" spans="2:157" ht="15" customHeight="1" x14ac:dyDescent="0.25">
      <c r="B50" s="74"/>
      <c r="C50" s="75"/>
      <c r="D50" s="27"/>
      <c r="E50" s="33"/>
      <c r="F50" s="34"/>
      <c r="G50" s="34"/>
      <c r="H50" s="35"/>
      <c r="I50" s="33"/>
      <c r="J50" s="34"/>
      <c r="K50" s="34"/>
      <c r="L50" s="35"/>
      <c r="M50" s="33"/>
      <c r="N50" s="34"/>
      <c r="O50" s="34"/>
      <c r="P50" s="35"/>
      <c r="Q50" s="33"/>
      <c r="R50" s="34"/>
      <c r="S50" s="34"/>
      <c r="T50" s="35"/>
      <c r="U50" s="33"/>
      <c r="V50" s="34"/>
      <c r="W50" s="34"/>
      <c r="X50" s="35"/>
      <c r="Y50" s="33"/>
      <c r="Z50" s="34"/>
      <c r="AA50" s="34"/>
      <c r="AB50" s="35"/>
      <c r="AC50" s="33"/>
      <c r="AD50" s="34"/>
      <c r="AE50" s="34"/>
      <c r="AF50" s="35"/>
      <c r="AG50" s="33"/>
      <c r="AH50" s="34"/>
      <c r="AI50" s="34"/>
      <c r="AJ50" s="35"/>
      <c r="AK50" s="33"/>
      <c r="AL50" s="34"/>
      <c r="AM50" s="34"/>
      <c r="AN50" s="35"/>
      <c r="AO50" s="33"/>
      <c r="AP50" s="34"/>
      <c r="AQ50" s="34"/>
      <c r="AR50" s="35"/>
      <c r="AS50" s="33"/>
      <c r="AT50" s="34"/>
      <c r="AU50" s="34"/>
      <c r="AV50" s="35"/>
      <c r="AW50" s="33"/>
      <c r="AX50" s="34"/>
      <c r="AY50" s="34"/>
      <c r="AZ50" s="35"/>
      <c r="BA50" s="33"/>
      <c r="BB50" s="34"/>
      <c r="BC50" s="34"/>
      <c r="BD50" s="35"/>
      <c r="BE50" s="33"/>
      <c r="BF50" s="34"/>
      <c r="BG50" s="34"/>
      <c r="BH50" s="35"/>
      <c r="BI50" s="33"/>
      <c r="BJ50" s="34"/>
      <c r="BK50" s="34"/>
      <c r="BL50" s="35"/>
      <c r="BM50" s="33"/>
      <c r="BN50" s="34"/>
      <c r="BO50" s="34"/>
      <c r="BP50" s="35"/>
      <c r="BQ50" s="33"/>
      <c r="BR50" s="34"/>
      <c r="BS50" s="34"/>
      <c r="BT50" s="35"/>
      <c r="BU50" s="33"/>
      <c r="BV50" s="34"/>
      <c r="BW50" s="34"/>
      <c r="BX50" s="35"/>
      <c r="BY50" s="33"/>
      <c r="BZ50" s="34"/>
      <c r="CA50" s="34"/>
      <c r="CB50" s="35"/>
      <c r="CC50" s="33"/>
      <c r="CD50" s="34"/>
      <c r="CE50" s="34"/>
      <c r="CF50" s="35"/>
      <c r="CG50" s="33"/>
      <c r="CH50" s="34"/>
      <c r="CI50" s="34"/>
      <c r="CJ50" s="35"/>
      <c r="CK50" s="33"/>
      <c r="CL50" s="34"/>
      <c r="CM50" s="34"/>
      <c r="CN50" s="35"/>
      <c r="CO50" s="33"/>
      <c r="CP50" s="34"/>
      <c r="CQ50" s="34"/>
      <c r="CR50" s="35"/>
      <c r="CS50" s="33"/>
      <c r="CT50" s="34"/>
      <c r="CU50" s="34"/>
      <c r="CV50" s="35"/>
      <c r="CW50" s="33"/>
      <c r="CX50" s="34"/>
      <c r="CY50" s="34"/>
      <c r="CZ50" s="35"/>
      <c r="DA50" s="33"/>
      <c r="DB50" s="34"/>
      <c r="DC50" s="34"/>
      <c r="DD50" s="35"/>
      <c r="DE50" s="33"/>
      <c r="DF50" s="34"/>
      <c r="DG50" s="34"/>
      <c r="DH50" s="35"/>
      <c r="DI50" s="33"/>
      <c r="DJ50" s="34"/>
      <c r="DK50" s="34"/>
      <c r="DL50" s="35"/>
      <c r="DM50" s="33"/>
      <c r="DN50" s="34"/>
      <c r="DO50" s="34"/>
      <c r="DP50" s="35"/>
      <c r="DQ50" s="33"/>
      <c r="DR50" s="34"/>
      <c r="DS50" s="34"/>
      <c r="DT50" s="35"/>
      <c r="DV50" s="36">
        <v>2</v>
      </c>
      <c r="DW50" s="37">
        <f>IF(ISBLANK(B49),"",COUNTIF(B52:DT52,"&gt;=3"))</f>
        <v>1</v>
      </c>
      <c r="DX50" s="83"/>
      <c r="DY50" s="20"/>
      <c r="EB50"/>
      <c r="EC50"/>
      <c r="ED50"/>
      <c r="EE50"/>
      <c r="EF50"/>
      <c r="EG50"/>
      <c r="EH50"/>
      <c r="EI50"/>
      <c r="EJ50"/>
      <c r="EK50"/>
      <c r="EL50"/>
      <c r="EM50"/>
      <c r="EN50"/>
      <c r="EO50"/>
      <c r="EZ50"/>
      <c r="FA50"/>
    </row>
    <row r="51" spans="2:157" ht="15" customHeight="1" x14ac:dyDescent="0.25">
      <c r="B51" s="74"/>
      <c r="C51" s="75"/>
      <c r="D51" s="27"/>
      <c r="E51" s="33"/>
      <c r="F51" s="34"/>
      <c r="G51" s="34"/>
      <c r="H51" s="35"/>
      <c r="I51" s="33"/>
      <c r="J51" s="34"/>
      <c r="K51" s="34"/>
      <c r="L51" s="35"/>
      <c r="M51" s="33"/>
      <c r="N51" s="34"/>
      <c r="O51" s="34"/>
      <c r="P51" s="35"/>
      <c r="Q51" s="33"/>
      <c r="R51" s="34"/>
      <c r="S51" s="34"/>
      <c r="T51" s="35"/>
      <c r="U51" s="33"/>
      <c r="V51" s="34"/>
      <c r="W51" s="34"/>
      <c r="X51" s="35"/>
      <c r="Y51" s="33"/>
      <c r="Z51" s="34"/>
      <c r="AA51" s="34"/>
      <c r="AB51" s="35"/>
      <c r="AC51" s="33"/>
      <c r="AD51" s="34"/>
      <c r="AE51" s="34"/>
      <c r="AF51" s="35"/>
      <c r="AG51" s="33"/>
      <c r="AH51" s="34"/>
      <c r="AI51" s="34"/>
      <c r="AJ51" s="35"/>
      <c r="AK51" s="33"/>
      <c r="AL51" s="34"/>
      <c r="AM51" s="34"/>
      <c r="AN51" s="35"/>
      <c r="AO51" s="33"/>
      <c r="AP51" s="34"/>
      <c r="AQ51" s="34"/>
      <c r="AR51" s="35"/>
      <c r="AS51" s="33"/>
      <c r="AT51" s="34"/>
      <c r="AU51" s="34"/>
      <c r="AV51" s="35"/>
      <c r="AW51" s="33"/>
      <c r="AX51" s="34"/>
      <c r="AY51" s="34"/>
      <c r="AZ51" s="35"/>
      <c r="BA51" s="33"/>
      <c r="BB51" s="34"/>
      <c r="BC51" s="34"/>
      <c r="BD51" s="35"/>
      <c r="BE51" s="33"/>
      <c r="BF51" s="34"/>
      <c r="BG51" s="34"/>
      <c r="BH51" s="35"/>
      <c r="BI51" s="33"/>
      <c r="BJ51" s="34"/>
      <c r="BK51" s="34"/>
      <c r="BL51" s="35"/>
      <c r="BM51" s="33"/>
      <c r="BN51" s="34"/>
      <c r="BO51" s="34"/>
      <c r="BP51" s="35"/>
      <c r="BQ51" s="33"/>
      <c r="BR51" s="34"/>
      <c r="BS51" s="34"/>
      <c r="BT51" s="35"/>
      <c r="BU51" s="33"/>
      <c r="BV51" s="34"/>
      <c r="BW51" s="34"/>
      <c r="BX51" s="35"/>
      <c r="BY51" s="33"/>
      <c r="BZ51" s="34"/>
      <c r="CA51" s="34"/>
      <c r="CB51" s="35"/>
      <c r="CC51" s="33"/>
      <c r="CD51" s="34"/>
      <c r="CE51" s="34"/>
      <c r="CF51" s="35"/>
      <c r="CG51" s="33"/>
      <c r="CH51" s="34"/>
      <c r="CI51" s="34"/>
      <c r="CJ51" s="35"/>
      <c r="CK51" s="33"/>
      <c r="CL51" s="34"/>
      <c r="CM51" s="34"/>
      <c r="CN51" s="35"/>
      <c r="CO51" s="33"/>
      <c r="CP51" s="34"/>
      <c r="CQ51" s="34"/>
      <c r="CR51" s="35"/>
      <c r="CS51" s="33"/>
      <c r="CT51" s="34"/>
      <c r="CU51" s="34"/>
      <c r="CV51" s="35"/>
      <c r="CW51" s="33"/>
      <c r="CX51" s="34"/>
      <c r="CY51" s="34"/>
      <c r="CZ51" s="35"/>
      <c r="DA51" s="33"/>
      <c r="DB51" s="34"/>
      <c r="DC51" s="34"/>
      <c r="DD51" s="35"/>
      <c r="DE51" s="33"/>
      <c r="DF51" s="34"/>
      <c r="DG51" s="34"/>
      <c r="DH51" s="35"/>
      <c r="DI51" s="33"/>
      <c r="DJ51" s="34"/>
      <c r="DK51" s="34"/>
      <c r="DL51" s="35"/>
      <c r="DM51" s="33"/>
      <c r="DN51" s="34"/>
      <c r="DO51" s="34"/>
      <c r="DP51" s="35"/>
      <c r="DQ51" s="33"/>
      <c r="DR51" s="34"/>
      <c r="DS51" s="34"/>
      <c r="DT51" s="35"/>
      <c r="DV51" s="81" t="str">
        <f>IF(ISBLANK(B49),"","personas cualificadas")</f>
        <v>personas cualificadas</v>
      </c>
      <c r="DW51" s="81" t="str">
        <f>IF(ISBLANK(B49),"","personas cualificadas")</f>
        <v>personas cualificadas</v>
      </c>
      <c r="DX51" s="83"/>
      <c r="DY51" s="20"/>
      <c r="EB51"/>
      <c r="EC51"/>
      <c r="ED51"/>
      <c r="EE51"/>
      <c r="EF51"/>
      <c r="EG51"/>
      <c r="EH51"/>
      <c r="EI51"/>
      <c r="EJ51"/>
      <c r="EK51"/>
      <c r="EL51"/>
      <c r="EM51"/>
      <c r="EN51"/>
      <c r="EO51"/>
      <c r="EZ51"/>
      <c r="FA51"/>
    </row>
    <row r="52" spans="2:157" s="42" customFormat="1" ht="16.5" customHeight="1" x14ac:dyDescent="0.2">
      <c r="B52" s="76"/>
      <c r="C52" s="77"/>
      <c r="D52" s="39"/>
      <c r="E52" s="69">
        <v>4</v>
      </c>
      <c r="F52" s="70"/>
      <c r="G52" s="70"/>
      <c r="H52" s="71"/>
      <c r="I52" s="69"/>
      <c r="J52" s="70"/>
      <c r="K52" s="70"/>
      <c r="L52" s="71"/>
      <c r="M52" s="69"/>
      <c r="N52" s="70"/>
      <c r="O52" s="70"/>
      <c r="P52" s="71"/>
      <c r="Q52" s="69"/>
      <c r="R52" s="70"/>
      <c r="S52" s="70"/>
      <c r="T52" s="71"/>
      <c r="U52" s="69"/>
      <c r="V52" s="70"/>
      <c r="W52" s="70"/>
      <c r="X52" s="71"/>
      <c r="Y52" s="69"/>
      <c r="Z52" s="70"/>
      <c r="AA52" s="70"/>
      <c r="AB52" s="71"/>
      <c r="AC52" s="69"/>
      <c r="AD52" s="70"/>
      <c r="AE52" s="70"/>
      <c r="AF52" s="71"/>
      <c r="AG52" s="69"/>
      <c r="AH52" s="70"/>
      <c r="AI52" s="70"/>
      <c r="AJ52" s="71"/>
      <c r="AK52" s="69"/>
      <c r="AL52" s="70"/>
      <c r="AM52" s="70"/>
      <c r="AN52" s="71"/>
      <c r="AO52" s="69"/>
      <c r="AP52" s="70"/>
      <c r="AQ52" s="70"/>
      <c r="AR52" s="71"/>
      <c r="AS52" s="69"/>
      <c r="AT52" s="70"/>
      <c r="AU52" s="70"/>
      <c r="AV52" s="71"/>
      <c r="AW52" s="69"/>
      <c r="AX52" s="70"/>
      <c r="AY52" s="70"/>
      <c r="AZ52" s="71"/>
      <c r="BA52" s="69"/>
      <c r="BB52" s="70"/>
      <c r="BC52" s="70"/>
      <c r="BD52" s="71"/>
      <c r="BE52" s="69"/>
      <c r="BF52" s="70"/>
      <c r="BG52" s="70"/>
      <c r="BH52" s="71"/>
      <c r="BI52" s="69"/>
      <c r="BJ52" s="70"/>
      <c r="BK52" s="70"/>
      <c r="BL52" s="71"/>
      <c r="BM52" s="69"/>
      <c r="BN52" s="70"/>
      <c r="BO52" s="70"/>
      <c r="BP52" s="71"/>
      <c r="BQ52" s="69"/>
      <c r="BR52" s="70"/>
      <c r="BS52" s="70"/>
      <c r="BT52" s="71"/>
      <c r="BU52" s="69"/>
      <c r="BV52" s="70"/>
      <c r="BW52" s="70"/>
      <c r="BX52" s="71"/>
      <c r="BY52" s="69"/>
      <c r="BZ52" s="70"/>
      <c r="CA52" s="70"/>
      <c r="CB52" s="71"/>
      <c r="CC52" s="69"/>
      <c r="CD52" s="70"/>
      <c r="CE52" s="70"/>
      <c r="CF52" s="71"/>
      <c r="CG52" s="69"/>
      <c r="CH52" s="70"/>
      <c r="CI52" s="70"/>
      <c r="CJ52" s="71"/>
      <c r="CK52" s="69"/>
      <c r="CL52" s="70"/>
      <c r="CM52" s="70"/>
      <c r="CN52" s="71"/>
      <c r="CO52" s="69"/>
      <c r="CP52" s="70"/>
      <c r="CQ52" s="70"/>
      <c r="CR52" s="71"/>
      <c r="CS52" s="69"/>
      <c r="CT52" s="70"/>
      <c r="CU52" s="70"/>
      <c r="CV52" s="71"/>
      <c r="CW52" s="69"/>
      <c r="CX52" s="70"/>
      <c r="CY52" s="70"/>
      <c r="CZ52" s="71"/>
      <c r="DA52" s="69"/>
      <c r="DB52" s="70"/>
      <c r="DC52" s="70"/>
      <c r="DD52" s="71"/>
      <c r="DE52" s="69"/>
      <c r="DF52" s="70"/>
      <c r="DG52" s="70"/>
      <c r="DH52" s="71"/>
      <c r="DI52" s="69"/>
      <c r="DJ52" s="70"/>
      <c r="DK52" s="70"/>
      <c r="DL52" s="71"/>
      <c r="DM52" s="69"/>
      <c r="DN52" s="70"/>
      <c r="DO52" s="70"/>
      <c r="DP52" s="71"/>
      <c r="DQ52" s="69"/>
      <c r="DR52" s="70"/>
      <c r="DS52" s="70"/>
      <c r="DT52" s="71"/>
      <c r="DU52" s="40"/>
      <c r="DV52" s="82"/>
      <c r="DW52" s="82"/>
      <c r="DX52" s="83"/>
      <c r="DY52" s="41"/>
    </row>
    <row r="53" spans="2:157" ht="6" customHeight="1" x14ac:dyDescent="0.25">
      <c r="B53" s="72" t="s">
        <v>60</v>
      </c>
      <c r="C53" s="73"/>
      <c r="D53" s="27"/>
      <c r="E53" s="28"/>
      <c r="F53" s="29"/>
      <c r="G53" s="29"/>
      <c r="H53" s="30"/>
      <c r="I53" s="28"/>
      <c r="J53" s="29"/>
      <c r="K53" s="29"/>
      <c r="L53" s="30"/>
      <c r="M53" s="28"/>
      <c r="N53" s="29"/>
      <c r="O53" s="29"/>
      <c r="P53" s="30"/>
      <c r="Q53" s="28"/>
      <c r="R53" s="29"/>
      <c r="S53" s="29"/>
      <c r="T53" s="30"/>
      <c r="U53" s="28"/>
      <c r="V53" s="29"/>
      <c r="W53" s="29"/>
      <c r="X53" s="30"/>
      <c r="Y53" s="28"/>
      <c r="Z53" s="29"/>
      <c r="AA53" s="29"/>
      <c r="AB53" s="30"/>
      <c r="AC53" s="28"/>
      <c r="AD53" s="29"/>
      <c r="AE53" s="29"/>
      <c r="AF53" s="30"/>
      <c r="AG53" s="28"/>
      <c r="AH53" s="29"/>
      <c r="AI53" s="29"/>
      <c r="AJ53" s="30"/>
      <c r="AK53" s="28"/>
      <c r="AL53" s="29"/>
      <c r="AM53" s="29"/>
      <c r="AN53" s="30"/>
      <c r="AO53" s="28"/>
      <c r="AP53" s="29"/>
      <c r="AQ53" s="29"/>
      <c r="AR53" s="30"/>
      <c r="AS53" s="28"/>
      <c r="AT53" s="29"/>
      <c r="AU53" s="29"/>
      <c r="AV53" s="30"/>
      <c r="AW53" s="28"/>
      <c r="AX53" s="29"/>
      <c r="AY53" s="29"/>
      <c r="AZ53" s="30"/>
      <c r="BA53" s="28"/>
      <c r="BB53" s="29"/>
      <c r="BC53" s="29"/>
      <c r="BD53" s="30"/>
      <c r="BE53" s="28"/>
      <c r="BF53" s="29"/>
      <c r="BG53" s="29"/>
      <c r="BH53" s="30"/>
      <c r="BI53" s="28"/>
      <c r="BJ53" s="29"/>
      <c r="BK53" s="29"/>
      <c r="BL53" s="30"/>
      <c r="BM53" s="28"/>
      <c r="BN53" s="29"/>
      <c r="BO53" s="29"/>
      <c r="BP53" s="30"/>
      <c r="BQ53" s="28"/>
      <c r="BR53" s="29"/>
      <c r="BS53" s="29"/>
      <c r="BT53" s="30"/>
      <c r="BU53" s="28"/>
      <c r="BV53" s="29"/>
      <c r="BW53" s="29"/>
      <c r="BX53" s="30"/>
      <c r="BY53" s="28"/>
      <c r="BZ53" s="29"/>
      <c r="CA53" s="29"/>
      <c r="CB53" s="30"/>
      <c r="CC53" s="28"/>
      <c r="CD53" s="29"/>
      <c r="CE53" s="29"/>
      <c r="CF53" s="30"/>
      <c r="CG53" s="28"/>
      <c r="CH53" s="29"/>
      <c r="CI53" s="29"/>
      <c r="CJ53" s="30"/>
      <c r="CK53" s="28"/>
      <c r="CL53" s="29"/>
      <c r="CM53" s="29"/>
      <c r="CN53" s="30"/>
      <c r="CO53" s="28"/>
      <c r="CP53" s="29"/>
      <c r="CQ53" s="29"/>
      <c r="CR53" s="30"/>
      <c r="CS53" s="28"/>
      <c r="CT53" s="29"/>
      <c r="CU53" s="29"/>
      <c r="CV53" s="30"/>
      <c r="CW53" s="28"/>
      <c r="CX53" s="29"/>
      <c r="CY53" s="29"/>
      <c r="CZ53" s="30"/>
      <c r="DA53" s="28"/>
      <c r="DB53" s="29"/>
      <c r="DC53" s="29"/>
      <c r="DD53" s="30"/>
      <c r="DE53" s="28"/>
      <c r="DF53" s="29"/>
      <c r="DG53" s="29"/>
      <c r="DH53" s="30"/>
      <c r="DI53" s="28"/>
      <c r="DJ53" s="29"/>
      <c r="DK53" s="29"/>
      <c r="DL53" s="30"/>
      <c r="DM53" s="28"/>
      <c r="DN53" s="29"/>
      <c r="DO53" s="29"/>
      <c r="DP53" s="30"/>
      <c r="DQ53" s="28"/>
      <c r="DR53" s="29"/>
      <c r="DS53" s="29"/>
      <c r="DT53" s="30"/>
      <c r="DV53" s="31"/>
      <c r="DW53" s="31"/>
      <c r="DX53" s="78">
        <f>IF(ISBLANK(B53),"",IF(DW54&gt;=DV54,3,IF(DW54=(DV54-1),2,1)))</f>
        <v>3</v>
      </c>
      <c r="DY53" s="20"/>
      <c r="EB53"/>
      <c r="EC53"/>
      <c r="ED53"/>
      <c r="EE53"/>
      <c r="EF53"/>
      <c r="EG53"/>
      <c r="EH53"/>
      <c r="EI53"/>
      <c r="EJ53"/>
      <c r="EK53"/>
      <c r="EL53"/>
      <c r="EM53"/>
      <c r="EN53"/>
      <c r="EO53"/>
      <c r="EZ53"/>
      <c r="FA53"/>
    </row>
    <row r="54" spans="2:157" ht="15" customHeight="1" x14ac:dyDescent="0.25">
      <c r="B54" s="74"/>
      <c r="C54" s="75"/>
      <c r="D54" s="27"/>
      <c r="E54" s="33"/>
      <c r="F54" s="34"/>
      <c r="G54" s="34"/>
      <c r="H54" s="35"/>
      <c r="I54" s="33"/>
      <c r="J54" s="34"/>
      <c r="K54" s="34"/>
      <c r="L54" s="35"/>
      <c r="M54" s="33"/>
      <c r="N54" s="34"/>
      <c r="O54" s="34"/>
      <c r="P54" s="35"/>
      <c r="Q54" s="33"/>
      <c r="R54" s="34"/>
      <c r="S54" s="34"/>
      <c r="T54" s="35"/>
      <c r="U54" s="33"/>
      <c r="V54" s="34"/>
      <c r="W54" s="34"/>
      <c r="X54" s="35"/>
      <c r="Y54" s="33"/>
      <c r="Z54" s="34"/>
      <c r="AA54" s="34"/>
      <c r="AB54" s="35"/>
      <c r="AC54" s="33"/>
      <c r="AD54" s="34"/>
      <c r="AE54" s="34"/>
      <c r="AF54" s="35"/>
      <c r="AG54" s="33"/>
      <c r="AH54" s="34"/>
      <c r="AI54" s="34"/>
      <c r="AJ54" s="35"/>
      <c r="AK54" s="33"/>
      <c r="AL54" s="34"/>
      <c r="AM54" s="34"/>
      <c r="AN54" s="35"/>
      <c r="AO54" s="33"/>
      <c r="AP54" s="34"/>
      <c r="AQ54" s="34"/>
      <c r="AR54" s="35"/>
      <c r="AS54" s="33"/>
      <c r="AT54" s="34"/>
      <c r="AU54" s="34"/>
      <c r="AV54" s="35"/>
      <c r="AW54" s="33"/>
      <c r="AX54" s="34"/>
      <c r="AY54" s="34"/>
      <c r="AZ54" s="35"/>
      <c r="BA54" s="33"/>
      <c r="BB54" s="34"/>
      <c r="BC54" s="34"/>
      <c r="BD54" s="35"/>
      <c r="BE54" s="33"/>
      <c r="BF54" s="34"/>
      <c r="BG54" s="34"/>
      <c r="BH54" s="35"/>
      <c r="BI54" s="33"/>
      <c r="BJ54" s="34"/>
      <c r="BK54" s="34"/>
      <c r="BL54" s="35"/>
      <c r="BM54" s="33"/>
      <c r="BN54" s="34"/>
      <c r="BO54" s="34"/>
      <c r="BP54" s="35"/>
      <c r="BQ54" s="33"/>
      <c r="BR54" s="34"/>
      <c r="BS54" s="34"/>
      <c r="BT54" s="35"/>
      <c r="BU54" s="33"/>
      <c r="BV54" s="34"/>
      <c r="BW54" s="34"/>
      <c r="BX54" s="35"/>
      <c r="BY54" s="33"/>
      <c r="BZ54" s="34"/>
      <c r="CA54" s="34"/>
      <c r="CB54" s="35"/>
      <c r="CC54" s="33"/>
      <c r="CD54" s="34"/>
      <c r="CE54" s="34"/>
      <c r="CF54" s="35"/>
      <c r="CG54" s="33"/>
      <c r="CH54" s="34"/>
      <c r="CI54" s="34"/>
      <c r="CJ54" s="35"/>
      <c r="CK54" s="33"/>
      <c r="CL54" s="34"/>
      <c r="CM54" s="34"/>
      <c r="CN54" s="35"/>
      <c r="CO54" s="33"/>
      <c r="CP54" s="34"/>
      <c r="CQ54" s="34"/>
      <c r="CR54" s="35"/>
      <c r="CS54" s="33"/>
      <c r="CT54" s="34"/>
      <c r="CU54" s="34"/>
      <c r="CV54" s="35"/>
      <c r="CW54" s="33"/>
      <c r="CX54" s="34"/>
      <c r="CY54" s="34"/>
      <c r="CZ54" s="35"/>
      <c r="DA54" s="33"/>
      <c r="DB54" s="34"/>
      <c r="DC54" s="34"/>
      <c r="DD54" s="35"/>
      <c r="DE54" s="33"/>
      <c r="DF54" s="34"/>
      <c r="DG54" s="34"/>
      <c r="DH54" s="35"/>
      <c r="DI54" s="33"/>
      <c r="DJ54" s="34"/>
      <c r="DK54" s="34"/>
      <c r="DL54" s="35"/>
      <c r="DM54" s="33"/>
      <c r="DN54" s="34"/>
      <c r="DO54" s="34"/>
      <c r="DP54" s="35"/>
      <c r="DQ54" s="33"/>
      <c r="DR54" s="34"/>
      <c r="DS54" s="34"/>
      <c r="DT54" s="35"/>
      <c r="DV54" s="36">
        <v>3</v>
      </c>
      <c r="DW54" s="37">
        <f>IF(ISBLANK(B53),"",COUNTIF(B56:DT56,"&gt;=3"))</f>
        <v>3</v>
      </c>
      <c r="DX54" s="79"/>
      <c r="DY54" s="20"/>
      <c r="EB54"/>
      <c r="EC54"/>
      <c r="ED54"/>
      <c r="EE54"/>
      <c r="EF54"/>
      <c r="EG54"/>
      <c r="EH54"/>
      <c r="EI54"/>
      <c r="EJ54"/>
      <c r="EK54"/>
      <c r="EL54"/>
      <c r="EM54"/>
      <c r="EN54"/>
      <c r="EO54"/>
      <c r="EZ54"/>
      <c r="FA54"/>
    </row>
    <row r="55" spans="2:157" ht="15" customHeight="1" x14ac:dyDescent="0.25">
      <c r="B55" s="74"/>
      <c r="C55" s="75"/>
      <c r="D55" s="27"/>
      <c r="E55" s="33"/>
      <c r="F55" s="34"/>
      <c r="G55" s="34"/>
      <c r="H55" s="35"/>
      <c r="I55" s="33"/>
      <c r="J55" s="34"/>
      <c r="K55" s="34"/>
      <c r="L55" s="35"/>
      <c r="M55" s="33"/>
      <c r="N55" s="34"/>
      <c r="O55" s="34"/>
      <c r="P55" s="35"/>
      <c r="Q55" s="33"/>
      <c r="R55" s="34"/>
      <c r="S55" s="34"/>
      <c r="T55" s="35"/>
      <c r="U55" s="33"/>
      <c r="V55" s="34"/>
      <c r="W55" s="34"/>
      <c r="X55" s="35"/>
      <c r="Y55" s="33"/>
      <c r="Z55" s="34"/>
      <c r="AA55" s="34"/>
      <c r="AB55" s="35"/>
      <c r="AC55" s="33"/>
      <c r="AD55" s="34"/>
      <c r="AE55" s="34"/>
      <c r="AF55" s="35"/>
      <c r="AG55" s="33"/>
      <c r="AH55" s="34"/>
      <c r="AI55" s="34"/>
      <c r="AJ55" s="35"/>
      <c r="AK55" s="33"/>
      <c r="AL55" s="34"/>
      <c r="AM55" s="34"/>
      <c r="AN55" s="35"/>
      <c r="AO55" s="33"/>
      <c r="AP55" s="34"/>
      <c r="AQ55" s="34"/>
      <c r="AR55" s="35"/>
      <c r="AS55" s="33"/>
      <c r="AT55" s="34"/>
      <c r="AU55" s="34"/>
      <c r="AV55" s="35"/>
      <c r="AW55" s="33"/>
      <c r="AX55" s="34"/>
      <c r="AY55" s="34"/>
      <c r="AZ55" s="35"/>
      <c r="BA55" s="33"/>
      <c r="BB55" s="34"/>
      <c r="BC55" s="34"/>
      <c r="BD55" s="35"/>
      <c r="BE55" s="33"/>
      <c r="BF55" s="34"/>
      <c r="BG55" s="34"/>
      <c r="BH55" s="35"/>
      <c r="BI55" s="33"/>
      <c r="BJ55" s="34"/>
      <c r="BK55" s="34"/>
      <c r="BL55" s="35"/>
      <c r="BM55" s="33"/>
      <c r="BN55" s="34"/>
      <c r="BO55" s="34"/>
      <c r="BP55" s="35"/>
      <c r="BQ55" s="33"/>
      <c r="BR55" s="34"/>
      <c r="BS55" s="34"/>
      <c r="BT55" s="35"/>
      <c r="BU55" s="33"/>
      <c r="BV55" s="34"/>
      <c r="BW55" s="34"/>
      <c r="BX55" s="35"/>
      <c r="BY55" s="33"/>
      <c r="BZ55" s="34"/>
      <c r="CA55" s="34"/>
      <c r="CB55" s="35"/>
      <c r="CC55" s="33"/>
      <c r="CD55" s="34"/>
      <c r="CE55" s="34"/>
      <c r="CF55" s="35"/>
      <c r="CG55" s="33"/>
      <c r="CH55" s="34"/>
      <c r="CI55" s="34"/>
      <c r="CJ55" s="35"/>
      <c r="CK55" s="33"/>
      <c r="CL55" s="34"/>
      <c r="CM55" s="34"/>
      <c r="CN55" s="35"/>
      <c r="CO55" s="33"/>
      <c r="CP55" s="34"/>
      <c r="CQ55" s="34"/>
      <c r="CR55" s="35"/>
      <c r="CS55" s="33"/>
      <c r="CT55" s="34"/>
      <c r="CU55" s="34"/>
      <c r="CV55" s="35"/>
      <c r="CW55" s="33"/>
      <c r="CX55" s="34"/>
      <c r="CY55" s="34"/>
      <c r="CZ55" s="35"/>
      <c r="DA55" s="33"/>
      <c r="DB55" s="34"/>
      <c r="DC55" s="34"/>
      <c r="DD55" s="35"/>
      <c r="DE55" s="33"/>
      <c r="DF55" s="34"/>
      <c r="DG55" s="34"/>
      <c r="DH55" s="35"/>
      <c r="DI55" s="33"/>
      <c r="DJ55" s="34"/>
      <c r="DK55" s="34"/>
      <c r="DL55" s="35"/>
      <c r="DM55" s="33"/>
      <c r="DN55" s="34"/>
      <c r="DO55" s="34"/>
      <c r="DP55" s="35"/>
      <c r="DQ55" s="33"/>
      <c r="DR55" s="34"/>
      <c r="DS55" s="34"/>
      <c r="DT55" s="35"/>
      <c r="DV55" s="81" t="str">
        <f>IF(ISBLANK(B53),"","personas cualificadas")</f>
        <v>personas cualificadas</v>
      </c>
      <c r="DW55" s="81" t="str">
        <f>IF(ISBLANK(B53),"","personas cualificadas")</f>
        <v>personas cualificadas</v>
      </c>
      <c r="DX55" s="79"/>
      <c r="DY55" s="20"/>
      <c r="EB55"/>
      <c r="EC55"/>
      <c r="ED55"/>
      <c r="EE55"/>
      <c r="EF55"/>
      <c r="EG55"/>
      <c r="EH55"/>
      <c r="EI55"/>
      <c r="EJ55"/>
      <c r="EK55"/>
      <c r="EL55"/>
      <c r="EM55"/>
      <c r="EN55"/>
      <c r="EO55"/>
      <c r="EZ55"/>
      <c r="FA55"/>
    </row>
    <row r="56" spans="2:157" s="42" customFormat="1" x14ac:dyDescent="0.2">
      <c r="B56" s="76"/>
      <c r="C56" s="77"/>
      <c r="D56" s="39"/>
      <c r="E56" s="69">
        <v>4</v>
      </c>
      <c r="F56" s="70"/>
      <c r="G56" s="70"/>
      <c r="H56" s="71"/>
      <c r="I56" s="69"/>
      <c r="J56" s="70"/>
      <c r="K56" s="70"/>
      <c r="L56" s="71"/>
      <c r="M56" s="69">
        <v>4</v>
      </c>
      <c r="N56" s="70"/>
      <c r="O56" s="70"/>
      <c r="P56" s="71"/>
      <c r="Q56" s="69"/>
      <c r="R56" s="70"/>
      <c r="S56" s="70"/>
      <c r="T56" s="71"/>
      <c r="U56" s="69"/>
      <c r="V56" s="70"/>
      <c r="W56" s="70"/>
      <c r="X56" s="71"/>
      <c r="Y56" s="69"/>
      <c r="Z56" s="70"/>
      <c r="AA56" s="70"/>
      <c r="AB56" s="71"/>
      <c r="AC56" s="69"/>
      <c r="AD56" s="70"/>
      <c r="AE56" s="70"/>
      <c r="AF56" s="71"/>
      <c r="AG56" s="69"/>
      <c r="AH56" s="70"/>
      <c r="AI56" s="70"/>
      <c r="AJ56" s="71"/>
      <c r="AK56" s="69"/>
      <c r="AL56" s="70"/>
      <c r="AM56" s="70"/>
      <c r="AN56" s="71"/>
      <c r="AO56" s="69"/>
      <c r="AP56" s="70"/>
      <c r="AQ56" s="70"/>
      <c r="AR56" s="71"/>
      <c r="AS56" s="69">
        <v>3</v>
      </c>
      <c r="AT56" s="70"/>
      <c r="AU56" s="70"/>
      <c r="AV56" s="71"/>
      <c r="AW56" s="69"/>
      <c r="AX56" s="70"/>
      <c r="AY56" s="70"/>
      <c r="AZ56" s="71"/>
      <c r="BA56" s="69"/>
      <c r="BB56" s="70"/>
      <c r="BC56" s="70"/>
      <c r="BD56" s="71"/>
      <c r="BE56" s="69"/>
      <c r="BF56" s="70"/>
      <c r="BG56" s="70"/>
      <c r="BH56" s="71"/>
      <c r="BI56" s="69"/>
      <c r="BJ56" s="70"/>
      <c r="BK56" s="70"/>
      <c r="BL56" s="71"/>
      <c r="BM56" s="69"/>
      <c r="BN56" s="70"/>
      <c r="BO56" s="70"/>
      <c r="BP56" s="71"/>
      <c r="BQ56" s="69"/>
      <c r="BR56" s="70"/>
      <c r="BS56" s="70"/>
      <c r="BT56" s="71"/>
      <c r="BU56" s="69"/>
      <c r="BV56" s="70"/>
      <c r="BW56" s="70"/>
      <c r="BX56" s="71"/>
      <c r="BY56" s="69"/>
      <c r="BZ56" s="70"/>
      <c r="CA56" s="70"/>
      <c r="CB56" s="71"/>
      <c r="CC56" s="69"/>
      <c r="CD56" s="70"/>
      <c r="CE56" s="70"/>
      <c r="CF56" s="71"/>
      <c r="CG56" s="69"/>
      <c r="CH56" s="70"/>
      <c r="CI56" s="70"/>
      <c r="CJ56" s="71"/>
      <c r="CK56" s="69"/>
      <c r="CL56" s="70"/>
      <c r="CM56" s="70"/>
      <c r="CN56" s="71"/>
      <c r="CO56" s="69"/>
      <c r="CP56" s="70"/>
      <c r="CQ56" s="70"/>
      <c r="CR56" s="71"/>
      <c r="CS56" s="69"/>
      <c r="CT56" s="70"/>
      <c r="CU56" s="70"/>
      <c r="CV56" s="71"/>
      <c r="CW56" s="69"/>
      <c r="CX56" s="70"/>
      <c r="CY56" s="70"/>
      <c r="CZ56" s="71"/>
      <c r="DA56" s="69"/>
      <c r="DB56" s="70"/>
      <c r="DC56" s="70"/>
      <c r="DD56" s="71"/>
      <c r="DE56" s="69"/>
      <c r="DF56" s="70"/>
      <c r="DG56" s="70"/>
      <c r="DH56" s="71"/>
      <c r="DI56" s="69"/>
      <c r="DJ56" s="70"/>
      <c r="DK56" s="70"/>
      <c r="DL56" s="71"/>
      <c r="DM56" s="69"/>
      <c r="DN56" s="70"/>
      <c r="DO56" s="70"/>
      <c r="DP56" s="71"/>
      <c r="DQ56" s="69"/>
      <c r="DR56" s="70"/>
      <c r="DS56" s="70"/>
      <c r="DT56" s="71"/>
      <c r="DU56" s="40"/>
      <c r="DV56" s="82"/>
      <c r="DW56" s="82"/>
      <c r="DX56" s="80"/>
      <c r="DY56" s="41"/>
    </row>
    <row r="57" spans="2:157" ht="6" customHeight="1" x14ac:dyDescent="0.25">
      <c r="B57" s="72" t="s">
        <v>61</v>
      </c>
      <c r="C57" s="73"/>
      <c r="D57" s="27"/>
      <c r="E57" s="28"/>
      <c r="F57" s="29"/>
      <c r="G57" s="29"/>
      <c r="H57" s="30"/>
      <c r="I57" s="28"/>
      <c r="J57" s="29"/>
      <c r="K57" s="29"/>
      <c r="L57" s="30"/>
      <c r="M57" s="28"/>
      <c r="N57" s="29"/>
      <c r="O57" s="29"/>
      <c r="P57" s="30"/>
      <c r="Q57" s="28"/>
      <c r="R57" s="29"/>
      <c r="S57" s="29"/>
      <c r="T57" s="30"/>
      <c r="U57" s="28"/>
      <c r="V57" s="29"/>
      <c r="W57" s="29"/>
      <c r="X57" s="30"/>
      <c r="Y57" s="28"/>
      <c r="Z57" s="29"/>
      <c r="AA57" s="29"/>
      <c r="AB57" s="30"/>
      <c r="AC57" s="28"/>
      <c r="AD57" s="29"/>
      <c r="AE57" s="29"/>
      <c r="AF57" s="30"/>
      <c r="AG57" s="28"/>
      <c r="AH57" s="29"/>
      <c r="AI57" s="29"/>
      <c r="AJ57" s="30"/>
      <c r="AK57" s="28"/>
      <c r="AL57" s="29"/>
      <c r="AM57" s="29"/>
      <c r="AN57" s="30"/>
      <c r="AO57" s="28"/>
      <c r="AP57" s="29"/>
      <c r="AQ57" s="29"/>
      <c r="AR57" s="30"/>
      <c r="AS57" s="28"/>
      <c r="AT57" s="29"/>
      <c r="AU57" s="29"/>
      <c r="AV57" s="30"/>
      <c r="AW57" s="28"/>
      <c r="AX57" s="29"/>
      <c r="AY57" s="29"/>
      <c r="AZ57" s="30"/>
      <c r="BA57" s="28"/>
      <c r="BB57" s="29"/>
      <c r="BC57" s="29"/>
      <c r="BD57" s="30"/>
      <c r="BE57" s="28"/>
      <c r="BF57" s="29"/>
      <c r="BG57" s="29"/>
      <c r="BH57" s="30"/>
      <c r="BI57" s="28"/>
      <c r="BJ57" s="29"/>
      <c r="BK57" s="29"/>
      <c r="BL57" s="30"/>
      <c r="BM57" s="28"/>
      <c r="BN57" s="29"/>
      <c r="BO57" s="29"/>
      <c r="BP57" s="30"/>
      <c r="BQ57" s="28"/>
      <c r="BR57" s="29"/>
      <c r="BS57" s="29"/>
      <c r="BT57" s="30"/>
      <c r="BU57" s="28"/>
      <c r="BV57" s="29"/>
      <c r="BW57" s="29"/>
      <c r="BX57" s="30"/>
      <c r="BY57" s="28"/>
      <c r="BZ57" s="29"/>
      <c r="CA57" s="29"/>
      <c r="CB57" s="30"/>
      <c r="CC57" s="28"/>
      <c r="CD57" s="29"/>
      <c r="CE57" s="29"/>
      <c r="CF57" s="30"/>
      <c r="CG57" s="28"/>
      <c r="CH57" s="29"/>
      <c r="CI57" s="29"/>
      <c r="CJ57" s="30"/>
      <c r="CK57" s="28"/>
      <c r="CL57" s="29"/>
      <c r="CM57" s="29"/>
      <c r="CN57" s="30"/>
      <c r="CO57" s="28"/>
      <c r="CP57" s="29"/>
      <c r="CQ57" s="29"/>
      <c r="CR57" s="30"/>
      <c r="CS57" s="28"/>
      <c r="CT57" s="29"/>
      <c r="CU57" s="29"/>
      <c r="CV57" s="30"/>
      <c r="CW57" s="28"/>
      <c r="CX57" s="29"/>
      <c r="CY57" s="29"/>
      <c r="CZ57" s="30"/>
      <c r="DA57" s="28"/>
      <c r="DB57" s="29"/>
      <c r="DC57" s="29"/>
      <c r="DD57" s="30"/>
      <c r="DE57" s="28"/>
      <c r="DF57" s="29"/>
      <c r="DG57" s="29"/>
      <c r="DH57" s="30"/>
      <c r="DI57" s="28"/>
      <c r="DJ57" s="29"/>
      <c r="DK57" s="29"/>
      <c r="DL57" s="30"/>
      <c r="DM57" s="28"/>
      <c r="DN57" s="29"/>
      <c r="DO57" s="29"/>
      <c r="DP57" s="30"/>
      <c r="DQ57" s="28"/>
      <c r="DR57" s="29"/>
      <c r="DS57" s="29"/>
      <c r="DT57" s="30"/>
      <c r="DV57" s="31"/>
      <c r="DW57" s="31"/>
      <c r="DX57" s="78">
        <f>IF(ISBLANK(B57),"",IF(DW58&gt;=DV58,3,IF(DW58=(DV58-1),2,1)))</f>
        <v>3</v>
      </c>
      <c r="DY57" s="20"/>
      <c r="EB57"/>
      <c r="EC57"/>
      <c r="ED57"/>
      <c r="EE57"/>
      <c r="EF57"/>
      <c r="EG57"/>
      <c r="EH57"/>
      <c r="EI57"/>
      <c r="EJ57"/>
      <c r="EK57"/>
      <c r="EL57"/>
      <c r="EM57"/>
      <c r="EN57"/>
      <c r="EO57"/>
      <c r="EZ57"/>
      <c r="FA57"/>
    </row>
    <row r="58" spans="2:157" ht="15" customHeight="1" x14ac:dyDescent="0.25">
      <c r="B58" s="74"/>
      <c r="C58" s="75"/>
      <c r="D58" s="27"/>
      <c r="E58" s="33"/>
      <c r="F58" s="34"/>
      <c r="G58" s="34"/>
      <c r="H58" s="35"/>
      <c r="I58" s="33"/>
      <c r="J58" s="34"/>
      <c r="K58" s="34"/>
      <c r="L58" s="35"/>
      <c r="M58" s="33"/>
      <c r="N58" s="34"/>
      <c r="O58" s="34"/>
      <c r="P58" s="35"/>
      <c r="Q58" s="33"/>
      <c r="R58" s="34"/>
      <c r="S58" s="34"/>
      <c r="T58" s="35"/>
      <c r="U58" s="33"/>
      <c r="V58" s="34"/>
      <c r="W58" s="34"/>
      <c r="X58" s="35"/>
      <c r="Y58" s="33"/>
      <c r="Z58" s="34"/>
      <c r="AA58" s="34"/>
      <c r="AB58" s="35"/>
      <c r="AC58" s="33"/>
      <c r="AD58" s="34"/>
      <c r="AE58" s="34"/>
      <c r="AF58" s="35"/>
      <c r="AG58" s="33"/>
      <c r="AH58" s="34"/>
      <c r="AI58" s="34"/>
      <c r="AJ58" s="35"/>
      <c r="AK58" s="33"/>
      <c r="AL58" s="34"/>
      <c r="AM58" s="34"/>
      <c r="AN58" s="35"/>
      <c r="AO58" s="33"/>
      <c r="AP58" s="34"/>
      <c r="AQ58" s="34"/>
      <c r="AR58" s="35"/>
      <c r="AS58" s="33"/>
      <c r="AT58" s="34"/>
      <c r="AU58" s="34"/>
      <c r="AV58" s="35"/>
      <c r="AW58" s="33"/>
      <c r="AX58" s="34"/>
      <c r="AY58" s="34"/>
      <c r="AZ58" s="35"/>
      <c r="BA58" s="33"/>
      <c r="BB58" s="34"/>
      <c r="BC58" s="34"/>
      <c r="BD58" s="35"/>
      <c r="BE58" s="33"/>
      <c r="BF58" s="34"/>
      <c r="BG58" s="34"/>
      <c r="BH58" s="35"/>
      <c r="BI58" s="33"/>
      <c r="BJ58" s="34"/>
      <c r="BK58" s="34"/>
      <c r="BL58" s="35"/>
      <c r="BM58" s="33"/>
      <c r="BN58" s="34"/>
      <c r="BO58" s="34"/>
      <c r="BP58" s="35"/>
      <c r="BQ58" s="33"/>
      <c r="BR58" s="34"/>
      <c r="BS58" s="34"/>
      <c r="BT58" s="35"/>
      <c r="BU58" s="33"/>
      <c r="BV58" s="34"/>
      <c r="BW58" s="34"/>
      <c r="BX58" s="35"/>
      <c r="BY58" s="33"/>
      <c r="BZ58" s="34"/>
      <c r="CA58" s="34"/>
      <c r="CB58" s="35"/>
      <c r="CC58" s="33"/>
      <c r="CD58" s="34"/>
      <c r="CE58" s="34"/>
      <c r="CF58" s="35"/>
      <c r="CG58" s="33"/>
      <c r="CH58" s="34"/>
      <c r="CI58" s="34"/>
      <c r="CJ58" s="35"/>
      <c r="CK58" s="33"/>
      <c r="CL58" s="34"/>
      <c r="CM58" s="34"/>
      <c r="CN58" s="35"/>
      <c r="CO58" s="33"/>
      <c r="CP58" s="34"/>
      <c r="CQ58" s="34"/>
      <c r="CR58" s="35"/>
      <c r="CS58" s="33"/>
      <c r="CT58" s="34"/>
      <c r="CU58" s="34"/>
      <c r="CV58" s="35"/>
      <c r="CW58" s="33"/>
      <c r="CX58" s="34"/>
      <c r="CY58" s="34"/>
      <c r="CZ58" s="35"/>
      <c r="DA58" s="33"/>
      <c r="DB58" s="34"/>
      <c r="DC58" s="34"/>
      <c r="DD58" s="35"/>
      <c r="DE58" s="33"/>
      <c r="DF58" s="34"/>
      <c r="DG58" s="34"/>
      <c r="DH58" s="35"/>
      <c r="DI58" s="33"/>
      <c r="DJ58" s="34"/>
      <c r="DK58" s="34"/>
      <c r="DL58" s="35"/>
      <c r="DM58" s="33"/>
      <c r="DN58" s="34"/>
      <c r="DO58" s="34"/>
      <c r="DP58" s="35"/>
      <c r="DQ58" s="33"/>
      <c r="DR58" s="34"/>
      <c r="DS58" s="34"/>
      <c r="DT58" s="35"/>
      <c r="DV58" s="36">
        <v>5</v>
      </c>
      <c r="DW58" s="37">
        <f>IF(ISBLANK(B57),"",COUNTIF(B60:DT60,"&gt;=3"))</f>
        <v>5</v>
      </c>
      <c r="DX58" s="79"/>
      <c r="DY58" s="20"/>
      <c r="EB58"/>
      <c r="EC58"/>
      <c r="ED58"/>
      <c r="EE58"/>
      <c r="EF58"/>
      <c r="EG58"/>
      <c r="EH58"/>
      <c r="EI58"/>
      <c r="EJ58"/>
      <c r="EK58"/>
      <c r="EL58"/>
      <c r="EM58"/>
      <c r="EN58"/>
      <c r="EO58"/>
      <c r="EZ58"/>
      <c r="FA58"/>
    </row>
    <row r="59" spans="2:157" ht="15" customHeight="1" x14ac:dyDescent="0.25">
      <c r="B59" s="74"/>
      <c r="C59" s="75"/>
      <c r="D59" s="27"/>
      <c r="E59" s="33"/>
      <c r="F59" s="34"/>
      <c r="G59" s="34"/>
      <c r="H59" s="35"/>
      <c r="I59" s="33"/>
      <c r="J59" s="34"/>
      <c r="K59" s="34"/>
      <c r="L59" s="35"/>
      <c r="M59" s="33"/>
      <c r="N59" s="34"/>
      <c r="O59" s="34"/>
      <c r="P59" s="35"/>
      <c r="Q59" s="33"/>
      <c r="R59" s="34"/>
      <c r="S59" s="34"/>
      <c r="T59" s="35"/>
      <c r="U59" s="33"/>
      <c r="V59" s="34"/>
      <c r="W59" s="34"/>
      <c r="X59" s="35"/>
      <c r="Y59" s="33"/>
      <c r="Z59" s="34"/>
      <c r="AA59" s="34"/>
      <c r="AB59" s="35"/>
      <c r="AC59" s="33"/>
      <c r="AD59" s="34"/>
      <c r="AE59" s="34"/>
      <c r="AF59" s="35"/>
      <c r="AG59" s="33"/>
      <c r="AH59" s="34"/>
      <c r="AI59" s="34"/>
      <c r="AJ59" s="35"/>
      <c r="AK59" s="33"/>
      <c r="AL59" s="34"/>
      <c r="AM59" s="34"/>
      <c r="AN59" s="35"/>
      <c r="AO59" s="33"/>
      <c r="AP59" s="34"/>
      <c r="AQ59" s="34"/>
      <c r="AR59" s="35"/>
      <c r="AS59" s="33"/>
      <c r="AT59" s="34"/>
      <c r="AU59" s="34"/>
      <c r="AV59" s="35"/>
      <c r="AW59" s="33"/>
      <c r="AX59" s="34"/>
      <c r="AY59" s="34"/>
      <c r="AZ59" s="35"/>
      <c r="BA59" s="33"/>
      <c r="BB59" s="34"/>
      <c r="BC59" s="34"/>
      <c r="BD59" s="35"/>
      <c r="BE59" s="33"/>
      <c r="BF59" s="34"/>
      <c r="BG59" s="34"/>
      <c r="BH59" s="35"/>
      <c r="BI59" s="33"/>
      <c r="BJ59" s="34"/>
      <c r="BK59" s="34"/>
      <c r="BL59" s="35"/>
      <c r="BM59" s="33"/>
      <c r="BN59" s="34"/>
      <c r="BO59" s="34"/>
      <c r="BP59" s="35"/>
      <c r="BQ59" s="33"/>
      <c r="BR59" s="34"/>
      <c r="BS59" s="34"/>
      <c r="BT59" s="35"/>
      <c r="BU59" s="33"/>
      <c r="BV59" s="34"/>
      <c r="BW59" s="34"/>
      <c r="BX59" s="35"/>
      <c r="BY59" s="33"/>
      <c r="BZ59" s="34"/>
      <c r="CA59" s="34"/>
      <c r="CB59" s="35"/>
      <c r="CC59" s="33"/>
      <c r="CD59" s="34"/>
      <c r="CE59" s="34"/>
      <c r="CF59" s="35"/>
      <c r="CG59" s="33"/>
      <c r="CH59" s="34"/>
      <c r="CI59" s="34"/>
      <c r="CJ59" s="35"/>
      <c r="CK59" s="33"/>
      <c r="CL59" s="34"/>
      <c r="CM59" s="34"/>
      <c r="CN59" s="35"/>
      <c r="CO59" s="33"/>
      <c r="CP59" s="34"/>
      <c r="CQ59" s="34"/>
      <c r="CR59" s="35"/>
      <c r="CS59" s="33"/>
      <c r="CT59" s="34"/>
      <c r="CU59" s="34"/>
      <c r="CV59" s="35"/>
      <c r="CW59" s="33"/>
      <c r="CX59" s="34"/>
      <c r="CY59" s="34"/>
      <c r="CZ59" s="35"/>
      <c r="DA59" s="33"/>
      <c r="DB59" s="34"/>
      <c r="DC59" s="34"/>
      <c r="DD59" s="35"/>
      <c r="DE59" s="33"/>
      <c r="DF59" s="34"/>
      <c r="DG59" s="34"/>
      <c r="DH59" s="35"/>
      <c r="DI59" s="33"/>
      <c r="DJ59" s="34"/>
      <c r="DK59" s="34"/>
      <c r="DL59" s="35"/>
      <c r="DM59" s="33"/>
      <c r="DN59" s="34"/>
      <c r="DO59" s="34"/>
      <c r="DP59" s="35"/>
      <c r="DQ59" s="33"/>
      <c r="DR59" s="34"/>
      <c r="DS59" s="34"/>
      <c r="DT59" s="35"/>
      <c r="DV59" s="81" t="str">
        <f>IF(ISBLANK(B57),"","personas cualificadas")</f>
        <v>personas cualificadas</v>
      </c>
      <c r="DW59" s="81" t="str">
        <f>IF(ISBLANK(B57),"","personas cualificadas")</f>
        <v>personas cualificadas</v>
      </c>
      <c r="DX59" s="79"/>
      <c r="DY59" s="20"/>
      <c r="EB59"/>
      <c r="EC59"/>
      <c r="ED59"/>
      <c r="EE59"/>
      <c r="EF59"/>
      <c r="EG59"/>
      <c r="EH59"/>
      <c r="EI59"/>
      <c r="EJ59"/>
      <c r="EK59"/>
      <c r="EL59"/>
      <c r="EM59"/>
      <c r="EN59"/>
      <c r="EO59"/>
      <c r="EZ59"/>
      <c r="FA59"/>
    </row>
    <row r="60" spans="2:157" s="42" customFormat="1" x14ac:dyDescent="0.2">
      <c r="B60" s="76"/>
      <c r="C60" s="77"/>
      <c r="D60" s="39"/>
      <c r="E60" s="69"/>
      <c r="F60" s="70"/>
      <c r="G60" s="70"/>
      <c r="H60" s="71"/>
      <c r="I60" s="69"/>
      <c r="J60" s="70"/>
      <c r="K60" s="70"/>
      <c r="L60" s="71"/>
      <c r="M60" s="69"/>
      <c r="N60" s="70"/>
      <c r="O60" s="70"/>
      <c r="P60" s="71"/>
      <c r="Q60" s="69"/>
      <c r="R60" s="70"/>
      <c r="S60" s="70"/>
      <c r="T60" s="71"/>
      <c r="U60" s="69"/>
      <c r="V60" s="70"/>
      <c r="W60" s="70"/>
      <c r="X60" s="71"/>
      <c r="Y60" s="69"/>
      <c r="Z60" s="70"/>
      <c r="AA60" s="70"/>
      <c r="AB60" s="71"/>
      <c r="AC60" s="69"/>
      <c r="AD60" s="70"/>
      <c r="AE60" s="70"/>
      <c r="AF60" s="71"/>
      <c r="AG60" s="69"/>
      <c r="AH60" s="70"/>
      <c r="AI60" s="70"/>
      <c r="AJ60" s="71"/>
      <c r="AK60" s="69">
        <v>4</v>
      </c>
      <c r="AL60" s="70"/>
      <c r="AM60" s="70"/>
      <c r="AN60" s="71"/>
      <c r="AO60" s="69">
        <v>4</v>
      </c>
      <c r="AP60" s="70"/>
      <c r="AQ60" s="70"/>
      <c r="AR60" s="71"/>
      <c r="AS60" s="69"/>
      <c r="AT60" s="70"/>
      <c r="AU60" s="70"/>
      <c r="AV60" s="71"/>
      <c r="AW60" s="69"/>
      <c r="AX60" s="70"/>
      <c r="AY60" s="70"/>
      <c r="AZ60" s="71"/>
      <c r="BA60" s="69"/>
      <c r="BB60" s="70"/>
      <c r="BC60" s="70"/>
      <c r="BD60" s="71"/>
      <c r="BE60" s="69"/>
      <c r="BF60" s="70"/>
      <c r="BG60" s="70"/>
      <c r="BH60" s="71"/>
      <c r="BI60" s="69"/>
      <c r="BJ60" s="70"/>
      <c r="BK60" s="70"/>
      <c r="BL60" s="71"/>
      <c r="BM60" s="69"/>
      <c r="BN60" s="70"/>
      <c r="BO60" s="70"/>
      <c r="BP60" s="71"/>
      <c r="BQ60" s="69"/>
      <c r="BR60" s="70"/>
      <c r="BS60" s="70"/>
      <c r="BT60" s="71"/>
      <c r="BU60" s="69"/>
      <c r="BV60" s="70"/>
      <c r="BW60" s="70"/>
      <c r="BX60" s="71"/>
      <c r="BY60" s="69"/>
      <c r="BZ60" s="70"/>
      <c r="CA60" s="70"/>
      <c r="CB60" s="71"/>
      <c r="CC60" s="69"/>
      <c r="CD60" s="70"/>
      <c r="CE60" s="70"/>
      <c r="CF60" s="71"/>
      <c r="CG60" s="69"/>
      <c r="CH60" s="70"/>
      <c r="CI60" s="70"/>
      <c r="CJ60" s="71"/>
      <c r="CK60" s="69"/>
      <c r="CL60" s="70"/>
      <c r="CM60" s="70"/>
      <c r="CN60" s="71"/>
      <c r="CO60" s="69"/>
      <c r="CP60" s="70"/>
      <c r="CQ60" s="70"/>
      <c r="CR60" s="71"/>
      <c r="CS60" s="69"/>
      <c r="CT60" s="70"/>
      <c r="CU60" s="70"/>
      <c r="CV60" s="71"/>
      <c r="CW60" s="69"/>
      <c r="CX60" s="70"/>
      <c r="CY60" s="70"/>
      <c r="CZ60" s="71"/>
      <c r="DA60" s="69">
        <v>4</v>
      </c>
      <c r="DB60" s="70"/>
      <c r="DC60" s="70"/>
      <c r="DD60" s="71"/>
      <c r="DE60" s="69"/>
      <c r="DF60" s="70"/>
      <c r="DG60" s="70"/>
      <c r="DH60" s="71"/>
      <c r="DI60" s="69">
        <v>4</v>
      </c>
      <c r="DJ60" s="70"/>
      <c r="DK60" s="70"/>
      <c r="DL60" s="71"/>
      <c r="DM60" s="69">
        <v>4</v>
      </c>
      <c r="DN60" s="70"/>
      <c r="DO60" s="70"/>
      <c r="DP60" s="71"/>
      <c r="DQ60" s="69"/>
      <c r="DR60" s="70"/>
      <c r="DS60" s="70"/>
      <c r="DT60" s="71"/>
      <c r="DU60" s="40"/>
      <c r="DV60" s="82"/>
      <c r="DW60" s="82"/>
      <c r="DX60" s="80"/>
      <c r="DY60" s="41"/>
    </row>
    <row r="61" spans="2:157" s="43" customFormat="1" ht="6.75" customHeight="1" x14ac:dyDescent="0.2">
      <c r="D61" s="44"/>
      <c r="E61" s="67">
        <f>SUM(E13:H60)</f>
        <v>8</v>
      </c>
      <c r="F61" s="67"/>
      <c r="G61" s="67">
        <f>COUNT(E13:H60)*4</f>
        <v>8</v>
      </c>
      <c r="H61" s="67"/>
      <c r="I61" s="67">
        <f>SUM(I13:L60)</f>
        <v>6</v>
      </c>
      <c r="J61" s="67"/>
      <c r="K61" s="67">
        <f>COUNT(I13:L60)*4</f>
        <v>20</v>
      </c>
      <c r="L61" s="67"/>
      <c r="M61" s="67">
        <f>SUM(M13:P60)</f>
        <v>4</v>
      </c>
      <c r="N61" s="67"/>
      <c r="O61" s="67">
        <f>COUNT(M13:P60)*4</f>
        <v>4</v>
      </c>
      <c r="P61" s="67"/>
      <c r="Q61" s="67">
        <f>SUM(Q13:T60)</f>
        <v>16</v>
      </c>
      <c r="R61" s="67"/>
      <c r="S61" s="67">
        <f>COUNT(Q13:T60)*4</f>
        <v>28</v>
      </c>
      <c r="T61" s="67"/>
      <c r="U61" s="67">
        <f>SUM(U13:X60)</f>
        <v>12</v>
      </c>
      <c r="V61" s="67"/>
      <c r="W61" s="67">
        <f>COUNT(U13:X60)*4</f>
        <v>12</v>
      </c>
      <c r="X61" s="67"/>
      <c r="Y61" s="67">
        <f>SUM(Y13:AB60)</f>
        <v>12</v>
      </c>
      <c r="Z61" s="67"/>
      <c r="AA61" s="67">
        <f>COUNT(Y13:AB60)*4</f>
        <v>12</v>
      </c>
      <c r="AB61" s="67"/>
      <c r="AC61" s="67">
        <f>SUM(AC13:AF60)</f>
        <v>10</v>
      </c>
      <c r="AD61" s="67"/>
      <c r="AE61" s="67">
        <f>COUNT(AC13:AF60)*4</f>
        <v>16</v>
      </c>
      <c r="AF61" s="67"/>
      <c r="AG61" s="67">
        <f>SUM(AG13:AJ60)</f>
        <v>25</v>
      </c>
      <c r="AH61" s="67"/>
      <c r="AI61" s="67">
        <f>COUNT(AG13:AJ60)*4</f>
        <v>28</v>
      </c>
      <c r="AJ61" s="67"/>
      <c r="AK61" s="67">
        <f>SUM(AK13:AN60)</f>
        <v>4</v>
      </c>
      <c r="AL61" s="67"/>
      <c r="AM61" s="67">
        <f>COUNT(AK13:AN60)*4</f>
        <v>4</v>
      </c>
      <c r="AN61" s="67"/>
      <c r="AO61" s="67">
        <f>SUM(AO13:AR60)</f>
        <v>4</v>
      </c>
      <c r="AP61" s="67"/>
      <c r="AQ61" s="67">
        <f>COUNT(AO13:AR60)*4</f>
        <v>4</v>
      </c>
      <c r="AR61" s="67"/>
      <c r="AS61" s="67">
        <f>SUM(AS13:AV60)</f>
        <v>3</v>
      </c>
      <c r="AT61" s="67"/>
      <c r="AU61" s="67">
        <f>COUNT(AS13:AV60)*4</f>
        <v>4</v>
      </c>
      <c r="AV61" s="67"/>
      <c r="AW61" s="67">
        <f>SUM(AW13:AZ60)</f>
        <v>10</v>
      </c>
      <c r="AX61" s="67"/>
      <c r="AY61" s="67">
        <f>COUNT(AW13:AZ60)*4</f>
        <v>12</v>
      </c>
      <c r="AZ61" s="67"/>
      <c r="BA61" s="67">
        <f>SUM(BA13:BD60)</f>
        <v>12</v>
      </c>
      <c r="BB61" s="67"/>
      <c r="BC61" s="67">
        <f>COUNT(BA13:BD60)*4</f>
        <v>12</v>
      </c>
      <c r="BD61" s="67"/>
      <c r="BE61" s="67">
        <f>SUM(BE13:BH60)</f>
        <v>8</v>
      </c>
      <c r="BF61" s="67"/>
      <c r="BG61" s="67">
        <f>COUNT(BE13:BH60)*4</f>
        <v>8</v>
      </c>
      <c r="BH61" s="67"/>
      <c r="BI61" s="67">
        <f>SUM(BI13:BL60)</f>
        <v>3</v>
      </c>
      <c r="BJ61" s="67"/>
      <c r="BK61" s="67">
        <f>COUNT(BI13:BL60)*4</f>
        <v>4</v>
      </c>
      <c r="BL61" s="67"/>
      <c r="BM61" s="67">
        <f>SUM(BM13:BP60)</f>
        <v>8</v>
      </c>
      <c r="BN61" s="67"/>
      <c r="BO61" s="67">
        <f>COUNT(BM13:BP60)*4</f>
        <v>8</v>
      </c>
      <c r="BP61" s="67"/>
      <c r="BQ61" s="67">
        <f>SUM(BQ13:BT60)</f>
        <v>13</v>
      </c>
      <c r="BR61" s="67"/>
      <c r="BS61" s="67">
        <f>COUNT(BQ13:BT60)*4</f>
        <v>16</v>
      </c>
      <c r="BT61" s="67"/>
      <c r="BU61" s="67">
        <f>SUM(BU13:BX60)</f>
        <v>15</v>
      </c>
      <c r="BV61" s="67"/>
      <c r="BW61" s="67">
        <f>COUNT(BU13:BX60)*4</f>
        <v>16</v>
      </c>
      <c r="BX61" s="67"/>
      <c r="BY61" s="67">
        <f>SUM(BY13:CB60)</f>
        <v>5</v>
      </c>
      <c r="BZ61" s="67"/>
      <c r="CA61" s="67">
        <f>COUNT(BY13:CB60)*4</f>
        <v>8</v>
      </c>
      <c r="CB61" s="67"/>
      <c r="CC61" s="67">
        <f>SUM(CC13:CF60)</f>
        <v>10</v>
      </c>
      <c r="CD61" s="67"/>
      <c r="CE61" s="67">
        <f>COUNT(CC13:CF60)*4</f>
        <v>16</v>
      </c>
      <c r="CF61" s="67"/>
      <c r="CG61" s="67">
        <f>SUM(CG13:CJ60)</f>
        <v>20</v>
      </c>
      <c r="CH61" s="67"/>
      <c r="CI61" s="67">
        <f>COUNT(CG13:CJ60)*4</f>
        <v>28</v>
      </c>
      <c r="CJ61" s="67"/>
      <c r="CK61" s="67">
        <f>SUM(CK13:CN60)</f>
        <v>11</v>
      </c>
      <c r="CL61" s="67"/>
      <c r="CM61" s="67">
        <f>COUNT(CK13:CN60)*4</f>
        <v>12</v>
      </c>
      <c r="CN61" s="67"/>
      <c r="CO61" s="67">
        <f>SUM(CO13:CR60)</f>
        <v>11</v>
      </c>
      <c r="CP61" s="67"/>
      <c r="CQ61" s="67">
        <f>COUNT(CO13:CR60)*4</f>
        <v>20</v>
      </c>
      <c r="CR61" s="67"/>
      <c r="CS61" s="67">
        <f>SUM(CS13:CV60)</f>
        <v>16</v>
      </c>
      <c r="CT61" s="67"/>
      <c r="CU61" s="67">
        <f>COUNT(CS13:CV60)*4</f>
        <v>16</v>
      </c>
      <c r="CV61" s="67"/>
      <c r="CW61" s="67">
        <f>SUM(CW13:CZ60)</f>
        <v>14</v>
      </c>
      <c r="CX61" s="67"/>
      <c r="CY61" s="67">
        <f>COUNT(CW13:CZ60)*4</f>
        <v>16</v>
      </c>
      <c r="CZ61" s="67"/>
      <c r="DA61" s="67">
        <f>SUM(DA13:DD60)</f>
        <v>7</v>
      </c>
      <c r="DB61" s="67"/>
      <c r="DC61" s="67">
        <f>COUNT(DA13:DD60)*4</f>
        <v>16</v>
      </c>
      <c r="DD61" s="67"/>
      <c r="DE61" s="67">
        <f>SUM(DE13:DH60)</f>
        <v>10</v>
      </c>
      <c r="DF61" s="67"/>
      <c r="DG61" s="67">
        <f>COUNT(DE13:DH60)*4</f>
        <v>12</v>
      </c>
      <c r="DH61" s="67"/>
      <c r="DI61" s="67">
        <f>SUM(DI13:DL60)</f>
        <v>4</v>
      </c>
      <c r="DJ61" s="67"/>
      <c r="DK61" s="67">
        <f>COUNT(DI13:DL60)*4</f>
        <v>4</v>
      </c>
      <c r="DL61" s="67"/>
      <c r="DM61" s="67">
        <f>SUM(DM13:DP60)</f>
        <v>4</v>
      </c>
      <c r="DN61" s="67"/>
      <c r="DO61" s="67">
        <f>COUNT(DM13:DP60)*4</f>
        <v>4</v>
      </c>
      <c r="DP61" s="67"/>
      <c r="DQ61" s="67">
        <f>SUM(DQ13:DT60)</f>
        <v>0</v>
      </c>
      <c r="DR61" s="67"/>
      <c r="DS61" s="67">
        <f>COUNT(DQ13:DT60)*4</f>
        <v>0</v>
      </c>
      <c r="DT61" s="67"/>
      <c r="DU61" s="45"/>
    </row>
    <row r="62" spans="2:157" x14ac:dyDescent="0.25">
      <c r="B62" s="68" t="s">
        <v>62</v>
      </c>
      <c r="C62" s="68"/>
      <c r="E62" s="65">
        <f>IFERROR(E61/G61,"")</f>
        <v>1</v>
      </c>
      <c r="F62" s="65"/>
      <c r="G62" s="65"/>
      <c r="H62" s="65"/>
      <c r="I62" s="65">
        <f>IFERROR(I61/K61,"")</f>
        <v>0.3</v>
      </c>
      <c r="J62" s="65"/>
      <c r="K62" s="65"/>
      <c r="L62" s="65"/>
      <c r="M62" s="65">
        <f>IFERROR(M61/O61,"")</f>
        <v>1</v>
      </c>
      <c r="N62" s="65"/>
      <c r="O62" s="65"/>
      <c r="P62" s="65"/>
      <c r="Q62" s="65">
        <f>IFERROR(Q61/S61,"")</f>
        <v>0.5714285714285714</v>
      </c>
      <c r="R62" s="65"/>
      <c r="S62" s="65"/>
      <c r="T62" s="65"/>
      <c r="U62" s="65">
        <f>IFERROR(U61/W61,"")</f>
        <v>1</v>
      </c>
      <c r="V62" s="65"/>
      <c r="W62" s="65"/>
      <c r="X62" s="65"/>
      <c r="Y62" s="65">
        <f>IFERROR(Y61/AA61,"")</f>
        <v>1</v>
      </c>
      <c r="Z62" s="65"/>
      <c r="AA62" s="65"/>
      <c r="AB62" s="65"/>
      <c r="AC62" s="65">
        <f>IFERROR(AC61/AE61,"")</f>
        <v>0.625</v>
      </c>
      <c r="AD62" s="65"/>
      <c r="AE62" s="65"/>
      <c r="AF62" s="65"/>
      <c r="AG62" s="65">
        <f>IFERROR(AG61/AI61,"")</f>
        <v>0.8928571428571429</v>
      </c>
      <c r="AH62" s="65"/>
      <c r="AI62" s="65"/>
      <c r="AJ62" s="65"/>
      <c r="AK62" s="65">
        <f>IFERROR(AK61/AM61,"")</f>
        <v>1</v>
      </c>
      <c r="AL62" s="65"/>
      <c r="AM62" s="65"/>
      <c r="AN62" s="65"/>
      <c r="AO62" s="65">
        <f>IFERROR(AO61/AQ61,"")</f>
        <v>1</v>
      </c>
      <c r="AP62" s="65"/>
      <c r="AQ62" s="65"/>
      <c r="AR62" s="65"/>
      <c r="AS62" s="65">
        <f>IFERROR(AS61/AU61,"")</f>
        <v>0.75</v>
      </c>
      <c r="AT62" s="65"/>
      <c r="AU62" s="65"/>
      <c r="AV62" s="65"/>
      <c r="AW62" s="65">
        <f>IFERROR(AW61/AY61,"")</f>
        <v>0.83333333333333337</v>
      </c>
      <c r="AX62" s="65"/>
      <c r="AY62" s="65"/>
      <c r="AZ62" s="65"/>
      <c r="BA62" s="65">
        <f>IFERROR(BA61/BC61,"")</f>
        <v>1</v>
      </c>
      <c r="BB62" s="65"/>
      <c r="BC62" s="65"/>
      <c r="BD62" s="65"/>
      <c r="BE62" s="65">
        <f>IFERROR(BE61/BG61,"")</f>
        <v>1</v>
      </c>
      <c r="BF62" s="65"/>
      <c r="BG62" s="65"/>
      <c r="BH62" s="65"/>
      <c r="BI62" s="65">
        <f>IFERROR(BI61/BK61,"")</f>
        <v>0.75</v>
      </c>
      <c r="BJ62" s="65"/>
      <c r="BK62" s="65"/>
      <c r="BL62" s="65"/>
      <c r="BM62" s="65">
        <f>IFERROR(BM61/BO61,"")</f>
        <v>1</v>
      </c>
      <c r="BN62" s="65"/>
      <c r="BO62" s="65"/>
      <c r="BP62" s="65"/>
      <c r="BQ62" s="65">
        <f>IFERROR(BQ61/BS61,"")</f>
        <v>0.8125</v>
      </c>
      <c r="BR62" s="65"/>
      <c r="BS62" s="65"/>
      <c r="BT62" s="65"/>
      <c r="BU62" s="65">
        <f>IFERROR(BU61/BW61,"")</f>
        <v>0.9375</v>
      </c>
      <c r="BV62" s="65"/>
      <c r="BW62" s="65"/>
      <c r="BX62" s="65"/>
      <c r="BY62" s="65">
        <f>IFERROR(BY61/CA61,"")</f>
        <v>0.625</v>
      </c>
      <c r="BZ62" s="65"/>
      <c r="CA62" s="65"/>
      <c r="CB62" s="65"/>
      <c r="CC62" s="65">
        <f>IFERROR(CC61/CE61,"")</f>
        <v>0.625</v>
      </c>
      <c r="CD62" s="65"/>
      <c r="CE62" s="65"/>
      <c r="CF62" s="65"/>
      <c r="CG62" s="65">
        <f>IFERROR(CG61/CI61,"")</f>
        <v>0.7142857142857143</v>
      </c>
      <c r="CH62" s="65"/>
      <c r="CI62" s="65"/>
      <c r="CJ62" s="65"/>
      <c r="CK62" s="65">
        <f>IFERROR(CK61/CM61,"")</f>
        <v>0.91666666666666663</v>
      </c>
      <c r="CL62" s="65"/>
      <c r="CM62" s="65"/>
      <c r="CN62" s="65"/>
      <c r="CO62" s="65">
        <f>IFERROR(CO61/CQ61,"")</f>
        <v>0.55000000000000004</v>
      </c>
      <c r="CP62" s="65"/>
      <c r="CQ62" s="65"/>
      <c r="CR62" s="65"/>
      <c r="CS62" s="65">
        <f>IFERROR(CS61/CU61,"")</f>
        <v>1</v>
      </c>
      <c r="CT62" s="65"/>
      <c r="CU62" s="65"/>
      <c r="CV62" s="65"/>
      <c r="CW62" s="65">
        <f>IFERROR(CW61/CY61,"")</f>
        <v>0.875</v>
      </c>
      <c r="CX62" s="65"/>
      <c r="CY62" s="65"/>
      <c r="CZ62" s="65"/>
      <c r="DA62" s="65">
        <f>IFERROR(DA61/DC61,"")</f>
        <v>0.4375</v>
      </c>
      <c r="DB62" s="65"/>
      <c r="DC62" s="65"/>
      <c r="DD62" s="65"/>
      <c r="DE62" s="65">
        <f>IFERROR(DE61/DG61,"")</f>
        <v>0.83333333333333337</v>
      </c>
      <c r="DF62" s="65"/>
      <c r="DG62" s="65"/>
      <c r="DH62" s="65"/>
      <c r="DI62" s="65">
        <f>IFERROR(DI61/DK61,"")</f>
        <v>1</v>
      </c>
      <c r="DJ62" s="65"/>
      <c r="DK62" s="65"/>
      <c r="DL62" s="65"/>
      <c r="DM62" s="65">
        <f>IFERROR(DM61/DO61,"")</f>
        <v>1</v>
      </c>
      <c r="DN62" s="65"/>
      <c r="DO62" s="65"/>
      <c r="DP62" s="65"/>
      <c r="DQ62" s="65" t="str">
        <f>IFERROR(DQ61/DS61,"")</f>
        <v/>
      </c>
      <c r="DR62" s="65"/>
      <c r="DS62" s="65"/>
      <c r="DT62" s="65"/>
      <c r="DU62" s="46"/>
      <c r="DV62" s="59" t="s">
        <v>63</v>
      </c>
      <c r="DW62" s="60"/>
      <c r="DX62" s="63">
        <f>IFERROR(AVERAGE(CO62:DT63),"")</f>
        <v>0.81369047619047608</v>
      </c>
      <c r="EB62"/>
      <c r="EC62"/>
      <c r="ED62"/>
      <c r="EE62"/>
      <c r="EF62"/>
      <c r="EG62"/>
      <c r="EH62"/>
      <c r="EI62"/>
      <c r="EJ62"/>
      <c r="EK62"/>
      <c r="EL62"/>
      <c r="EM62"/>
      <c r="EN62"/>
      <c r="EO62"/>
      <c r="EZ62"/>
      <c r="FA62"/>
    </row>
    <row r="63" spans="2:157" ht="15.75" x14ac:dyDescent="0.25">
      <c r="B63" s="68"/>
      <c r="C63" s="68"/>
      <c r="D63" s="47"/>
      <c r="E63" s="66"/>
      <c r="F63" s="66"/>
      <c r="G63" s="66"/>
      <c r="H63" s="66"/>
      <c r="I63" s="66"/>
      <c r="J63" s="66"/>
      <c r="K63" s="66"/>
      <c r="L63" s="66"/>
      <c r="M63" s="66"/>
      <c r="N63" s="66"/>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66"/>
      <c r="BL63" s="66"/>
      <c r="BM63" s="66"/>
      <c r="BN63" s="66"/>
      <c r="BO63" s="66"/>
      <c r="BP63" s="66"/>
      <c r="BQ63" s="66"/>
      <c r="BR63" s="66"/>
      <c r="BS63" s="66"/>
      <c r="BT63" s="66"/>
      <c r="BU63" s="66"/>
      <c r="BV63" s="66"/>
      <c r="BW63" s="66"/>
      <c r="BX63" s="66"/>
      <c r="BY63" s="66"/>
      <c r="BZ63" s="66"/>
      <c r="CA63" s="66"/>
      <c r="CB63" s="66"/>
      <c r="CC63" s="66"/>
      <c r="CD63" s="66"/>
      <c r="CE63" s="66"/>
      <c r="CF63" s="66"/>
      <c r="CG63" s="66"/>
      <c r="CH63" s="66"/>
      <c r="CI63" s="66"/>
      <c r="CJ63" s="66"/>
      <c r="CK63" s="66"/>
      <c r="CL63" s="66"/>
      <c r="CM63" s="66"/>
      <c r="CN63" s="66"/>
      <c r="CO63" s="66"/>
      <c r="CP63" s="66"/>
      <c r="CQ63" s="66"/>
      <c r="CR63" s="66"/>
      <c r="CS63" s="66"/>
      <c r="CT63" s="66"/>
      <c r="CU63" s="66"/>
      <c r="CV63" s="66"/>
      <c r="CW63" s="66"/>
      <c r="CX63" s="66"/>
      <c r="CY63" s="66"/>
      <c r="CZ63" s="66"/>
      <c r="DA63" s="66"/>
      <c r="DB63" s="66"/>
      <c r="DC63" s="66"/>
      <c r="DD63" s="66"/>
      <c r="DE63" s="66"/>
      <c r="DF63" s="66"/>
      <c r="DG63" s="66"/>
      <c r="DH63" s="66"/>
      <c r="DI63" s="66"/>
      <c r="DJ63" s="66"/>
      <c r="DK63" s="66"/>
      <c r="DL63" s="66"/>
      <c r="DM63" s="66"/>
      <c r="DN63" s="66"/>
      <c r="DO63" s="66"/>
      <c r="DP63" s="66"/>
      <c r="DQ63" s="66"/>
      <c r="DR63" s="66"/>
      <c r="DS63" s="66"/>
      <c r="DT63" s="66"/>
      <c r="DU63" s="48"/>
      <c r="DV63" s="61"/>
      <c r="DW63" s="62"/>
      <c r="DX63" s="64"/>
      <c r="DY63" s="20"/>
      <c r="EB63"/>
      <c r="EC63"/>
      <c r="ED63"/>
      <c r="EE63"/>
      <c r="EF63"/>
      <c r="EG63"/>
      <c r="EH63"/>
      <c r="EI63"/>
      <c r="EJ63"/>
      <c r="EK63"/>
      <c r="EL63"/>
      <c r="EM63"/>
      <c r="EN63"/>
      <c r="EO63"/>
      <c r="EZ63"/>
      <c r="FA63"/>
    </row>
    <row r="64" spans="2:157" x14ac:dyDescent="0.25">
      <c r="DV64"/>
      <c r="DW64"/>
    </row>
    <row r="65" spans="126:127" x14ac:dyDescent="0.25">
      <c r="DV65"/>
      <c r="DW65"/>
    </row>
  </sheetData>
  <mergeCells count="558">
    <mergeCell ref="DM52:DP52"/>
    <mergeCell ref="DM56:DP56"/>
    <mergeCell ref="DM60:DP60"/>
    <mergeCell ref="DM61:DN61"/>
    <mergeCell ref="DO61:DP61"/>
    <mergeCell ref="DM62:DP63"/>
    <mergeCell ref="DA5:DT8"/>
    <mergeCell ref="CW8:CZ8"/>
    <mergeCell ref="DX62:DX63"/>
    <mergeCell ref="DQ62:DT63"/>
    <mergeCell ref="DV62:DW63"/>
    <mergeCell ref="DE62:DH63"/>
    <mergeCell ref="DI62:DL63"/>
    <mergeCell ref="DM16:DP16"/>
    <mergeCell ref="DM20:DP20"/>
    <mergeCell ref="DM24:DP24"/>
    <mergeCell ref="DM28:DP28"/>
    <mergeCell ref="DM32:DP32"/>
    <mergeCell ref="DM36:DP36"/>
    <mergeCell ref="DM40:DP40"/>
    <mergeCell ref="DM44:DP44"/>
    <mergeCell ref="DM48:DP48"/>
    <mergeCell ref="DK61:DL61"/>
    <mergeCell ref="CY61:CZ61"/>
    <mergeCell ref="E8:H8"/>
    <mergeCell ref="I5:AB8"/>
    <mergeCell ref="AC8:AF8"/>
    <mergeCell ref="AG5:AZ8"/>
    <mergeCell ref="BA8:BD8"/>
    <mergeCell ref="BE5:BX8"/>
    <mergeCell ref="CC5:CV8"/>
    <mergeCell ref="BY8:CB8"/>
    <mergeCell ref="DM11:DP12"/>
    <mergeCell ref="BQ62:BT63"/>
    <mergeCell ref="BU62:BX63"/>
    <mergeCell ref="BY62:CB63"/>
    <mergeCell ref="CC62:CF63"/>
    <mergeCell ref="AK62:AN63"/>
    <mergeCell ref="AO62:AR63"/>
    <mergeCell ref="AS62:AV63"/>
    <mergeCell ref="AW62:AZ63"/>
    <mergeCell ref="BA62:BD63"/>
    <mergeCell ref="BE62:BH63"/>
    <mergeCell ref="CA61:CB61"/>
    <mergeCell ref="CC61:CD61"/>
    <mergeCell ref="CE61:CF61"/>
    <mergeCell ref="CG61:CH61"/>
    <mergeCell ref="CI61:CJ61"/>
    <mergeCell ref="DS61:DT61"/>
    <mergeCell ref="B62:C63"/>
    <mergeCell ref="E62:H63"/>
    <mergeCell ref="I62:L63"/>
    <mergeCell ref="M62:P63"/>
    <mergeCell ref="Q62:T63"/>
    <mergeCell ref="U62:X63"/>
    <mergeCell ref="Y62:AB63"/>
    <mergeCell ref="AC62:AF63"/>
    <mergeCell ref="AG62:AJ63"/>
    <mergeCell ref="DQ61:DR61"/>
    <mergeCell ref="CG62:CJ63"/>
    <mergeCell ref="CK62:CN63"/>
    <mergeCell ref="CO62:CR63"/>
    <mergeCell ref="CS62:CV63"/>
    <mergeCell ref="CW62:CZ63"/>
    <mergeCell ref="DA62:DD63"/>
    <mergeCell ref="BI62:BL63"/>
    <mergeCell ref="BM62:BP63"/>
    <mergeCell ref="DA61:DB61"/>
    <mergeCell ref="DC61:DD61"/>
    <mergeCell ref="DE61:DF61"/>
    <mergeCell ref="DG61:DH61"/>
    <mergeCell ref="DI61:DJ61"/>
    <mergeCell ref="CM61:CN61"/>
    <mergeCell ref="CO61:CP61"/>
    <mergeCell ref="CQ61:CR61"/>
    <mergeCell ref="CS61:CT61"/>
    <mergeCell ref="CU61:CV61"/>
    <mergeCell ref="CW61:CX61"/>
    <mergeCell ref="E61:F61"/>
    <mergeCell ref="G61:H61"/>
    <mergeCell ref="I61:J61"/>
    <mergeCell ref="K61:L61"/>
    <mergeCell ref="M61:N61"/>
    <mergeCell ref="O61:P61"/>
    <mergeCell ref="Q61:R61"/>
    <mergeCell ref="CK61:CL61"/>
    <mergeCell ref="BO61:BP61"/>
    <mergeCell ref="BQ61:BR61"/>
    <mergeCell ref="BS61:BT61"/>
    <mergeCell ref="BU61:BV61"/>
    <mergeCell ref="BW61:BX61"/>
    <mergeCell ref="BY61:BZ61"/>
    <mergeCell ref="AU61:AV61"/>
    <mergeCell ref="AW61:AX61"/>
    <mergeCell ref="AY61:AZ61"/>
    <mergeCell ref="BA61:BB61"/>
    <mergeCell ref="BC61:BD61"/>
    <mergeCell ref="BE61:BF61"/>
    <mergeCell ref="BG61:BH61"/>
    <mergeCell ref="BI61:BJ61"/>
    <mergeCell ref="BK61:BL61"/>
    <mergeCell ref="BM61:BN61"/>
    <mergeCell ref="AQ61:AR61"/>
    <mergeCell ref="AS61:AT61"/>
    <mergeCell ref="S61:T61"/>
    <mergeCell ref="U61:V61"/>
    <mergeCell ref="W61:X61"/>
    <mergeCell ref="Y61:Z61"/>
    <mergeCell ref="AA61:AB61"/>
    <mergeCell ref="AC61:AD61"/>
    <mergeCell ref="AO60:AR60"/>
    <mergeCell ref="AE61:AF61"/>
    <mergeCell ref="AG61:AH61"/>
    <mergeCell ref="AI61:AJ61"/>
    <mergeCell ref="AK61:AL61"/>
    <mergeCell ref="AM61:AN61"/>
    <mergeCell ref="AO61:AP61"/>
    <mergeCell ref="DQ60:DT60"/>
    <mergeCell ref="CO60:CR60"/>
    <mergeCell ref="CS60:CV60"/>
    <mergeCell ref="CW60:CZ60"/>
    <mergeCell ref="DA60:DD60"/>
    <mergeCell ref="DE60:DH60"/>
    <mergeCell ref="DI60:DL60"/>
    <mergeCell ref="BQ60:BT60"/>
    <mergeCell ref="BU60:BX60"/>
    <mergeCell ref="BY60:CB60"/>
    <mergeCell ref="CC60:CF60"/>
    <mergeCell ref="B57:C60"/>
    <mergeCell ref="BA56:BD56"/>
    <mergeCell ref="BE56:BH56"/>
    <mergeCell ref="BI56:BL56"/>
    <mergeCell ref="BM56:BP56"/>
    <mergeCell ref="BQ56:BT56"/>
    <mergeCell ref="I60:L60"/>
    <mergeCell ref="M60:P60"/>
    <mergeCell ref="Q60:T60"/>
    <mergeCell ref="E60:H60"/>
    <mergeCell ref="DQ52:DT52"/>
    <mergeCell ref="B53:C56"/>
    <mergeCell ref="AG56:AJ56"/>
    <mergeCell ref="AK56:AN56"/>
    <mergeCell ref="AO56:AR56"/>
    <mergeCell ref="AS56:AV56"/>
    <mergeCell ref="DE52:DH52"/>
    <mergeCell ref="DI52:DL52"/>
    <mergeCell ref="DX57:DX60"/>
    <mergeCell ref="DV59:DV60"/>
    <mergeCell ref="DW59:DW60"/>
    <mergeCell ref="CG60:CJ60"/>
    <mergeCell ref="CK60:CN60"/>
    <mergeCell ref="AS60:AV60"/>
    <mergeCell ref="AW60:AZ60"/>
    <mergeCell ref="BA60:BD60"/>
    <mergeCell ref="BE60:BH60"/>
    <mergeCell ref="BI60:BL60"/>
    <mergeCell ref="BM60:BP60"/>
    <mergeCell ref="U60:X60"/>
    <mergeCell ref="Y60:AB60"/>
    <mergeCell ref="AC60:AF60"/>
    <mergeCell ref="AG60:AJ60"/>
    <mergeCell ref="AK60:AN60"/>
    <mergeCell ref="DX53:DX56"/>
    <mergeCell ref="DV55:DV56"/>
    <mergeCell ref="DW55:DW56"/>
    <mergeCell ref="E56:H56"/>
    <mergeCell ref="I56:L56"/>
    <mergeCell ref="M56:P56"/>
    <mergeCell ref="Q56:T56"/>
    <mergeCell ref="U56:X56"/>
    <mergeCell ref="Y56:AB56"/>
    <mergeCell ref="AC56:AF56"/>
    <mergeCell ref="CS56:CV56"/>
    <mergeCell ref="CW56:CZ56"/>
    <mergeCell ref="DA56:DD56"/>
    <mergeCell ref="DE56:DH56"/>
    <mergeCell ref="DI56:DL56"/>
    <mergeCell ref="AW56:AZ56"/>
    <mergeCell ref="BU56:BX56"/>
    <mergeCell ref="BY56:CB56"/>
    <mergeCell ref="CC56:CF56"/>
    <mergeCell ref="CG56:CJ56"/>
    <mergeCell ref="CK56:CN56"/>
    <mergeCell ref="CO56:CR56"/>
    <mergeCell ref="DQ56:DT56"/>
    <mergeCell ref="BI52:BL52"/>
    <mergeCell ref="BM52:BP52"/>
    <mergeCell ref="BQ52:BT52"/>
    <mergeCell ref="BU52:BX52"/>
    <mergeCell ref="BY52:CB52"/>
    <mergeCell ref="CC52:CF52"/>
    <mergeCell ref="AK52:AN52"/>
    <mergeCell ref="AO52:AR52"/>
    <mergeCell ref="AS52:AV52"/>
    <mergeCell ref="AW52:AZ52"/>
    <mergeCell ref="BA52:BD52"/>
    <mergeCell ref="BE52:BH52"/>
    <mergeCell ref="M52:P52"/>
    <mergeCell ref="Q52:T52"/>
    <mergeCell ref="U52:X52"/>
    <mergeCell ref="Y52:AB52"/>
    <mergeCell ref="AC52:AF52"/>
    <mergeCell ref="AG52:AJ52"/>
    <mergeCell ref="DQ48:DT48"/>
    <mergeCell ref="B49:C52"/>
    <mergeCell ref="DX49:DX52"/>
    <mergeCell ref="DV51:DV52"/>
    <mergeCell ref="DW51:DW52"/>
    <mergeCell ref="E52:H52"/>
    <mergeCell ref="I52:L52"/>
    <mergeCell ref="DI48:DL48"/>
    <mergeCell ref="CK48:CN48"/>
    <mergeCell ref="CO48:CR48"/>
    <mergeCell ref="CS48:CV48"/>
    <mergeCell ref="CW48:CZ48"/>
    <mergeCell ref="CG52:CJ52"/>
    <mergeCell ref="CK52:CN52"/>
    <mergeCell ref="CO52:CR52"/>
    <mergeCell ref="CS52:CV52"/>
    <mergeCell ref="CW52:CZ52"/>
    <mergeCell ref="DA52:DD52"/>
    <mergeCell ref="CG48:CJ48"/>
    <mergeCell ref="AO48:AR48"/>
    <mergeCell ref="AS48:AV48"/>
    <mergeCell ref="AW48:AZ48"/>
    <mergeCell ref="BA48:BD48"/>
    <mergeCell ref="BE48:BH48"/>
    <mergeCell ref="BI48:BL48"/>
    <mergeCell ref="Q48:T48"/>
    <mergeCell ref="U48:X48"/>
    <mergeCell ref="Y48:AB48"/>
    <mergeCell ref="AC48:AF48"/>
    <mergeCell ref="AG48:AJ48"/>
    <mergeCell ref="AK48:AN48"/>
    <mergeCell ref="B45:C48"/>
    <mergeCell ref="DX45:DX48"/>
    <mergeCell ref="DV47:DV48"/>
    <mergeCell ref="DW47:DW48"/>
    <mergeCell ref="E48:H48"/>
    <mergeCell ref="I48:L48"/>
    <mergeCell ref="M48:P48"/>
    <mergeCell ref="CO44:CR44"/>
    <mergeCell ref="CS44:CV44"/>
    <mergeCell ref="CW44:CZ44"/>
    <mergeCell ref="DA44:DD44"/>
    <mergeCell ref="DE44:DH44"/>
    <mergeCell ref="DI44:DL44"/>
    <mergeCell ref="BQ44:BT44"/>
    <mergeCell ref="BU44:BX44"/>
    <mergeCell ref="BY44:CB44"/>
    <mergeCell ref="CC44:CF44"/>
    <mergeCell ref="DA48:DD48"/>
    <mergeCell ref="DE48:DH48"/>
    <mergeCell ref="BM48:BP48"/>
    <mergeCell ref="BQ48:BT48"/>
    <mergeCell ref="BU48:BX48"/>
    <mergeCell ref="BY48:CB48"/>
    <mergeCell ref="CC48:CF48"/>
    <mergeCell ref="AO44:AR44"/>
    <mergeCell ref="DQ40:DT40"/>
    <mergeCell ref="B41:C44"/>
    <mergeCell ref="BA40:BD40"/>
    <mergeCell ref="BE40:BH40"/>
    <mergeCell ref="BI40:BL40"/>
    <mergeCell ref="BM40:BP40"/>
    <mergeCell ref="BQ40:BT40"/>
    <mergeCell ref="AW40:AZ40"/>
    <mergeCell ref="BU40:BX40"/>
    <mergeCell ref="BY40:CB40"/>
    <mergeCell ref="CC40:CF40"/>
    <mergeCell ref="CG40:CJ40"/>
    <mergeCell ref="CK40:CN40"/>
    <mergeCell ref="CO40:CR40"/>
    <mergeCell ref="CS40:CV40"/>
    <mergeCell ref="CW40:CZ40"/>
    <mergeCell ref="DA40:DD40"/>
    <mergeCell ref="DQ44:DT44"/>
    <mergeCell ref="E44:H44"/>
    <mergeCell ref="I44:L44"/>
    <mergeCell ref="M44:P44"/>
    <mergeCell ref="Q44:T44"/>
    <mergeCell ref="DQ36:DT36"/>
    <mergeCell ref="B37:C40"/>
    <mergeCell ref="AG40:AJ40"/>
    <mergeCell ref="AK40:AN40"/>
    <mergeCell ref="AO40:AR40"/>
    <mergeCell ref="AS40:AV40"/>
    <mergeCell ref="DE36:DH36"/>
    <mergeCell ref="DI36:DL36"/>
    <mergeCell ref="DX41:DX44"/>
    <mergeCell ref="DV43:DV44"/>
    <mergeCell ref="DW43:DW44"/>
    <mergeCell ref="CG44:CJ44"/>
    <mergeCell ref="CK44:CN44"/>
    <mergeCell ref="AS44:AV44"/>
    <mergeCell ref="AW44:AZ44"/>
    <mergeCell ref="BA44:BD44"/>
    <mergeCell ref="BE44:BH44"/>
    <mergeCell ref="BI44:BL44"/>
    <mergeCell ref="BM44:BP44"/>
    <mergeCell ref="U44:X44"/>
    <mergeCell ref="Y44:AB44"/>
    <mergeCell ref="AC44:AF44"/>
    <mergeCell ref="AG44:AJ44"/>
    <mergeCell ref="AK44:AN44"/>
    <mergeCell ref="DX37:DX40"/>
    <mergeCell ref="DV39:DV40"/>
    <mergeCell ref="DW39:DW40"/>
    <mergeCell ref="E40:H40"/>
    <mergeCell ref="I40:L40"/>
    <mergeCell ref="M40:P40"/>
    <mergeCell ref="Q40:T40"/>
    <mergeCell ref="U40:X40"/>
    <mergeCell ref="Y40:AB40"/>
    <mergeCell ref="AC40:AF40"/>
    <mergeCell ref="DE40:DH40"/>
    <mergeCell ref="DI40:DL40"/>
    <mergeCell ref="BI36:BL36"/>
    <mergeCell ref="BM36:BP36"/>
    <mergeCell ref="BQ36:BT36"/>
    <mergeCell ref="BU36:BX36"/>
    <mergeCell ref="BY36:CB36"/>
    <mergeCell ref="CC36:CF36"/>
    <mergeCell ref="AK36:AN36"/>
    <mergeCell ref="AO36:AR36"/>
    <mergeCell ref="AS36:AV36"/>
    <mergeCell ref="AW36:AZ36"/>
    <mergeCell ref="BA36:BD36"/>
    <mergeCell ref="BE36:BH36"/>
    <mergeCell ref="M36:P36"/>
    <mergeCell ref="Q36:T36"/>
    <mergeCell ref="U36:X36"/>
    <mergeCell ref="Y36:AB36"/>
    <mergeCell ref="AC36:AF36"/>
    <mergeCell ref="AG36:AJ36"/>
    <mergeCell ref="DQ32:DT32"/>
    <mergeCell ref="B33:C36"/>
    <mergeCell ref="DX33:DX36"/>
    <mergeCell ref="DV35:DV36"/>
    <mergeCell ref="DW35:DW36"/>
    <mergeCell ref="E36:H36"/>
    <mergeCell ref="I36:L36"/>
    <mergeCell ref="DI32:DL32"/>
    <mergeCell ref="CK32:CN32"/>
    <mergeCell ref="CO32:CR32"/>
    <mergeCell ref="CS32:CV32"/>
    <mergeCell ref="CW32:CZ32"/>
    <mergeCell ref="CG36:CJ36"/>
    <mergeCell ref="CK36:CN36"/>
    <mergeCell ref="CO36:CR36"/>
    <mergeCell ref="CS36:CV36"/>
    <mergeCell ref="CW36:CZ36"/>
    <mergeCell ref="DA36:DD36"/>
    <mergeCell ref="CG32:CJ32"/>
    <mergeCell ref="AO32:AR32"/>
    <mergeCell ref="AS32:AV32"/>
    <mergeCell ref="AW32:AZ32"/>
    <mergeCell ref="BA32:BD32"/>
    <mergeCell ref="BE32:BH32"/>
    <mergeCell ref="BI32:BL32"/>
    <mergeCell ref="Q32:T32"/>
    <mergeCell ref="U32:X32"/>
    <mergeCell ref="Y32:AB32"/>
    <mergeCell ref="AC32:AF32"/>
    <mergeCell ref="AG32:AJ32"/>
    <mergeCell ref="AK32:AN32"/>
    <mergeCell ref="B29:C32"/>
    <mergeCell ref="DX29:DX32"/>
    <mergeCell ref="DV31:DV32"/>
    <mergeCell ref="DW31:DW32"/>
    <mergeCell ref="E32:H32"/>
    <mergeCell ref="I32:L32"/>
    <mergeCell ref="M32:P32"/>
    <mergeCell ref="CO28:CR28"/>
    <mergeCell ref="CS28:CV28"/>
    <mergeCell ref="CW28:CZ28"/>
    <mergeCell ref="DA28:DD28"/>
    <mergeCell ref="DE28:DH28"/>
    <mergeCell ref="DI28:DL28"/>
    <mergeCell ref="BQ28:BT28"/>
    <mergeCell ref="BU28:BX28"/>
    <mergeCell ref="BY28:CB28"/>
    <mergeCell ref="CC28:CF28"/>
    <mergeCell ref="DA32:DD32"/>
    <mergeCell ref="DE32:DH32"/>
    <mergeCell ref="BM32:BP32"/>
    <mergeCell ref="BQ32:BT32"/>
    <mergeCell ref="BU32:BX32"/>
    <mergeCell ref="BY32:CB32"/>
    <mergeCell ref="CC32:CF32"/>
    <mergeCell ref="B25:C28"/>
    <mergeCell ref="BA24:BD24"/>
    <mergeCell ref="BE24:BH24"/>
    <mergeCell ref="BI24:BL24"/>
    <mergeCell ref="BM24:BP24"/>
    <mergeCell ref="BQ24:BT24"/>
    <mergeCell ref="I28:L28"/>
    <mergeCell ref="M28:P28"/>
    <mergeCell ref="Q28:T28"/>
    <mergeCell ref="E28:H28"/>
    <mergeCell ref="B21:C24"/>
    <mergeCell ref="AG24:AJ24"/>
    <mergeCell ref="AK24:AN24"/>
    <mergeCell ref="AO24:AR24"/>
    <mergeCell ref="AS24:AV24"/>
    <mergeCell ref="U28:X28"/>
    <mergeCell ref="Y28:AB28"/>
    <mergeCell ref="AC28:AF28"/>
    <mergeCell ref="AG28:AJ28"/>
    <mergeCell ref="AK28:AN28"/>
    <mergeCell ref="AO28:AR28"/>
    <mergeCell ref="DX25:DX28"/>
    <mergeCell ref="DV27:DV28"/>
    <mergeCell ref="DW27:DW28"/>
    <mergeCell ref="CG28:CJ28"/>
    <mergeCell ref="CK28:CN28"/>
    <mergeCell ref="AS28:AV28"/>
    <mergeCell ref="AW28:AZ28"/>
    <mergeCell ref="BA28:BD28"/>
    <mergeCell ref="BE28:BH28"/>
    <mergeCell ref="BI28:BL28"/>
    <mergeCell ref="BM28:BP28"/>
    <mergeCell ref="DQ28:DT28"/>
    <mergeCell ref="DX21:DX24"/>
    <mergeCell ref="DV23:DV24"/>
    <mergeCell ref="DW23:DW24"/>
    <mergeCell ref="E24:H24"/>
    <mergeCell ref="I24:L24"/>
    <mergeCell ref="M24:P24"/>
    <mergeCell ref="Q24:T24"/>
    <mergeCell ref="U24:X24"/>
    <mergeCell ref="Y24:AB24"/>
    <mergeCell ref="AC24:AF24"/>
    <mergeCell ref="DQ24:DT24"/>
    <mergeCell ref="DX17:DX20"/>
    <mergeCell ref="DV19:DV20"/>
    <mergeCell ref="DW19:DW20"/>
    <mergeCell ref="E20:H20"/>
    <mergeCell ref="I20:L20"/>
    <mergeCell ref="DI16:DL16"/>
    <mergeCell ref="CK16:CN16"/>
    <mergeCell ref="CO16:CR16"/>
    <mergeCell ref="CS16:CV16"/>
    <mergeCell ref="CW16:CZ16"/>
    <mergeCell ref="CG20:CJ20"/>
    <mergeCell ref="CK20:CN20"/>
    <mergeCell ref="CO20:CR20"/>
    <mergeCell ref="CS20:CV20"/>
    <mergeCell ref="CW20:CZ20"/>
    <mergeCell ref="DA20:DD20"/>
    <mergeCell ref="BI20:BL20"/>
    <mergeCell ref="BM20:BP20"/>
    <mergeCell ref="BQ20:BT20"/>
    <mergeCell ref="BU20:BX20"/>
    <mergeCell ref="BY20:CB20"/>
    <mergeCell ref="CC20:CF20"/>
    <mergeCell ref="AO20:AR20"/>
    <mergeCell ref="AS20:AV20"/>
    <mergeCell ref="M20:P20"/>
    <mergeCell ref="Q20:T20"/>
    <mergeCell ref="U20:X20"/>
    <mergeCell ref="Y20:AB20"/>
    <mergeCell ref="AC20:AF20"/>
    <mergeCell ref="AG20:AJ20"/>
    <mergeCell ref="AK20:AN20"/>
    <mergeCell ref="DQ16:DT16"/>
    <mergeCell ref="B17:C20"/>
    <mergeCell ref="AW20:AZ20"/>
    <mergeCell ref="BA20:BD20"/>
    <mergeCell ref="BE20:BH20"/>
    <mergeCell ref="DQ20:DT20"/>
    <mergeCell ref="DE20:DH20"/>
    <mergeCell ref="DI20:DL20"/>
    <mergeCell ref="CG16:CJ16"/>
    <mergeCell ref="AO16:AR16"/>
    <mergeCell ref="AS16:AV16"/>
    <mergeCell ref="AW16:AZ16"/>
    <mergeCell ref="BA16:BD16"/>
    <mergeCell ref="BE16:BH16"/>
    <mergeCell ref="BI16:BL16"/>
    <mergeCell ref="Q16:T16"/>
    <mergeCell ref="U16:X16"/>
    <mergeCell ref="DX13:DX16"/>
    <mergeCell ref="DV15:DV16"/>
    <mergeCell ref="DW15:DW16"/>
    <mergeCell ref="E16:H16"/>
    <mergeCell ref="I16:L16"/>
    <mergeCell ref="M16:P16"/>
    <mergeCell ref="CO11:CR12"/>
    <mergeCell ref="CS11:CV12"/>
    <mergeCell ref="CW11:CZ12"/>
    <mergeCell ref="DA11:DD12"/>
    <mergeCell ref="DE11:DH12"/>
    <mergeCell ref="DI11:DL12"/>
    <mergeCell ref="BQ11:BT12"/>
    <mergeCell ref="BU11:BX12"/>
    <mergeCell ref="BY11:CB12"/>
    <mergeCell ref="CC11:CF12"/>
    <mergeCell ref="DA16:DD16"/>
    <mergeCell ref="DE16:DH16"/>
    <mergeCell ref="BM16:BP16"/>
    <mergeCell ref="DA24:DD24"/>
    <mergeCell ref="DE24:DH24"/>
    <mergeCell ref="DI24:DL24"/>
    <mergeCell ref="DV10:DV12"/>
    <mergeCell ref="DW10:DW12"/>
    <mergeCell ref="E3:DT4"/>
    <mergeCell ref="BQ16:BT16"/>
    <mergeCell ref="BU16:BX16"/>
    <mergeCell ref="BY16:CB16"/>
    <mergeCell ref="CC16:CF16"/>
    <mergeCell ref="E11:H12"/>
    <mergeCell ref="I11:L12"/>
    <mergeCell ref="M11:P12"/>
    <mergeCell ref="Q11:T12"/>
    <mergeCell ref="DV5:DV8"/>
    <mergeCell ref="DW5:DW8"/>
    <mergeCell ref="CG11:CJ12"/>
    <mergeCell ref="CK11:CN12"/>
    <mergeCell ref="AS11:AV12"/>
    <mergeCell ref="AW11:AZ12"/>
    <mergeCell ref="BA11:BD12"/>
    <mergeCell ref="BE11:BH12"/>
    <mergeCell ref="BI11:BL12"/>
    <mergeCell ref="BM11:BP12"/>
    <mergeCell ref="AW24:AZ24"/>
    <mergeCell ref="BU24:BX24"/>
    <mergeCell ref="BY24:CB24"/>
    <mergeCell ref="CC24:CF24"/>
    <mergeCell ref="CG24:CJ24"/>
    <mergeCell ref="CK24:CN24"/>
    <mergeCell ref="CO24:CR24"/>
    <mergeCell ref="CS24:CV24"/>
    <mergeCell ref="CW24:CZ24"/>
    <mergeCell ref="Y16:AB16"/>
    <mergeCell ref="AC16:AF16"/>
    <mergeCell ref="AG16:AJ16"/>
    <mergeCell ref="AK16:AN16"/>
    <mergeCell ref="B3:B4"/>
    <mergeCell ref="C3:C4"/>
    <mergeCell ref="DV3:DX4"/>
    <mergeCell ref="B5:B6"/>
    <mergeCell ref="C5:C6"/>
    <mergeCell ref="DX10:DX12"/>
    <mergeCell ref="B7:B8"/>
    <mergeCell ref="C7:C8"/>
    <mergeCell ref="DX5:DX8"/>
    <mergeCell ref="U11:X12"/>
    <mergeCell ref="Y11:AB12"/>
    <mergeCell ref="AC11:AF12"/>
    <mergeCell ref="AG11:AJ12"/>
    <mergeCell ref="AK11:AN12"/>
    <mergeCell ref="AO11:AR12"/>
    <mergeCell ref="B10:C12"/>
    <mergeCell ref="E10:CN10"/>
    <mergeCell ref="CO10:DT10"/>
    <mergeCell ref="DQ11:DT12"/>
    <mergeCell ref="B13:C16"/>
  </mergeCells>
  <conditionalFormatting sqref="C3:C6">
    <cfRule type="containsBlanks" dxfId="71" priority="3189">
      <formula>LEN(TRIM(C3))=0</formula>
    </cfRule>
  </conditionalFormatting>
  <conditionalFormatting sqref="F6">
    <cfRule type="expression" dxfId="70" priority="24" stopIfTrue="1">
      <formula>AND(E8&gt;0)</formula>
    </cfRule>
  </conditionalFormatting>
  <conditionalFormatting sqref="F7">
    <cfRule type="expression" dxfId="69" priority="22" stopIfTrue="1">
      <formula>AND(E8&gt;2)</formula>
    </cfRule>
  </conditionalFormatting>
  <conditionalFormatting sqref="F14">
    <cfRule type="expression" dxfId="68" priority="1700" stopIfTrue="1">
      <formula>AND(E16&gt;0)</formula>
    </cfRule>
  </conditionalFormatting>
  <conditionalFormatting sqref="F15">
    <cfRule type="expression" dxfId="67" priority="1698" stopIfTrue="1">
      <formula>AND(E16&gt;2)</formula>
    </cfRule>
  </conditionalFormatting>
  <conditionalFormatting sqref="F18 F22 F26 F30 F34 F38 F42 F46 F50 F54 F58">
    <cfRule type="expression" dxfId="66" priority="52" stopIfTrue="1">
      <formula>AND(E20&gt;0)</formula>
    </cfRule>
  </conditionalFormatting>
  <conditionalFormatting sqref="F19 F23 F27 F31 F35 F39 F43 F47 F51 F55 F59">
    <cfRule type="expression" dxfId="65" priority="50" stopIfTrue="1">
      <formula>AND(E20&gt;2)</formula>
    </cfRule>
  </conditionalFormatting>
  <conditionalFormatting sqref="G6">
    <cfRule type="expression" dxfId="64" priority="23" stopIfTrue="1">
      <formula>AND(E8&gt;1)</formula>
    </cfRule>
  </conditionalFormatting>
  <conditionalFormatting sqref="G7">
    <cfRule type="expression" dxfId="63" priority="21" stopIfTrue="1">
      <formula>AND(E8&gt;3)</formula>
    </cfRule>
  </conditionalFormatting>
  <conditionalFormatting sqref="G14">
    <cfRule type="expression" dxfId="62" priority="1699" stopIfTrue="1">
      <formula>AND(E16&gt;1)</formula>
    </cfRule>
  </conditionalFormatting>
  <conditionalFormatting sqref="G15">
    <cfRule type="expression" dxfId="61" priority="1697" stopIfTrue="1">
      <formula>AND(E16&gt;3)</formula>
    </cfRule>
  </conditionalFormatting>
  <conditionalFormatting sqref="G18 G22 G26 G30 G34 G38 G42 G46 G50 G54 G58">
    <cfRule type="expression" dxfId="60" priority="51" stopIfTrue="1">
      <formula>AND(E20&gt;1)</formula>
    </cfRule>
  </conditionalFormatting>
  <conditionalFormatting sqref="G19 G23 G27 G31 G35 G39 G43 G47 G51 G55 G59">
    <cfRule type="expression" dxfId="59" priority="49" stopIfTrue="1">
      <formula>AND(E20&gt;3)</formula>
    </cfRule>
  </conditionalFormatting>
  <conditionalFormatting sqref="J14 N14 R14 V14 Z14 AD14 AH14 AL14 AP14 AT14 AX14 BB14 BF14 BJ14 BN14 BR14 BV14 BZ14 CD14 CH14 CL14 CP14 CT14 CX14 DB14 DF14 DJ14 DR14 J18 N18 R18 V18 Z18 AD18 AH18 AL18 AP18 AT18 AX18 BB18 BF18 BJ18 BN18 BR18 BV18 BZ18 CD18 CH18 CL18 CP18 CT18 CX18 DB18 DF18 DJ18 DR18 J22 N22 R22 V22 Z22 AD22 AH22 AL22 AP22 AT22 AX22 BB22 BF22 BJ22 BN22 BR22 BV22 BZ22 CD22 CH22 CL22 CP22 CT22 CX22 DB22 DF22 DJ22 DR22 J26 N26 R26 V26 Z26 AD26 AH26 AL26 AP26 AT26 AX26 BB26 BF26 BJ26 BN26 BR26 BV26 BZ26 CD26 CH26 CL26 CP26 CT26 CX26 DB26 DF26 DJ26 DR26 J30 N30 R30 V30 Z30 AD30 AH30 AL30 AP30 AT30 AX30 BB30 BF30 BJ30 BN30 BR30 BV30 BZ30 CD30 CH30 CL30 CP30 CT30 CX30 DB30 DF30 DJ30 DR30 J34 N34 R34 V34 Z34 AD34 AH34 AL34 AP34 AT34 AX34 BB34 BF34 BJ34 BN34 BR34 BV34 BZ34 CD34 CH34 CL34 CP34 CT34 CX34 DB34 DF34 DJ34 DR34 J38 N38 R38 V38 Z38 AD38 AH38 AL38 AP38 AT38 AX38 BB38 BF38 BJ38 BN38 BR38 BV38 BZ38 CD38 CH38 CL38 CP38 CT38 CX38 DB38 DF38 DJ38 DR38 J42 N42 R42 V42 Z42 AD42 AH42 AL42 AP42 AT42 AX42 BB42 BF42 BJ42 BN42 BR42 BV42 BZ42 CD42 CH42 CL42 CP42 CT42 CX42 DB42 DF42 DJ42 DR42 J46 N46 R46 V46 Z46 AD46 AH46 AL46 AP46 AT46 AX46 BB46 BF46 BJ46 BN46 BR46 BV46 BZ46 CD46 CH46 CL46 CP46 CT46 CX46 DB46 DF46 DJ46 DR46 J50 N50 R50 V50 Z50 AD50 AH50 AL50 AP50 AT50 AX50 BB50 BF50 BJ50 BN50 BR50 BV50 BZ50 CD50 CH50 CL50 CP50 CT50 CX50 DB50 DF50 DJ50 DR50 J54 N54 R54 V54 Z54 AD54 AH54 AL54 AP54 AT54 AX54 BB54 BF54 BJ54 BN54 BR54 BV54 BZ54 CD54 CH54 CL54 CP54 CT54 CX54 DB54 DF54 DJ54 DR54 J58 N58 R58 V58 Z58 AD58 AH58 AL58 AP58 AT58 AX58 BB58 BF58 BJ58 BN58 BR58 BV58 BZ58 CD58 CH58 CL58 CP58 CT58 CX58 DB58 DF58 DJ58 DR58">
    <cfRule type="expression" dxfId="58" priority="56" stopIfTrue="1">
      <formula>AND(I16&gt;0)</formula>
    </cfRule>
  </conditionalFormatting>
  <conditionalFormatting sqref="J15 N15 R15 V15 Z15 AD15 AH15 AL15 AP15 AT15 AX15 BB15 BF15 BJ15 BN15 BR15 BV15 BZ15 CD15 CH15 CL15 CP15 CT15 CX15 DB15 DF15 DJ15 DR15 J19 N19 R19 V19 Z19 AD19 AH19 AL19 AP19 AT19 AX19 BB19 BF19 BJ19 BN19 BR19 BV19 BZ19 CD19 CH19 CL19 CP19 CT19 CX19 DB19 DF19 DJ19 DR19 J23 N23 R23 V23 Z23 AD23 AH23 AL23 AP23 AT23 AX23 BB23 BF23 BJ23 BN23 BR23 BV23 BZ23 CD23 CH23 CL23 CP23 CT23 CX23 DB23 DF23 DJ23 DR23 J27 N27 R27 V27 Z27 AD27 AH27 AL27 AP27 AT27 AX27 BB27 BF27 BJ27 BN27 BR27 BV27 BZ27 CD27 CH27 CL27 CP27 CT27 CX27 DB27 DF27 DJ27 DR27 J31 N31 R31 V31 Z31 AD31 AH31 AL31 AP31 AT31 AX31 BB31 BF31 BJ31 BN31 BR31 BV31 BZ31 CD31 CH31 CL31 CP31 CT31 CX31 DB31 DF31 DJ31 DR31 J35 N35 R35 V35 Z35 AD35 AH35 AL35 AP35 AT35 AX35 BB35 BF35 BJ35 BN35 BR35 BV35 BZ35 CD35 CH35 CL35 CP35 CT35 CX35 DB35 DF35 DJ35 DR35 J39 N39 R39 V39 Z39 AD39 AH39 AL39 AP39 AT39 AX39 BB39 BF39 BJ39 BN39 BR39 BV39 BZ39 CD39 CH39 CL39 CP39 CT39 CX39 DB39 DF39 DJ39 DR39 J43 N43 R43 V43 Z43 AD43 AH43 AL43 AP43 AT43 AX43 BB43 BF43 BJ43 BN43 BR43 BV43 BZ43 CD43 CH43 CL43 CP43 CT43 CX43 DB43 DF43 DJ43 DR43 J47 N47 R47 V47 Z47 AD47 AH47 AL47 AP47 AT47 AX47 BB47 BF47 BJ47 BN47 BR47 BV47 BZ47 CD47 CH47 CL47 CP47 CT47 CX47 DB47 DF47 DJ47 DR47 J51 N51 R51 V51 Z51 AD51 AH51 AL51 AP51 AT51 AX51 BB51 BF51 BJ51 BN51 BR51 BV51 BZ51 CD51 CH51 CL51 CP51 CT51 CX51 DB51 DF51 DJ51 DR51 J55 N55 R55 V55 Z55 AD55 AH55 AL55 AP55 AT55 AX55 BB55 BF55 BJ55 BN55 BR55 BV55 BZ55 CD55 CH55 CL55 CP55 CT55 CX55 DB55 DF55 DJ55 DR55 J59 N59 R59 V59 Z59 AD59 AH59 AL59 AP59 AT59 AX59 BB59 BF59 BJ59 BN59 BR59 BV59 BZ59 CD59 CH59 CL59 CP59 CT59 CX59 DB59 DF59 DJ59 DR59">
    <cfRule type="expression" dxfId="57" priority="54" stopIfTrue="1">
      <formula>AND(I16&gt;2)</formula>
    </cfRule>
  </conditionalFormatting>
  <conditionalFormatting sqref="K14 O14 S14 W14 AA14 AE14 AI14 AM14 AQ14 AU14 AY14 BC14 BG14 BK14 BO14 BS14 BW14 CA14 CE14 CI14 CM14 CQ14 CU14 CY14 DC14 DG14 DK14 DS14 K18 O18 S18 W18 AA18 AE18 AI18 AM18 AQ18 AU18 AY18 BC18 BG18 BK18 BO18 BS18 BW18 CA18 CE18 CI18 CM18 CQ18 CU18 CY18 DC18 DG18 DK18 DS18 K22 O22 S22 W22 AA22 AE22 AI22 AM22 AQ22 AU22 AY22 BC22 BG22 BK22 BO22 BS22 BW22 CA22 CE22 CI22 CM22 CQ22 CU22 CY22 DC22 DG22 DK22 DS22 K26 O26 S26 W26 AA26 AE26 AI26 AM26 AQ26 AU26 AY26 BC26 BG26 BK26 BO26 BS26 BW26 CA26 CE26 CI26 CM26 CQ26 CU26 CY26 DC26 DG26 DK26 DS26 K30 O30 S30 W30 AA30 AE30 AI30 AM30 AQ30 AU30 AY30 BC30 BG30 BK30 BO30 BS30 BW30 CA30 CE30 CI30 CM30 CQ30 CU30 CY30 DC30 DG30 DK30 DS30 K34 O34 S34 W34 AA34 AE34 AI34 AM34 AQ34 AU34 AY34 BC34 BG34 BK34 BO34 BS34 BW34 CA34 CE34 CI34 CM34 CQ34 CU34 CY34 DC34 DG34 DK34 DS34 K38 O38 S38 W38 AA38 AE38 AI38 AM38 AQ38 AU38 AY38 BC38 BG38 BK38 BO38 BS38 BW38 CA38 CE38 CI38 CM38 CQ38 CU38 CY38 DC38 DG38 DK38 DS38 K42 O42 S42 W42 AA42 AE42 AI42 AM42 AQ42 AU42 AY42 BC42 BG42 BK42 BO42 BS42 BW42 CA42 CE42 CI42 CM42 CQ42 CU42 CY42 DC42 DG42 DK42 DS42 K46 O46 S46 W46 AA46 AE46 AI46 AM46 AQ46 AU46 AY46 BC46 BG46 BK46 BO46 BS46 BW46 CA46 CE46 CI46 CM46 CQ46 CU46 CY46 DC46 DG46 DK46 DS46 K50 O50 S50 W50 AA50 AE50 AI50 AM50 AQ50 AU50 AY50 BC50 BG50 BK50 BO50 BS50 BW50 CA50 CE50 CI50 CM50 CQ50 CU50 CY50 DC50 DG50 DK50 DS50 K54 O54 S54 W54 AA54 AE54 AI54 AM54 AQ54 AU54 AY54 BC54 BG54 BK54 BO54 BS54 BW54 CA54 CE54 CI54 CM54 CQ54 CU54 CY54 DC54 DG54 DK54 DS54 K58 O58 S58 W58 AA58 AE58 AI58 AM58 AQ58 AU58 AY58 BC58 BG58 BK58 BO58 BS58 BW58 CA58 CE58 CI58 CM58 CQ58 CU58 CY58 DC58 DG58 DK58 DS58">
    <cfRule type="expression" dxfId="56" priority="55" stopIfTrue="1">
      <formula>AND(I16&gt;1)</formula>
    </cfRule>
  </conditionalFormatting>
  <conditionalFormatting sqref="K15 O15 S15 W15 AA15 AE15 AI15 AM15 AQ15 AU15 AY15 BC15 BG15 BK15 BO15 BS15 BW15 CA15 CE15 CI15 CM15 CQ15 CU15 CY15 DC15 DG15 DK15 DS15 K19 O19 S19 W19 AA19 AE19 AI19 AM19 AQ19 AU19 AY19 BC19 BG19 BK19 BO19 BS19 BW19 CA19 CE19 CI19 CM19 CQ19 CU19 CY19 DC19 DG19 DK19 DS19 K23 O23 S23 W23 AA23 AE23 AI23 AM23 AQ23 AU23 AY23 BC23 BG23 BK23 BO23 BS23 BW23 CA23 CE23 CI23 CM23 CQ23 CU23 CY23 DC23 DG23 DK23 DS23 K27 O27 S27 W27 AA27 AE27 AI27 AM27 AQ27 AU27 AY27 BC27 BG27 BK27 BO27 BS27 BW27 CA27 CE27 CI27 CM27 CQ27 CU27 CY27 DC27 DG27 DK27 DS27 K31 O31 S31 W31 AA31 AE31 AI31 AM31 AQ31 AU31 AY31 BC31 BG31 BK31 BO31 BS31 BW31 CA31 CE31 CI31 CM31 CQ31 CU31 CY31 DC31 DG31 DK31 DS31 K35 O35 S35 W35 AA35 AE35 AI35 AM35 AQ35 AU35 AY35 BC35 BG35 BK35 BO35 BS35 BW35 CA35 CE35 CI35 CM35 CQ35 CU35 CY35 DC35 DG35 DK35 DS35 K39 O39 S39 W39 AA39 AE39 AI39 AM39 AQ39 AU39 AY39 BC39 BG39 BK39 BO39 BS39 BW39 CA39 CE39 CI39 CM39 CQ39 CU39 CY39 DC39 DG39 DK39 DS39 K43 O43 S43 W43 AA43 AE43 AI43 AM43 AQ43 AU43 AY43 BC43 BG43 BK43 BO43 BS43 BW43 CA43 CE43 CI43 CM43 CQ43 CU43 CY43 DC43 DG43 DK43 DS43 K47 O47 S47 W47 AA47 AE47 AI47 AM47 AQ47 AU47 AY47 BC47 BG47 BK47 BO47 BS47 BW47 CA47 CE47 CI47 CM47 CQ47 CU47 CY47 DC47 DG47 DK47 DS47 K51 O51 S51 W51 AA51 AE51 AI51 AM51 AQ51 AU51 AY51 BC51 BG51 BK51 BO51 BS51 BW51 CA51 CE51 CI51 CM51 CQ51 CU51 CY51 DC51 DG51 DK51 DS51 K55 O55 S55 W55 AA55 AE55 AI55 AM55 AQ55 AU55 AY55 BC55 BG55 BK55 BO55 BS55 BW55 CA55 CE55 CI55 CM55 CQ55 CU55 CY55 DC55 DG55 DK55 DS55 K59 O59 S59 W59 AA59 AE59 AI59 AM59 AQ59 AU59 AY59 BC59 BG59 BK59 BO59 BS59 BW59 CA59 CE59 CI59 CM59 CQ59 CU59 CY59 DC59 DG59 DK59 DS59">
    <cfRule type="expression" dxfId="55" priority="53" stopIfTrue="1">
      <formula>AND(I16&gt;3)</formula>
    </cfRule>
  </conditionalFormatting>
  <conditionalFormatting sqref="AD6">
    <cfRule type="expression" dxfId="54" priority="20" stopIfTrue="1">
      <formula>AND(AC8&gt;0)</formula>
    </cfRule>
  </conditionalFormatting>
  <conditionalFormatting sqref="AD7">
    <cfRule type="expression" dxfId="53" priority="18" stopIfTrue="1">
      <formula>AND(AC8&gt;2)</formula>
    </cfRule>
  </conditionalFormatting>
  <conditionalFormatting sqref="AE6">
    <cfRule type="expression" dxfId="52" priority="19" stopIfTrue="1">
      <formula>AND(AC8&gt;1)</formula>
    </cfRule>
  </conditionalFormatting>
  <conditionalFormatting sqref="AE7">
    <cfRule type="expression" dxfId="51" priority="17" stopIfTrue="1">
      <formula>AND(AC8&gt;3)</formula>
    </cfRule>
  </conditionalFormatting>
  <conditionalFormatting sqref="BB6">
    <cfRule type="expression" dxfId="50" priority="16" stopIfTrue="1">
      <formula>AND(BA8&gt;0)</formula>
    </cfRule>
  </conditionalFormatting>
  <conditionalFormatting sqref="BB7">
    <cfRule type="expression" dxfId="49" priority="14" stopIfTrue="1">
      <formula>AND(BA8&gt;2)</formula>
    </cfRule>
  </conditionalFormatting>
  <conditionalFormatting sqref="BC6">
    <cfRule type="expression" dxfId="48" priority="15" stopIfTrue="1">
      <formula>AND(BA8&gt;1)</formula>
    </cfRule>
  </conditionalFormatting>
  <conditionalFormatting sqref="BC7">
    <cfRule type="expression" dxfId="47" priority="13" stopIfTrue="1">
      <formula>AND(BA8&gt;3)</formula>
    </cfRule>
  </conditionalFormatting>
  <conditionalFormatting sqref="BZ6">
    <cfRule type="expression" dxfId="46" priority="12" stopIfTrue="1">
      <formula>AND(BY8&gt;0)</formula>
    </cfRule>
  </conditionalFormatting>
  <conditionalFormatting sqref="BZ7">
    <cfRule type="expression" dxfId="45" priority="10" stopIfTrue="1">
      <formula>AND(BY8&gt;2)</formula>
    </cfRule>
  </conditionalFormatting>
  <conditionalFormatting sqref="CA6">
    <cfRule type="expression" dxfId="44" priority="11" stopIfTrue="1">
      <formula>AND(BY8&gt;1)</formula>
    </cfRule>
  </conditionalFormatting>
  <conditionalFormatting sqref="CA7">
    <cfRule type="expression" dxfId="43" priority="9" stopIfTrue="1">
      <formula>AND(BY8&gt;3)</formula>
    </cfRule>
  </conditionalFormatting>
  <conditionalFormatting sqref="CX6">
    <cfRule type="expression" dxfId="42" priority="4" stopIfTrue="1">
      <formula>AND(CW8&gt;0)</formula>
    </cfRule>
  </conditionalFormatting>
  <conditionalFormatting sqref="CX7">
    <cfRule type="expression" dxfId="41" priority="2" stopIfTrue="1">
      <formula>AND(CW8&gt;2)</formula>
    </cfRule>
  </conditionalFormatting>
  <conditionalFormatting sqref="CY6">
    <cfRule type="expression" dxfId="40" priority="3" stopIfTrue="1">
      <formula>AND(CW8&gt;1)</formula>
    </cfRule>
  </conditionalFormatting>
  <conditionalFormatting sqref="CY7">
    <cfRule type="expression" dxfId="39" priority="1" stopIfTrue="1">
      <formula>AND(CW8&gt;3)</formula>
    </cfRule>
  </conditionalFormatting>
  <conditionalFormatting sqref="DN14 DN18 DN22 DN26 DN30 DN34 DN38 DN42 DN46 DN50 DN54 DN58">
    <cfRule type="expression" dxfId="38" priority="8" stopIfTrue="1">
      <formula>AND(DM16&gt;0)</formula>
    </cfRule>
  </conditionalFormatting>
  <conditionalFormatting sqref="DN15 DN19 DN23 DN27 DN31 DN35 DN39 DN43 DN47 DN51 DN55 DN59">
    <cfRule type="expression" dxfId="37" priority="6" stopIfTrue="1">
      <formula>AND(DM16&gt;2)</formula>
    </cfRule>
  </conditionalFormatting>
  <conditionalFormatting sqref="DO14 DO18 DO22 DO26 DO30 DO34 DO38 DO42 DO46 DO50 DO54 DO58">
    <cfRule type="expression" dxfId="36" priority="7" stopIfTrue="1">
      <formula>AND(DM16&gt;1)</formula>
    </cfRule>
  </conditionalFormatting>
  <conditionalFormatting sqref="DO15 DO19 DO23 DO27 DO31 DO35 DO39 DO43 DO47 DO51 DO55 DO59">
    <cfRule type="expression" dxfId="35" priority="5" stopIfTrue="1">
      <formula>AND(DM16&gt;3)</formula>
    </cfRule>
  </conditionalFormatting>
  <conditionalFormatting sqref="DX13:DX60">
    <cfRule type="cellIs" dxfId="34" priority="3190" operator="equal">
      <formula>1</formula>
    </cfRule>
    <cfRule type="cellIs" dxfId="33" priority="3191" operator="equal">
      <formula>2</formula>
    </cfRule>
    <cfRule type="cellIs" dxfId="32" priority="3192" operator="equal">
      <formula>3</formula>
    </cfRule>
  </conditionalFormatting>
  <printOptions horizontalCentered="1" verticalCentered="1"/>
  <pageMargins left="0.70866141732283472" right="0.70866141732283472" top="0.74803149606299213" bottom="0.74803149606299213" header="0.31496062992125984" footer="0.31496062992125984"/>
  <pageSetup paperSize="8" scale="62"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B6B4D-0EDB-4468-8DAF-9470DE028862}">
  <sheetPr>
    <pageSetUpPr fitToPage="1"/>
  </sheetPr>
  <dimension ref="B1:EE65"/>
  <sheetViews>
    <sheetView showGridLines="0" zoomScale="70" zoomScaleNormal="70" workbookViewId="0">
      <pane xSplit="4" ySplit="12" topLeftCell="E32" activePane="bottomRight" state="frozen"/>
      <selection pane="topRight" activeCell="E1" sqref="E1"/>
      <selection pane="bottomLeft" activeCell="A13" sqref="A13"/>
      <selection pane="bottomRight" activeCell="C3" sqref="C3:C4"/>
    </sheetView>
  </sheetViews>
  <sheetFormatPr baseColWidth="10" defaultColWidth="10" defaultRowHeight="15" x14ac:dyDescent="0.25"/>
  <cols>
    <col min="1" max="1" width="2.42578125" customWidth="1"/>
    <col min="2" max="2" width="32.140625" customWidth="1"/>
    <col min="3" max="3" width="22.42578125" customWidth="1"/>
    <col min="4" max="4" width="0.7109375" style="1" customWidth="1"/>
    <col min="5" max="84" width="3.42578125" customWidth="1"/>
    <col min="85" max="85" width="0.7109375" style="1" customWidth="1"/>
    <col min="86" max="86" width="15.42578125" style="2" customWidth="1"/>
    <col min="87" max="87" width="23.28515625" style="2" customWidth="1"/>
    <col min="88" max="88" width="13.7109375" customWidth="1"/>
    <col min="89" max="89" width="2.42578125" customWidth="1"/>
    <col min="90" max="91" width="8.140625" customWidth="1"/>
    <col min="92" max="105" width="8.140625" style="5" customWidth="1"/>
    <col min="106" max="110" width="8.140625" customWidth="1"/>
    <col min="111" max="115" width="9.42578125" customWidth="1"/>
    <col min="116" max="117" width="9.42578125" style="5" customWidth="1"/>
    <col min="118" max="130" width="9.42578125" customWidth="1"/>
    <col min="131" max="132" width="1.28515625" customWidth="1"/>
    <col min="133" max="134" width="2.42578125" customWidth="1"/>
    <col min="135" max="135" width="1.28515625" customWidth="1"/>
  </cols>
  <sheetData>
    <row r="1" spans="2:135" ht="40.15" customHeight="1" x14ac:dyDescent="0.3">
      <c r="CI1" s="3" t="s">
        <v>0</v>
      </c>
      <c r="CJ1" s="4">
        <v>45901</v>
      </c>
    </row>
    <row r="2" spans="2:135" ht="40.15" customHeight="1" x14ac:dyDescent="0.25">
      <c r="CI2" s="6" t="s">
        <v>1</v>
      </c>
      <c r="CJ2" s="7">
        <v>46082</v>
      </c>
    </row>
    <row r="3" spans="2:135" ht="15" customHeight="1" x14ac:dyDescent="0.25">
      <c r="B3" s="117" t="s">
        <v>2</v>
      </c>
      <c r="C3" s="118" t="s">
        <v>3</v>
      </c>
      <c r="D3" s="8"/>
      <c r="E3" s="119" t="s">
        <v>64</v>
      </c>
      <c r="F3" s="120"/>
      <c r="G3" s="120"/>
      <c r="H3" s="120"/>
      <c r="I3" s="120"/>
      <c r="J3" s="120"/>
      <c r="K3" s="120"/>
      <c r="L3" s="120"/>
      <c r="M3" s="120"/>
      <c r="N3" s="120"/>
      <c r="O3" s="120"/>
      <c r="P3" s="120"/>
      <c r="Q3" s="120"/>
      <c r="R3" s="120"/>
      <c r="S3" s="120"/>
      <c r="T3" s="120"/>
      <c r="U3" s="120"/>
      <c r="V3" s="120"/>
      <c r="W3" s="120"/>
      <c r="X3" s="120"/>
      <c r="Y3" s="120"/>
      <c r="Z3" s="120"/>
      <c r="AA3" s="120"/>
      <c r="AB3" s="120"/>
      <c r="AC3" s="120"/>
      <c r="AD3" s="120"/>
      <c r="AE3" s="120"/>
      <c r="AF3" s="120"/>
      <c r="AG3" s="120"/>
      <c r="AH3" s="120"/>
      <c r="AI3" s="120"/>
      <c r="AJ3" s="120"/>
      <c r="AK3" s="120"/>
      <c r="AL3" s="120"/>
      <c r="AM3" s="120"/>
      <c r="AN3" s="120"/>
      <c r="AO3" s="120"/>
      <c r="AP3" s="120"/>
      <c r="AQ3" s="120"/>
      <c r="AR3" s="120"/>
      <c r="AS3" s="120"/>
      <c r="AT3" s="120"/>
      <c r="AU3" s="120"/>
      <c r="AV3" s="120"/>
      <c r="AW3" s="120"/>
      <c r="AX3" s="120"/>
      <c r="AY3" s="120"/>
      <c r="AZ3" s="120"/>
      <c r="BA3" s="120"/>
      <c r="BB3" s="120"/>
      <c r="BC3" s="120"/>
      <c r="BD3" s="120"/>
      <c r="BE3" s="120"/>
      <c r="BF3" s="120"/>
      <c r="BG3" s="120"/>
      <c r="BH3" s="120"/>
      <c r="BI3" s="120"/>
      <c r="BJ3" s="120"/>
      <c r="BK3" s="120"/>
      <c r="BL3" s="120"/>
      <c r="BM3" s="120"/>
      <c r="BN3" s="120"/>
      <c r="BO3" s="120"/>
      <c r="BP3" s="120"/>
      <c r="BQ3" s="120"/>
      <c r="BR3" s="120"/>
      <c r="BS3" s="120"/>
      <c r="BT3" s="120"/>
      <c r="BU3" s="120"/>
      <c r="BV3" s="120"/>
      <c r="BW3" s="120"/>
      <c r="BX3" s="120"/>
      <c r="BY3" s="120"/>
      <c r="BZ3" s="120"/>
      <c r="CA3" s="120"/>
      <c r="CB3" s="120"/>
      <c r="CC3" s="120"/>
      <c r="CD3" s="120"/>
      <c r="CE3" s="120"/>
      <c r="CF3" s="121"/>
      <c r="CG3" s="58"/>
      <c r="CH3" s="117" t="s">
        <v>5</v>
      </c>
      <c r="CI3" s="117"/>
      <c r="CJ3" s="117"/>
      <c r="DC3" s="10"/>
      <c r="DG3" s="10"/>
      <c r="DK3" s="10"/>
      <c r="DO3" s="10"/>
      <c r="DS3" s="10"/>
      <c r="DW3" s="10"/>
      <c r="EA3" s="10"/>
      <c r="EE3" s="10"/>
    </row>
    <row r="4" spans="2:135" ht="15" customHeight="1" x14ac:dyDescent="0.25">
      <c r="B4" s="117"/>
      <c r="C4" s="118"/>
      <c r="D4" s="11"/>
      <c r="E4" s="122"/>
      <c r="F4" s="123"/>
      <c r="G4" s="123"/>
      <c r="H4" s="123"/>
      <c r="I4" s="123"/>
      <c r="J4" s="123"/>
      <c r="K4" s="123"/>
      <c r="L4" s="123"/>
      <c r="M4" s="123"/>
      <c r="N4" s="123"/>
      <c r="O4" s="123"/>
      <c r="P4" s="123"/>
      <c r="Q4" s="123"/>
      <c r="R4" s="123"/>
      <c r="S4" s="123"/>
      <c r="T4" s="123"/>
      <c r="U4" s="123"/>
      <c r="V4" s="123"/>
      <c r="W4" s="123"/>
      <c r="X4" s="123"/>
      <c r="Y4" s="123"/>
      <c r="Z4" s="123"/>
      <c r="AA4" s="123"/>
      <c r="AB4" s="123"/>
      <c r="AC4" s="123"/>
      <c r="AD4" s="123"/>
      <c r="AE4" s="123"/>
      <c r="AF4" s="123"/>
      <c r="AG4" s="123"/>
      <c r="AH4" s="123"/>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4"/>
      <c r="CG4" s="58"/>
      <c r="CH4" s="117"/>
      <c r="CI4" s="117"/>
      <c r="CJ4" s="117"/>
    </row>
    <row r="5" spans="2:135" ht="15" customHeight="1" x14ac:dyDescent="0.25">
      <c r="B5" s="117" t="s">
        <v>6</v>
      </c>
      <c r="C5" s="125">
        <v>45930</v>
      </c>
      <c r="D5" s="12"/>
      <c r="E5" s="13"/>
      <c r="F5" s="14"/>
      <c r="G5" s="14"/>
      <c r="H5" s="15"/>
      <c r="I5" s="126" t="s">
        <v>7</v>
      </c>
      <c r="J5" s="127"/>
      <c r="K5" s="127"/>
      <c r="L5" s="127"/>
      <c r="M5" s="127"/>
      <c r="N5" s="127"/>
      <c r="O5" s="127"/>
      <c r="P5" s="127"/>
      <c r="Q5" s="127"/>
      <c r="R5" s="127"/>
      <c r="S5" s="127"/>
      <c r="T5" s="127"/>
      <c r="U5" s="13"/>
      <c r="V5" s="14"/>
      <c r="W5" s="14"/>
      <c r="X5" s="15"/>
      <c r="Y5" s="126" t="s">
        <v>8</v>
      </c>
      <c r="Z5" s="127"/>
      <c r="AA5" s="127"/>
      <c r="AB5" s="127"/>
      <c r="AC5" s="127"/>
      <c r="AD5" s="127"/>
      <c r="AE5" s="127"/>
      <c r="AF5" s="127"/>
      <c r="AG5" s="127"/>
      <c r="AH5" s="127"/>
      <c r="AI5" s="127"/>
      <c r="AJ5" s="127"/>
      <c r="AK5" s="13"/>
      <c r="AL5" s="14"/>
      <c r="AM5" s="14"/>
      <c r="AN5" s="15"/>
      <c r="AO5" s="126" t="s">
        <v>9</v>
      </c>
      <c r="AP5" s="127"/>
      <c r="AQ5" s="127"/>
      <c r="AR5" s="127"/>
      <c r="AS5" s="127"/>
      <c r="AT5" s="127"/>
      <c r="AU5" s="127"/>
      <c r="AV5" s="127"/>
      <c r="AW5" s="127"/>
      <c r="AX5" s="127"/>
      <c r="AY5" s="127"/>
      <c r="AZ5" s="127"/>
      <c r="BA5" s="13"/>
      <c r="BB5" s="14"/>
      <c r="BC5" s="14"/>
      <c r="BD5" s="15"/>
      <c r="BE5" s="126" t="s">
        <v>10</v>
      </c>
      <c r="BF5" s="127"/>
      <c r="BG5" s="127"/>
      <c r="BH5" s="127"/>
      <c r="BI5" s="127"/>
      <c r="BJ5" s="127"/>
      <c r="BK5" s="127"/>
      <c r="BL5" s="127"/>
      <c r="BM5" s="127"/>
      <c r="BN5" s="127"/>
      <c r="BO5" s="127"/>
      <c r="BP5" s="127"/>
      <c r="BQ5" s="13"/>
      <c r="BR5" s="14"/>
      <c r="BS5" s="14"/>
      <c r="BT5" s="15"/>
      <c r="BU5" s="126" t="s">
        <v>11</v>
      </c>
      <c r="BV5" s="127"/>
      <c r="BW5" s="127"/>
      <c r="BX5" s="127"/>
      <c r="BY5" s="127"/>
      <c r="BZ5" s="127"/>
      <c r="CA5" s="127"/>
      <c r="CB5" s="127"/>
      <c r="CC5" s="127"/>
      <c r="CD5" s="127"/>
      <c r="CE5" s="127"/>
      <c r="CF5" s="132"/>
      <c r="CG5" s="16"/>
      <c r="CH5" s="110" t="s">
        <v>12</v>
      </c>
      <c r="CI5" s="111" t="s">
        <v>13</v>
      </c>
      <c r="CJ5" s="112" t="s">
        <v>14</v>
      </c>
      <c r="CK5" s="5"/>
      <c r="CN5"/>
      <c r="CO5"/>
      <c r="CP5"/>
      <c r="CQ5"/>
      <c r="CR5"/>
      <c r="CS5"/>
      <c r="CT5"/>
      <c r="CU5"/>
      <c r="CV5"/>
      <c r="CW5"/>
      <c r="CX5"/>
      <c r="CY5"/>
      <c r="CZ5"/>
      <c r="DA5"/>
      <c r="DL5"/>
      <c r="DM5"/>
    </row>
    <row r="6" spans="2:135" ht="15" customHeight="1" x14ac:dyDescent="0.25">
      <c r="B6" s="117"/>
      <c r="C6" s="125"/>
      <c r="D6" s="12"/>
      <c r="E6" s="17"/>
      <c r="F6" s="18"/>
      <c r="G6" s="18"/>
      <c r="H6" s="19"/>
      <c r="I6" s="128"/>
      <c r="J6" s="129"/>
      <c r="K6" s="129"/>
      <c r="L6" s="129"/>
      <c r="M6" s="129"/>
      <c r="N6" s="129"/>
      <c r="O6" s="129"/>
      <c r="P6" s="129"/>
      <c r="Q6" s="129"/>
      <c r="R6" s="129"/>
      <c r="S6" s="129"/>
      <c r="T6" s="129"/>
      <c r="U6" s="17"/>
      <c r="V6" s="18"/>
      <c r="W6" s="18"/>
      <c r="X6" s="19"/>
      <c r="Y6" s="128"/>
      <c r="Z6" s="129"/>
      <c r="AA6" s="129"/>
      <c r="AB6" s="129"/>
      <c r="AC6" s="129"/>
      <c r="AD6" s="129"/>
      <c r="AE6" s="129"/>
      <c r="AF6" s="129"/>
      <c r="AG6" s="129"/>
      <c r="AH6" s="129"/>
      <c r="AI6" s="129"/>
      <c r="AJ6" s="129"/>
      <c r="AK6" s="17"/>
      <c r="AL6" s="18"/>
      <c r="AM6" s="18"/>
      <c r="AN6" s="19"/>
      <c r="AO6" s="128"/>
      <c r="AP6" s="129"/>
      <c r="AQ6" s="129"/>
      <c r="AR6" s="129"/>
      <c r="AS6" s="129"/>
      <c r="AT6" s="129"/>
      <c r="AU6" s="129"/>
      <c r="AV6" s="129"/>
      <c r="AW6" s="129"/>
      <c r="AX6" s="129"/>
      <c r="AY6" s="129"/>
      <c r="AZ6" s="129"/>
      <c r="BA6" s="17"/>
      <c r="BB6" s="18"/>
      <c r="BC6" s="18"/>
      <c r="BD6" s="19"/>
      <c r="BE6" s="128"/>
      <c r="BF6" s="129"/>
      <c r="BG6" s="129"/>
      <c r="BH6" s="129"/>
      <c r="BI6" s="129"/>
      <c r="BJ6" s="129"/>
      <c r="BK6" s="129"/>
      <c r="BL6" s="129"/>
      <c r="BM6" s="129"/>
      <c r="BN6" s="129"/>
      <c r="BO6" s="129"/>
      <c r="BP6" s="129"/>
      <c r="BQ6" s="17"/>
      <c r="BR6" s="18"/>
      <c r="BS6" s="18"/>
      <c r="BT6" s="19"/>
      <c r="BU6" s="128"/>
      <c r="BV6" s="129"/>
      <c r="BW6" s="129"/>
      <c r="BX6" s="129"/>
      <c r="BY6" s="129"/>
      <c r="BZ6" s="129"/>
      <c r="CA6" s="129"/>
      <c r="CB6" s="129"/>
      <c r="CC6" s="129"/>
      <c r="CD6" s="129"/>
      <c r="CE6" s="129"/>
      <c r="CF6" s="133"/>
      <c r="CG6" s="16"/>
      <c r="CH6" s="110"/>
      <c r="CI6" s="111"/>
      <c r="CJ6" s="112"/>
      <c r="CK6" s="20"/>
      <c r="CN6"/>
      <c r="CO6"/>
      <c r="CP6"/>
      <c r="CQ6"/>
      <c r="CR6"/>
      <c r="CS6"/>
      <c r="CT6"/>
      <c r="CU6"/>
      <c r="CV6"/>
      <c r="CW6"/>
      <c r="CX6"/>
      <c r="CY6"/>
      <c r="CZ6"/>
      <c r="DA6"/>
      <c r="DL6"/>
      <c r="DM6"/>
    </row>
    <row r="7" spans="2:135" ht="15" customHeight="1" x14ac:dyDescent="0.25">
      <c r="B7" s="68" t="s">
        <v>15</v>
      </c>
      <c r="C7" s="113">
        <v>20</v>
      </c>
      <c r="E7" s="17"/>
      <c r="F7" s="18"/>
      <c r="G7" s="18"/>
      <c r="H7" s="19"/>
      <c r="I7" s="128"/>
      <c r="J7" s="129"/>
      <c r="K7" s="129"/>
      <c r="L7" s="129"/>
      <c r="M7" s="129"/>
      <c r="N7" s="129"/>
      <c r="O7" s="129"/>
      <c r="P7" s="129"/>
      <c r="Q7" s="129"/>
      <c r="R7" s="129"/>
      <c r="S7" s="129"/>
      <c r="T7" s="129"/>
      <c r="U7" s="17"/>
      <c r="V7" s="18"/>
      <c r="W7" s="18"/>
      <c r="X7" s="19"/>
      <c r="Y7" s="128"/>
      <c r="Z7" s="129"/>
      <c r="AA7" s="129"/>
      <c r="AB7" s="129"/>
      <c r="AC7" s="129"/>
      <c r="AD7" s="129"/>
      <c r="AE7" s="129"/>
      <c r="AF7" s="129"/>
      <c r="AG7" s="129"/>
      <c r="AH7" s="129"/>
      <c r="AI7" s="129"/>
      <c r="AJ7" s="129"/>
      <c r="AK7" s="17"/>
      <c r="AL7" s="18"/>
      <c r="AM7" s="18"/>
      <c r="AN7" s="19"/>
      <c r="AO7" s="128"/>
      <c r="AP7" s="129"/>
      <c r="AQ7" s="129"/>
      <c r="AR7" s="129"/>
      <c r="AS7" s="129"/>
      <c r="AT7" s="129"/>
      <c r="AU7" s="129"/>
      <c r="AV7" s="129"/>
      <c r="AW7" s="129"/>
      <c r="AX7" s="129"/>
      <c r="AY7" s="129"/>
      <c r="AZ7" s="129"/>
      <c r="BA7" s="17"/>
      <c r="BB7" s="18"/>
      <c r="BC7" s="18"/>
      <c r="BD7" s="19"/>
      <c r="BE7" s="128"/>
      <c r="BF7" s="129"/>
      <c r="BG7" s="129"/>
      <c r="BH7" s="129"/>
      <c r="BI7" s="129"/>
      <c r="BJ7" s="129"/>
      <c r="BK7" s="129"/>
      <c r="BL7" s="129"/>
      <c r="BM7" s="129"/>
      <c r="BN7" s="129"/>
      <c r="BO7" s="129"/>
      <c r="BP7" s="129"/>
      <c r="BQ7" s="17"/>
      <c r="BR7" s="18"/>
      <c r="BS7" s="18"/>
      <c r="BT7" s="19"/>
      <c r="BU7" s="128"/>
      <c r="BV7" s="129"/>
      <c r="BW7" s="129"/>
      <c r="BX7" s="129"/>
      <c r="BY7" s="129"/>
      <c r="BZ7" s="129"/>
      <c r="CA7" s="129"/>
      <c r="CB7" s="129"/>
      <c r="CC7" s="129"/>
      <c r="CD7" s="129"/>
      <c r="CE7" s="129"/>
      <c r="CF7" s="133"/>
      <c r="CG7" s="16"/>
      <c r="CH7" s="110"/>
      <c r="CI7" s="111"/>
      <c r="CJ7" s="112"/>
      <c r="CK7" s="20"/>
      <c r="CN7"/>
      <c r="CO7"/>
      <c r="CP7"/>
      <c r="CQ7"/>
      <c r="CR7"/>
      <c r="CS7"/>
      <c r="CT7"/>
      <c r="CU7"/>
      <c r="CV7"/>
      <c r="CW7"/>
      <c r="CX7"/>
      <c r="CY7"/>
      <c r="CZ7"/>
      <c r="DA7"/>
      <c r="DL7"/>
      <c r="DM7"/>
    </row>
    <row r="8" spans="2:135" ht="15" customHeight="1" x14ac:dyDescent="0.25">
      <c r="B8" s="68"/>
      <c r="C8" s="113"/>
      <c r="E8" s="49"/>
      <c r="F8" s="50"/>
      <c r="G8" s="50"/>
      <c r="H8" s="51"/>
      <c r="I8" s="130"/>
      <c r="J8" s="131"/>
      <c r="K8" s="131"/>
      <c r="L8" s="131"/>
      <c r="M8" s="131"/>
      <c r="N8" s="131"/>
      <c r="O8" s="131"/>
      <c r="P8" s="131"/>
      <c r="Q8" s="131"/>
      <c r="R8" s="131"/>
      <c r="S8" s="131"/>
      <c r="T8" s="131"/>
      <c r="U8" s="114">
        <v>1</v>
      </c>
      <c r="V8" s="115"/>
      <c r="W8" s="115"/>
      <c r="X8" s="116"/>
      <c r="Y8" s="130"/>
      <c r="Z8" s="131"/>
      <c r="AA8" s="131"/>
      <c r="AB8" s="131"/>
      <c r="AC8" s="131"/>
      <c r="AD8" s="131"/>
      <c r="AE8" s="131"/>
      <c r="AF8" s="131"/>
      <c r="AG8" s="131"/>
      <c r="AH8" s="131"/>
      <c r="AI8" s="131"/>
      <c r="AJ8" s="131"/>
      <c r="AK8" s="114">
        <v>2</v>
      </c>
      <c r="AL8" s="115"/>
      <c r="AM8" s="115"/>
      <c r="AN8" s="116"/>
      <c r="AO8" s="130"/>
      <c r="AP8" s="131"/>
      <c r="AQ8" s="131"/>
      <c r="AR8" s="131"/>
      <c r="AS8" s="131"/>
      <c r="AT8" s="131"/>
      <c r="AU8" s="131"/>
      <c r="AV8" s="131"/>
      <c r="AW8" s="131"/>
      <c r="AX8" s="131"/>
      <c r="AY8" s="131"/>
      <c r="AZ8" s="131"/>
      <c r="BA8" s="114">
        <v>3</v>
      </c>
      <c r="BB8" s="115"/>
      <c r="BC8" s="115"/>
      <c r="BD8" s="116"/>
      <c r="BE8" s="130"/>
      <c r="BF8" s="131"/>
      <c r="BG8" s="131"/>
      <c r="BH8" s="131"/>
      <c r="BI8" s="131"/>
      <c r="BJ8" s="131"/>
      <c r="BK8" s="131"/>
      <c r="BL8" s="131"/>
      <c r="BM8" s="131"/>
      <c r="BN8" s="131"/>
      <c r="BO8" s="131"/>
      <c r="BP8" s="131"/>
      <c r="BQ8" s="114">
        <v>4</v>
      </c>
      <c r="BR8" s="115"/>
      <c r="BS8" s="115"/>
      <c r="BT8" s="116"/>
      <c r="BU8" s="130"/>
      <c r="BV8" s="131"/>
      <c r="BW8" s="131"/>
      <c r="BX8" s="131"/>
      <c r="BY8" s="131"/>
      <c r="BZ8" s="131"/>
      <c r="CA8" s="131"/>
      <c r="CB8" s="131"/>
      <c r="CC8" s="131"/>
      <c r="CD8" s="131"/>
      <c r="CE8" s="131"/>
      <c r="CF8" s="134"/>
      <c r="CG8" s="16"/>
      <c r="CH8" s="110"/>
      <c r="CI8" s="111"/>
      <c r="CJ8" s="112"/>
      <c r="CK8" s="20"/>
      <c r="CN8"/>
      <c r="CO8"/>
      <c r="CP8"/>
      <c r="CQ8"/>
      <c r="CR8"/>
      <c r="CS8"/>
      <c r="CT8"/>
      <c r="CU8"/>
      <c r="CV8"/>
      <c r="CW8"/>
      <c r="CX8"/>
      <c r="CY8"/>
      <c r="CZ8"/>
      <c r="DA8"/>
      <c r="DL8"/>
      <c r="DM8"/>
    </row>
    <row r="9" spans="2:135" ht="5.0999999999999996" customHeight="1" x14ac:dyDescent="0.25">
      <c r="D9" s="22"/>
      <c r="F9" s="5"/>
      <c r="BV9" s="5"/>
      <c r="CJ9" s="23"/>
      <c r="CN9"/>
      <c r="CO9"/>
      <c r="CP9"/>
      <c r="CQ9"/>
      <c r="CR9"/>
      <c r="CS9"/>
      <c r="CT9"/>
      <c r="CU9"/>
      <c r="CV9"/>
      <c r="CW9"/>
      <c r="CX9"/>
      <c r="CY9"/>
      <c r="CZ9"/>
      <c r="DA9"/>
    </row>
    <row r="10" spans="2:135" ht="20.100000000000001" customHeight="1" x14ac:dyDescent="0.25">
      <c r="B10" s="99" t="s">
        <v>16</v>
      </c>
      <c r="C10" s="99"/>
      <c r="E10" s="100"/>
      <c r="F10" s="100"/>
      <c r="G10" s="100"/>
      <c r="H10" s="100"/>
      <c r="I10" s="100"/>
      <c r="J10" s="100"/>
      <c r="K10" s="100"/>
      <c r="L10" s="100"/>
      <c r="M10" s="100"/>
      <c r="N10" s="100"/>
      <c r="O10" s="100"/>
      <c r="P10" s="100"/>
      <c r="Q10" s="100"/>
      <c r="R10" s="100"/>
      <c r="S10" s="100"/>
      <c r="T10" s="100"/>
      <c r="U10" s="100"/>
      <c r="V10" s="100"/>
      <c r="W10" s="100"/>
      <c r="X10" s="100"/>
      <c r="Y10" s="100"/>
      <c r="Z10" s="100"/>
      <c r="AA10" s="100"/>
      <c r="AB10" s="100"/>
      <c r="AC10" s="100"/>
      <c r="AD10" s="100"/>
      <c r="AE10" s="100"/>
      <c r="AF10" s="100"/>
      <c r="AG10" s="100"/>
      <c r="AH10" s="100"/>
      <c r="AI10" s="100"/>
      <c r="AJ10" s="100"/>
      <c r="AK10" s="100"/>
      <c r="AL10" s="100"/>
      <c r="AM10" s="100"/>
      <c r="AN10" s="100"/>
      <c r="AO10" s="100"/>
      <c r="AP10" s="100"/>
      <c r="AQ10" s="100"/>
      <c r="AR10" s="100"/>
      <c r="AS10" s="100"/>
      <c r="AT10" s="100"/>
      <c r="AU10" s="100"/>
      <c r="AV10" s="100"/>
      <c r="AW10" s="100"/>
      <c r="AX10" s="100"/>
      <c r="AY10" s="100"/>
      <c r="AZ10" s="100"/>
      <c r="BA10" s="100"/>
      <c r="BB10" s="100"/>
      <c r="BC10" s="100"/>
      <c r="BD10" s="100"/>
      <c r="BE10" s="100"/>
      <c r="BF10" s="100"/>
      <c r="BG10" s="100"/>
      <c r="BH10" s="100"/>
      <c r="BI10" s="100"/>
      <c r="BJ10" s="100"/>
      <c r="BK10" s="100"/>
      <c r="BL10" s="100"/>
      <c r="BM10" s="100"/>
      <c r="BN10" s="100"/>
      <c r="BO10" s="100"/>
      <c r="BP10" s="100"/>
      <c r="BQ10" s="100" t="s">
        <v>17</v>
      </c>
      <c r="BR10" s="100"/>
      <c r="BS10" s="100"/>
      <c r="BT10" s="100"/>
      <c r="BU10" s="100"/>
      <c r="BV10" s="100"/>
      <c r="BW10" s="100"/>
      <c r="BX10" s="100"/>
      <c r="BY10" s="100"/>
      <c r="BZ10" s="100"/>
      <c r="CA10" s="100"/>
      <c r="CB10" s="100"/>
      <c r="CC10" s="100"/>
      <c r="CD10" s="100"/>
      <c r="CE10" s="100"/>
      <c r="CF10" s="100"/>
      <c r="CG10" s="8"/>
      <c r="CH10" s="101" t="s">
        <v>18</v>
      </c>
      <c r="CI10" s="101" t="s">
        <v>19</v>
      </c>
      <c r="CJ10" s="93" t="s">
        <v>20</v>
      </c>
      <c r="CK10" s="24"/>
      <c r="CN10"/>
      <c r="CO10"/>
      <c r="CP10"/>
      <c r="CQ10"/>
      <c r="CR10"/>
      <c r="CS10"/>
      <c r="CT10"/>
      <c r="CU10"/>
      <c r="CV10"/>
      <c r="CW10"/>
      <c r="CX10"/>
      <c r="CY10"/>
      <c r="CZ10"/>
      <c r="DA10"/>
      <c r="DL10"/>
      <c r="DM10"/>
    </row>
    <row r="11" spans="2:135" ht="34.15" customHeight="1" x14ac:dyDescent="0.25">
      <c r="B11" s="99"/>
      <c r="C11" s="99"/>
      <c r="D11" s="8"/>
      <c r="E11" s="85" t="s">
        <v>22</v>
      </c>
      <c r="F11" s="85"/>
      <c r="G11" s="85"/>
      <c r="H11" s="85"/>
      <c r="I11" s="85" t="s">
        <v>25</v>
      </c>
      <c r="J11" s="85"/>
      <c r="K11" s="85"/>
      <c r="L11" s="85"/>
      <c r="M11" s="85" t="s">
        <v>26</v>
      </c>
      <c r="N11" s="85"/>
      <c r="O11" s="85"/>
      <c r="P11" s="85"/>
      <c r="Q11" s="87" t="s">
        <v>27</v>
      </c>
      <c r="R11" s="88"/>
      <c r="S11" s="88"/>
      <c r="T11" s="89"/>
      <c r="U11" s="87" t="s">
        <v>28</v>
      </c>
      <c r="V11" s="88"/>
      <c r="W11" s="88"/>
      <c r="X11" s="89"/>
      <c r="Y11" s="87" t="s">
        <v>32</v>
      </c>
      <c r="Z11" s="88"/>
      <c r="AA11" s="88"/>
      <c r="AB11" s="89"/>
      <c r="AC11" s="87" t="s">
        <v>33</v>
      </c>
      <c r="AD11" s="88"/>
      <c r="AE11" s="88"/>
      <c r="AF11" s="89"/>
      <c r="AG11" s="87" t="s">
        <v>34</v>
      </c>
      <c r="AH11" s="88"/>
      <c r="AI11" s="88"/>
      <c r="AJ11" s="89"/>
      <c r="AK11" s="87" t="s">
        <v>35</v>
      </c>
      <c r="AL11" s="88"/>
      <c r="AM11" s="88"/>
      <c r="AN11" s="89"/>
      <c r="AO11" s="87" t="s">
        <v>36</v>
      </c>
      <c r="AP11" s="88"/>
      <c r="AQ11" s="88"/>
      <c r="AR11" s="89"/>
      <c r="AS11" s="87" t="s">
        <v>37</v>
      </c>
      <c r="AT11" s="88"/>
      <c r="AU11" s="88"/>
      <c r="AV11" s="89"/>
      <c r="AW11" s="87" t="s">
        <v>38</v>
      </c>
      <c r="AX11" s="88"/>
      <c r="AY11" s="88"/>
      <c r="AZ11" s="89"/>
      <c r="BA11" s="87" t="s">
        <v>39</v>
      </c>
      <c r="BB11" s="88"/>
      <c r="BC11" s="88"/>
      <c r="BD11" s="89"/>
      <c r="BE11" s="87" t="s">
        <v>40</v>
      </c>
      <c r="BF11" s="88"/>
      <c r="BG11" s="88"/>
      <c r="BH11" s="89"/>
      <c r="BI11" s="85" t="s">
        <v>41</v>
      </c>
      <c r="BJ11" s="85"/>
      <c r="BK11" s="85"/>
      <c r="BL11" s="85"/>
      <c r="BM11" s="85" t="s">
        <v>42</v>
      </c>
      <c r="BN11" s="85"/>
      <c r="BO11" s="85"/>
      <c r="BP11" s="85"/>
      <c r="BQ11" s="85" t="s">
        <v>43</v>
      </c>
      <c r="BR11" s="85"/>
      <c r="BS11" s="85"/>
      <c r="BT11" s="85"/>
      <c r="BU11" s="85" t="s">
        <v>44</v>
      </c>
      <c r="BV11" s="85"/>
      <c r="BW11" s="85"/>
      <c r="BX11" s="85"/>
      <c r="BY11" s="85" t="s">
        <v>45</v>
      </c>
      <c r="BZ11" s="85"/>
      <c r="CA11" s="85"/>
      <c r="CB11" s="85"/>
      <c r="CC11" s="87" t="s">
        <v>47</v>
      </c>
      <c r="CD11" s="88"/>
      <c r="CE11" s="88"/>
      <c r="CF11" s="89"/>
      <c r="CG11" s="25"/>
      <c r="CH11" s="102"/>
      <c r="CI11" s="102"/>
      <c r="CJ11" s="94"/>
      <c r="CK11" s="26"/>
      <c r="CO11"/>
      <c r="CP11"/>
      <c r="CQ11"/>
      <c r="CR11"/>
      <c r="CS11"/>
      <c r="CT11"/>
      <c r="CU11"/>
      <c r="CV11"/>
      <c r="CW11"/>
      <c r="CX11"/>
      <c r="CY11"/>
      <c r="CZ11"/>
      <c r="DA11"/>
      <c r="DL11"/>
      <c r="DM11"/>
    </row>
    <row r="12" spans="2:135" ht="34.15" customHeight="1" x14ac:dyDescent="0.25">
      <c r="B12" s="99"/>
      <c r="C12" s="99"/>
      <c r="D12" s="8"/>
      <c r="E12" s="86"/>
      <c r="F12" s="86"/>
      <c r="G12" s="86"/>
      <c r="H12" s="86"/>
      <c r="I12" s="86"/>
      <c r="J12" s="86"/>
      <c r="K12" s="86"/>
      <c r="L12" s="86"/>
      <c r="M12" s="86"/>
      <c r="N12" s="86"/>
      <c r="O12" s="86"/>
      <c r="P12" s="86"/>
      <c r="Q12" s="90"/>
      <c r="R12" s="91"/>
      <c r="S12" s="91"/>
      <c r="T12" s="92"/>
      <c r="U12" s="90"/>
      <c r="V12" s="91"/>
      <c r="W12" s="91"/>
      <c r="X12" s="92"/>
      <c r="Y12" s="90"/>
      <c r="Z12" s="91"/>
      <c r="AA12" s="91"/>
      <c r="AB12" s="92"/>
      <c r="AC12" s="90"/>
      <c r="AD12" s="91"/>
      <c r="AE12" s="91"/>
      <c r="AF12" s="92"/>
      <c r="AG12" s="90"/>
      <c r="AH12" s="91"/>
      <c r="AI12" s="91"/>
      <c r="AJ12" s="92"/>
      <c r="AK12" s="90"/>
      <c r="AL12" s="91"/>
      <c r="AM12" s="91"/>
      <c r="AN12" s="92"/>
      <c r="AO12" s="90"/>
      <c r="AP12" s="91"/>
      <c r="AQ12" s="91"/>
      <c r="AR12" s="92"/>
      <c r="AS12" s="90"/>
      <c r="AT12" s="91"/>
      <c r="AU12" s="91"/>
      <c r="AV12" s="92"/>
      <c r="AW12" s="90"/>
      <c r="AX12" s="91"/>
      <c r="AY12" s="91"/>
      <c r="AZ12" s="92"/>
      <c r="BA12" s="90"/>
      <c r="BB12" s="91"/>
      <c r="BC12" s="91"/>
      <c r="BD12" s="92"/>
      <c r="BE12" s="90"/>
      <c r="BF12" s="91"/>
      <c r="BG12" s="91"/>
      <c r="BH12" s="92"/>
      <c r="BI12" s="86"/>
      <c r="BJ12" s="86"/>
      <c r="BK12" s="86"/>
      <c r="BL12" s="86"/>
      <c r="BM12" s="86"/>
      <c r="BN12" s="86"/>
      <c r="BO12" s="86"/>
      <c r="BP12" s="86"/>
      <c r="BQ12" s="86"/>
      <c r="BR12" s="86"/>
      <c r="BS12" s="86"/>
      <c r="BT12" s="86"/>
      <c r="BU12" s="86"/>
      <c r="BV12" s="86"/>
      <c r="BW12" s="86"/>
      <c r="BX12" s="86"/>
      <c r="BY12" s="86"/>
      <c r="BZ12" s="86"/>
      <c r="CA12" s="86"/>
      <c r="CB12" s="86"/>
      <c r="CC12" s="90"/>
      <c r="CD12" s="91"/>
      <c r="CE12" s="91"/>
      <c r="CF12" s="92"/>
      <c r="CG12" s="25"/>
      <c r="CH12" s="103"/>
      <c r="CI12" s="103"/>
      <c r="CJ12" s="95"/>
      <c r="CK12" s="5"/>
      <c r="CO12"/>
      <c r="CP12"/>
      <c r="CQ12"/>
      <c r="CR12"/>
      <c r="CS12"/>
      <c r="CT12"/>
      <c r="CU12"/>
      <c r="CV12"/>
      <c r="CW12"/>
      <c r="CX12"/>
      <c r="CY12"/>
      <c r="CZ12"/>
      <c r="DA12"/>
      <c r="DL12"/>
      <c r="DM12"/>
    </row>
    <row r="13" spans="2:135" ht="6" customHeight="1" x14ac:dyDescent="0.25">
      <c r="B13" s="84" t="s">
        <v>50</v>
      </c>
      <c r="C13" s="84"/>
      <c r="D13" s="27"/>
      <c r="E13" s="28"/>
      <c r="F13" s="29"/>
      <c r="G13" s="29"/>
      <c r="H13" s="30"/>
      <c r="I13" s="28"/>
      <c r="J13" s="29"/>
      <c r="K13" s="29"/>
      <c r="L13" s="30"/>
      <c r="M13" s="28"/>
      <c r="N13" s="29"/>
      <c r="O13" s="29"/>
      <c r="P13" s="30"/>
      <c r="Q13" s="28"/>
      <c r="R13" s="29"/>
      <c r="S13" s="29"/>
      <c r="T13" s="30"/>
      <c r="U13" s="28"/>
      <c r="V13" s="29"/>
      <c r="W13" s="29"/>
      <c r="X13" s="30"/>
      <c r="Y13" s="28"/>
      <c r="Z13" s="29"/>
      <c r="AA13" s="29"/>
      <c r="AB13" s="30"/>
      <c r="AC13" s="28"/>
      <c r="AD13" s="29"/>
      <c r="AE13" s="29"/>
      <c r="AF13" s="30"/>
      <c r="AG13" s="28"/>
      <c r="AH13" s="29"/>
      <c r="AI13" s="29"/>
      <c r="AJ13" s="30"/>
      <c r="AK13" s="28"/>
      <c r="AL13" s="29"/>
      <c r="AM13" s="29"/>
      <c r="AN13" s="30"/>
      <c r="AO13" s="28"/>
      <c r="AP13" s="29"/>
      <c r="AQ13" s="29"/>
      <c r="AR13" s="30"/>
      <c r="AS13" s="28"/>
      <c r="AT13" s="29"/>
      <c r="AU13" s="29"/>
      <c r="AV13" s="30"/>
      <c r="AW13" s="28"/>
      <c r="AX13" s="29"/>
      <c r="AY13" s="29"/>
      <c r="AZ13" s="30"/>
      <c r="BA13" s="28"/>
      <c r="BB13" s="29"/>
      <c r="BC13" s="29"/>
      <c r="BD13" s="30"/>
      <c r="BE13" s="28"/>
      <c r="BF13" s="29"/>
      <c r="BG13" s="29"/>
      <c r="BH13" s="30"/>
      <c r="BI13" s="28"/>
      <c r="BJ13" s="29"/>
      <c r="BK13" s="29"/>
      <c r="BL13" s="30"/>
      <c r="BM13" s="28"/>
      <c r="BN13" s="29"/>
      <c r="BO13" s="29"/>
      <c r="BP13" s="30"/>
      <c r="BQ13" s="28"/>
      <c r="BR13" s="29"/>
      <c r="BS13" s="29"/>
      <c r="BT13" s="30"/>
      <c r="BU13" s="28"/>
      <c r="BV13" s="29"/>
      <c r="BW13" s="29"/>
      <c r="BX13" s="30"/>
      <c r="BY13" s="28"/>
      <c r="BZ13" s="29"/>
      <c r="CA13" s="29"/>
      <c r="CB13" s="30"/>
      <c r="CC13" s="28"/>
      <c r="CD13" s="29"/>
      <c r="CE13" s="29"/>
      <c r="CF13" s="30"/>
      <c r="CH13" s="31"/>
      <c r="CI13" s="32"/>
      <c r="CJ13" s="83">
        <f>IF(ISBLANK(B13),"",IF(CI14&gt;=CH14,3,IF(CI14=(CH14-1),2,1)))</f>
        <v>2</v>
      </c>
      <c r="CK13" s="5"/>
      <c r="CO13"/>
      <c r="CP13"/>
      <c r="CQ13"/>
      <c r="CR13"/>
      <c r="CS13"/>
      <c r="CT13"/>
      <c r="CU13"/>
      <c r="CV13"/>
      <c r="CW13"/>
      <c r="CX13"/>
      <c r="CY13"/>
      <c r="CZ13"/>
      <c r="DA13"/>
      <c r="DL13"/>
      <c r="DM13"/>
    </row>
    <row r="14" spans="2:135" ht="15" customHeight="1" x14ac:dyDescent="0.25">
      <c r="B14" s="84"/>
      <c r="C14" s="84"/>
      <c r="D14" s="27"/>
      <c r="E14" s="33"/>
      <c r="F14" s="34"/>
      <c r="G14" s="34"/>
      <c r="H14" s="35"/>
      <c r="I14" s="33"/>
      <c r="J14" s="34"/>
      <c r="K14" s="34"/>
      <c r="L14" s="35"/>
      <c r="M14" s="33"/>
      <c r="N14" s="34"/>
      <c r="O14" s="34"/>
      <c r="P14" s="35"/>
      <c r="Q14" s="33"/>
      <c r="R14" s="34"/>
      <c r="S14" s="34"/>
      <c r="T14" s="35"/>
      <c r="U14" s="33"/>
      <c r="V14" s="34"/>
      <c r="W14" s="34"/>
      <c r="X14" s="35"/>
      <c r="Y14" s="33"/>
      <c r="Z14" s="34"/>
      <c r="AA14" s="34"/>
      <c r="AB14" s="35"/>
      <c r="AC14" s="33"/>
      <c r="AD14" s="34"/>
      <c r="AE14" s="34"/>
      <c r="AF14" s="35"/>
      <c r="AG14" s="33"/>
      <c r="AH14" s="34"/>
      <c r="AI14" s="34"/>
      <c r="AJ14" s="35"/>
      <c r="AK14" s="33"/>
      <c r="AL14" s="34"/>
      <c r="AM14" s="34"/>
      <c r="AN14" s="35"/>
      <c r="AO14" s="33"/>
      <c r="AP14" s="34"/>
      <c r="AQ14" s="34"/>
      <c r="AR14" s="35"/>
      <c r="AS14" s="33"/>
      <c r="AT14" s="34"/>
      <c r="AU14" s="34"/>
      <c r="AV14" s="35"/>
      <c r="AW14" s="33"/>
      <c r="AX14" s="34"/>
      <c r="AY14" s="34"/>
      <c r="AZ14" s="35"/>
      <c r="BA14" s="33"/>
      <c r="BB14" s="34"/>
      <c r="BC14" s="34"/>
      <c r="BD14" s="35"/>
      <c r="BE14" s="33"/>
      <c r="BF14" s="34"/>
      <c r="BG14" s="34"/>
      <c r="BH14" s="35"/>
      <c r="BI14" s="33"/>
      <c r="BJ14" s="34"/>
      <c r="BK14" s="34"/>
      <c r="BL14" s="35"/>
      <c r="BM14" s="33"/>
      <c r="BN14" s="34"/>
      <c r="BO14" s="34"/>
      <c r="BP14" s="35"/>
      <c r="BQ14" s="33"/>
      <c r="BR14" s="34"/>
      <c r="BS14" s="34"/>
      <c r="BT14" s="35"/>
      <c r="BU14" s="33"/>
      <c r="BV14" s="34"/>
      <c r="BW14" s="34"/>
      <c r="BX14" s="35"/>
      <c r="BY14" s="33"/>
      <c r="BZ14" s="34"/>
      <c r="CA14" s="34"/>
      <c r="CB14" s="35"/>
      <c r="CC14" s="33"/>
      <c r="CD14" s="34"/>
      <c r="CE14" s="34"/>
      <c r="CF14" s="35"/>
      <c r="CH14" s="36">
        <v>3</v>
      </c>
      <c r="CI14" s="37">
        <f>IF(ISBLANK(B13),"",COUNTIF(B16:CF16,"&gt;=3"))</f>
        <v>2</v>
      </c>
      <c r="CJ14" s="83"/>
      <c r="CK14" s="20"/>
      <c r="CO14"/>
      <c r="CP14"/>
      <c r="CQ14"/>
      <c r="CR14"/>
      <c r="CS14"/>
      <c r="CT14"/>
      <c r="CU14"/>
      <c r="CV14"/>
      <c r="CW14"/>
      <c r="CX14"/>
      <c r="CY14"/>
      <c r="CZ14"/>
      <c r="DA14"/>
      <c r="DL14"/>
      <c r="DM14"/>
    </row>
    <row r="15" spans="2:135" ht="15" customHeight="1" x14ac:dyDescent="0.25">
      <c r="B15" s="84"/>
      <c r="C15" s="84"/>
      <c r="D15" s="27"/>
      <c r="E15" s="33"/>
      <c r="F15" s="34"/>
      <c r="G15" s="34"/>
      <c r="H15" s="35"/>
      <c r="I15" s="33"/>
      <c r="J15" s="34"/>
      <c r="K15" s="34"/>
      <c r="L15" s="35"/>
      <c r="M15" s="33"/>
      <c r="N15" s="34"/>
      <c r="O15" s="34"/>
      <c r="P15" s="35"/>
      <c r="Q15" s="33"/>
      <c r="R15" s="34"/>
      <c r="S15" s="34"/>
      <c r="T15" s="35"/>
      <c r="U15" s="33"/>
      <c r="V15" s="34"/>
      <c r="W15" s="34"/>
      <c r="X15" s="35"/>
      <c r="Y15" s="33"/>
      <c r="Z15" s="34"/>
      <c r="AA15" s="34"/>
      <c r="AB15" s="35"/>
      <c r="AC15" s="33"/>
      <c r="AD15" s="34"/>
      <c r="AE15" s="34"/>
      <c r="AF15" s="35"/>
      <c r="AG15" s="33"/>
      <c r="AH15" s="34"/>
      <c r="AI15" s="34"/>
      <c r="AJ15" s="35"/>
      <c r="AK15" s="33"/>
      <c r="AL15" s="34"/>
      <c r="AM15" s="34"/>
      <c r="AN15" s="35"/>
      <c r="AO15" s="33"/>
      <c r="AP15" s="34"/>
      <c r="AQ15" s="34"/>
      <c r="AR15" s="35"/>
      <c r="AS15" s="33"/>
      <c r="AT15" s="34"/>
      <c r="AU15" s="34"/>
      <c r="AV15" s="35"/>
      <c r="AW15" s="33"/>
      <c r="AX15" s="34"/>
      <c r="AY15" s="34"/>
      <c r="AZ15" s="35"/>
      <c r="BA15" s="33"/>
      <c r="BB15" s="34"/>
      <c r="BC15" s="34"/>
      <c r="BD15" s="35"/>
      <c r="BE15" s="33"/>
      <c r="BF15" s="34"/>
      <c r="BG15" s="34"/>
      <c r="BH15" s="35"/>
      <c r="BI15" s="33"/>
      <c r="BJ15" s="34"/>
      <c r="BK15" s="34"/>
      <c r="BL15" s="35"/>
      <c r="BM15" s="33"/>
      <c r="BN15" s="34"/>
      <c r="BO15" s="34"/>
      <c r="BP15" s="35"/>
      <c r="BQ15" s="33"/>
      <c r="BR15" s="34"/>
      <c r="BS15" s="34"/>
      <c r="BT15" s="35"/>
      <c r="BU15" s="33"/>
      <c r="BV15" s="34"/>
      <c r="BW15" s="34"/>
      <c r="BX15" s="35"/>
      <c r="BY15" s="33"/>
      <c r="BZ15" s="34"/>
      <c r="CA15" s="34"/>
      <c r="CB15" s="35"/>
      <c r="CC15" s="33"/>
      <c r="CD15" s="34"/>
      <c r="CE15" s="34"/>
      <c r="CF15" s="35"/>
      <c r="CH15" s="81" t="str">
        <f>IF(ISBLANK(B13),"","personas cualificadas")</f>
        <v>personas cualificadas</v>
      </c>
      <c r="CI15" s="81" t="str">
        <f>IF(ISBLANK(B13),"","personas cualificadas")</f>
        <v>personas cualificadas</v>
      </c>
      <c r="CJ15" s="83"/>
      <c r="CK15" s="20"/>
      <c r="CO15"/>
      <c r="CP15"/>
      <c r="CS15"/>
      <c r="CT15"/>
      <c r="CU15"/>
      <c r="CV15"/>
      <c r="CW15"/>
      <c r="CX15"/>
      <c r="CY15"/>
      <c r="CZ15"/>
      <c r="DA15"/>
      <c r="DL15"/>
      <c r="DM15"/>
    </row>
    <row r="16" spans="2:135" x14ac:dyDescent="0.25">
      <c r="B16" s="84"/>
      <c r="C16" s="84"/>
      <c r="D16" s="27"/>
      <c r="E16" s="69"/>
      <c r="F16" s="70"/>
      <c r="G16" s="70"/>
      <c r="H16" s="71"/>
      <c r="I16" s="69"/>
      <c r="J16" s="70"/>
      <c r="K16" s="70"/>
      <c r="L16" s="71"/>
      <c r="M16" s="69"/>
      <c r="N16" s="70"/>
      <c r="O16" s="70"/>
      <c r="P16" s="71"/>
      <c r="Q16" s="69"/>
      <c r="R16" s="70"/>
      <c r="S16" s="70"/>
      <c r="T16" s="71"/>
      <c r="U16" s="69">
        <v>2</v>
      </c>
      <c r="V16" s="70"/>
      <c r="W16" s="70"/>
      <c r="X16" s="71"/>
      <c r="Y16" s="69">
        <v>2</v>
      </c>
      <c r="Z16" s="70"/>
      <c r="AA16" s="70"/>
      <c r="AB16" s="71"/>
      <c r="AC16" s="69"/>
      <c r="AD16" s="70"/>
      <c r="AE16" s="70"/>
      <c r="AF16" s="71"/>
      <c r="AG16" s="69"/>
      <c r="AH16" s="70"/>
      <c r="AI16" s="70"/>
      <c r="AJ16" s="71"/>
      <c r="AK16" s="69"/>
      <c r="AL16" s="70"/>
      <c r="AM16" s="70"/>
      <c r="AN16" s="71"/>
      <c r="AO16" s="69"/>
      <c r="AP16" s="70"/>
      <c r="AQ16" s="70"/>
      <c r="AR16" s="71"/>
      <c r="AS16" s="69">
        <v>4</v>
      </c>
      <c r="AT16" s="70"/>
      <c r="AU16" s="70"/>
      <c r="AV16" s="71"/>
      <c r="AW16" s="69"/>
      <c r="AX16" s="70"/>
      <c r="AY16" s="70"/>
      <c r="AZ16" s="71"/>
      <c r="BA16" s="69"/>
      <c r="BB16" s="70"/>
      <c r="BC16" s="70"/>
      <c r="BD16" s="71"/>
      <c r="BE16" s="69"/>
      <c r="BF16" s="70"/>
      <c r="BG16" s="70"/>
      <c r="BH16" s="71"/>
      <c r="BI16" s="69">
        <v>3</v>
      </c>
      <c r="BJ16" s="70"/>
      <c r="BK16" s="70"/>
      <c r="BL16" s="71"/>
      <c r="BM16" s="69"/>
      <c r="BN16" s="70"/>
      <c r="BO16" s="70"/>
      <c r="BP16" s="71"/>
      <c r="BQ16" s="69"/>
      <c r="BR16" s="70"/>
      <c r="BS16" s="70"/>
      <c r="BT16" s="71"/>
      <c r="BU16" s="69"/>
      <c r="BV16" s="70"/>
      <c r="BW16" s="70"/>
      <c r="BX16" s="71"/>
      <c r="BY16" s="69"/>
      <c r="BZ16" s="70"/>
      <c r="CA16" s="70"/>
      <c r="CB16" s="71"/>
      <c r="CC16" s="69">
        <v>2</v>
      </c>
      <c r="CD16" s="70"/>
      <c r="CE16" s="70"/>
      <c r="CF16" s="71"/>
      <c r="CG16" s="38"/>
      <c r="CH16" s="82"/>
      <c r="CI16" s="82"/>
      <c r="CJ16" s="83"/>
      <c r="CK16" s="20"/>
      <c r="CO16"/>
      <c r="CP16"/>
      <c r="CS16"/>
      <c r="CT16"/>
      <c r="CU16"/>
      <c r="CV16"/>
      <c r="CW16"/>
      <c r="CX16"/>
      <c r="CY16"/>
      <c r="CZ16"/>
      <c r="DA16"/>
      <c r="DL16"/>
      <c r="DM16"/>
    </row>
    <row r="17" spans="2:117" ht="6" customHeight="1" x14ac:dyDescent="0.25">
      <c r="B17" s="84" t="s">
        <v>51</v>
      </c>
      <c r="C17" s="84"/>
      <c r="D17" s="27"/>
      <c r="E17" s="28"/>
      <c r="F17" s="29"/>
      <c r="G17" s="29"/>
      <c r="H17" s="30"/>
      <c r="I17" s="28"/>
      <c r="J17" s="29"/>
      <c r="K17" s="29"/>
      <c r="L17" s="30"/>
      <c r="M17" s="28"/>
      <c r="N17" s="29"/>
      <c r="O17" s="29"/>
      <c r="P17" s="30"/>
      <c r="Q17" s="28"/>
      <c r="R17" s="29"/>
      <c r="S17" s="29"/>
      <c r="T17" s="30"/>
      <c r="U17" s="28"/>
      <c r="V17" s="29"/>
      <c r="W17" s="29"/>
      <c r="X17" s="30"/>
      <c r="Y17" s="28"/>
      <c r="Z17" s="29"/>
      <c r="AA17" s="29"/>
      <c r="AB17" s="30"/>
      <c r="AC17" s="28"/>
      <c r="AD17" s="29"/>
      <c r="AE17" s="29"/>
      <c r="AF17" s="30"/>
      <c r="AG17" s="28"/>
      <c r="AH17" s="29"/>
      <c r="AI17" s="29"/>
      <c r="AJ17" s="30"/>
      <c r="AK17" s="28"/>
      <c r="AL17" s="29"/>
      <c r="AM17" s="29"/>
      <c r="AN17" s="30"/>
      <c r="AO17" s="28"/>
      <c r="AP17" s="29"/>
      <c r="AQ17" s="29"/>
      <c r="AR17" s="30"/>
      <c r="AS17" s="28"/>
      <c r="AT17" s="29"/>
      <c r="AU17" s="29"/>
      <c r="AV17" s="30"/>
      <c r="AW17" s="28"/>
      <c r="AX17" s="29"/>
      <c r="AY17" s="29"/>
      <c r="AZ17" s="30"/>
      <c r="BA17" s="28"/>
      <c r="BB17" s="29"/>
      <c r="BC17" s="29"/>
      <c r="BD17" s="30"/>
      <c r="BE17" s="28"/>
      <c r="BF17" s="29"/>
      <c r="BG17" s="29"/>
      <c r="BH17" s="30"/>
      <c r="BI17" s="28"/>
      <c r="BJ17" s="29"/>
      <c r="BK17" s="29"/>
      <c r="BL17" s="30"/>
      <c r="BM17" s="28"/>
      <c r="BN17" s="29"/>
      <c r="BO17" s="29"/>
      <c r="BP17" s="30"/>
      <c r="BQ17" s="28"/>
      <c r="BR17" s="29"/>
      <c r="BS17" s="29"/>
      <c r="BT17" s="30"/>
      <c r="BU17" s="28"/>
      <c r="BV17" s="29"/>
      <c r="BW17" s="29"/>
      <c r="BX17" s="30"/>
      <c r="BY17" s="28"/>
      <c r="BZ17" s="29"/>
      <c r="CA17" s="29"/>
      <c r="CB17" s="30"/>
      <c r="CC17" s="28"/>
      <c r="CD17" s="29"/>
      <c r="CE17" s="29"/>
      <c r="CF17" s="30"/>
      <c r="CH17" s="31"/>
      <c r="CI17" s="32"/>
      <c r="CJ17" s="83">
        <f>IF(ISBLANK(B17),"",IF(CI18&gt;=CH18,3,IF(CI18=(CH18-1),2,1)))</f>
        <v>3</v>
      </c>
      <c r="CK17" s="20"/>
      <c r="CN17"/>
      <c r="CO17"/>
      <c r="CP17"/>
      <c r="CQ17"/>
      <c r="CR17"/>
      <c r="CS17"/>
      <c r="CT17"/>
      <c r="CU17"/>
      <c r="CV17"/>
      <c r="CW17"/>
      <c r="CX17"/>
      <c r="CY17"/>
      <c r="CZ17"/>
      <c r="DA17"/>
      <c r="DL17"/>
      <c r="DM17"/>
    </row>
    <row r="18" spans="2:117" ht="15" customHeight="1" x14ac:dyDescent="0.25">
      <c r="B18" s="84"/>
      <c r="C18" s="84"/>
      <c r="D18" s="27"/>
      <c r="E18" s="33"/>
      <c r="F18" s="34"/>
      <c r="G18" s="34"/>
      <c r="H18" s="35"/>
      <c r="I18" s="33"/>
      <c r="J18" s="34"/>
      <c r="K18" s="34"/>
      <c r="L18" s="35"/>
      <c r="M18" s="33"/>
      <c r="N18" s="34"/>
      <c r="O18" s="34"/>
      <c r="P18" s="35"/>
      <c r="Q18" s="33"/>
      <c r="R18" s="34"/>
      <c r="S18" s="34"/>
      <c r="T18" s="35"/>
      <c r="U18" s="33"/>
      <c r="V18" s="34"/>
      <c r="W18" s="34"/>
      <c r="X18" s="35"/>
      <c r="Y18" s="33"/>
      <c r="Z18" s="34"/>
      <c r="AA18" s="34"/>
      <c r="AB18" s="35"/>
      <c r="AC18" s="33"/>
      <c r="AD18" s="34"/>
      <c r="AE18" s="34"/>
      <c r="AF18" s="35"/>
      <c r="AG18" s="33"/>
      <c r="AH18" s="34"/>
      <c r="AI18" s="34"/>
      <c r="AJ18" s="35"/>
      <c r="AK18" s="33"/>
      <c r="AL18" s="34"/>
      <c r="AM18" s="34"/>
      <c r="AN18" s="35"/>
      <c r="AO18" s="33"/>
      <c r="AP18" s="34"/>
      <c r="AQ18" s="34"/>
      <c r="AR18" s="35"/>
      <c r="AS18" s="33"/>
      <c r="AT18" s="34"/>
      <c r="AU18" s="34"/>
      <c r="AV18" s="35"/>
      <c r="AW18" s="33"/>
      <c r="AX18" s="34"/>
      <c r="AY18" s="34"/>
      <c r="AZ18" s="35"/>
      <c r="BA18" s="33"/>
      <c r="BB18" s="34"/>
      <c r="BC18" s="34"/>
      <c r="BD18" s="35"/>
      <c r="BE18" s="33"/>
      <c r="BF18" s="34"/>
      <c r="BG18" s="34"/>
      <c r="BH18" s="35"/>
      <c r="BI18" s="33"/>
      <c r="BJ18" s="34"/>
      <c r="BK18" s="34"/>
      <c r="BL18" s="35"/>
      <c r="BM18" s="33"/>
      <c r="BN18" s="34"/>
      <c r="BO18" s="34"/>
      <c r="BP18" s="35"/>
      <c r="BQ18" s="33"/>
      <c r="BR18" s="34"/>
      <c r="BS18" s="34"/>
      <c r="BT18" s="35"/>
      <c r="BU18" s="33"/>
      <c r="BV18" s="34"/>
      <c r="BW18" s="34"/>
      <c r="BX18" s="35"/>
      <c r="BY18" s="33"/>
      <c r="BZ18" s="34"/>
      <c r="CA18" s="34"/>
      <c r="CB18" s="35"/>
      <c r="CC18" s="33"/>
      <c r="CD18" s="34"/>
      <c r="CE18" s="34"/>
      <c r="CF18" s="35"/>
      <c r="CH18" s="36">
        <v>4</v>
      </c>
      <c r="CI18" s="37">
        <f>IF(ISBLANK(B17),"",COUNTIF(B20:CF20,"&gt;=3"))</f>
        <v>5</v>
      </c>
      <c r="CJ18" s="83"/>
      <c r="CK18" s="20"/>
      <c r="CN18"/>
      <c r="CO18"/>
      <c r="CP18"/>
      <c r="CQ18"/>
      <c r="CR18"/>
      <c r="CS18"/>
      <c r="CT18"/>
      <c r="CU18"/>
      <c r="CV18"/>
      <c r="CW18"/>
      <c r="CX18"/>
      <c r="CY18"/>
      <c r="CZ18"/>
      <c r="DA18"/>
      <c r="DL18"/>
      <c r="DM18"/>
    </row>
    <row r="19" spans="2:117" ht="15" customHeight="1" x14ac:dyDescent="0.25">
      <c r="B19" s="84"/>
      <c r="C19" s="84"/>
      <c r="D19" s="27"/>
      <c r="E19" s="33"/>
      <c r="F19" s="34"/>
      <c r="G19" s="34"/>
      <c r="H19" s="35"/>
      <c r="I19" s="33"/>
      <c r="J19" s="34"/>
      <c r="K19" s="34"/>
      <c r="L19" s="35"/>
      <c r="M19" s="33"/>
      <c r="N19" s="34"/>
      <c r="O19" s="34"/>
      <c r="P19" s="35"/>
      <c r="Q19" s="33"/>
      <c r="R19" s="34"/>
      <c r="S19" s="34"/>
      <c r="T19" s="35"/>
      <c r="U19" s="33"/>
      <c r="V19" s="34"/>
      <c r="W19" s="34"/>
      <c r="X19" s="35"/>
      <c r="Y19" s="33"/>
      <c r="Z19" s="34"/>
      <c r="AA19" s="34"/>
      <c r="AB19" s="35"/>
      <c r="AC19" s="33"/>
      <c r="AD19" s="34"/>
      <c r="AE19" s="34"/>
      <c r="AF19" s="35"/>
      <c r="AG19" s="33"/>
      <c r="AH19" s="34"/>
      <c r="AI19" s="34"/>
      <c r="AJ19" s="35"/>
      <c r="AK19" s="33"/>
      <c r="AL19" s="34"/>
      <c r="AM19" s="34"/>
      <c r="AN19" s="35"/>
      <c r="AO19" s="33"/>
      <c r="AP19" s="34"/>
      <c r="AQ19" s="34"/>
      <c r="AR19" s="35"/>
      <c r="AS19" s="33"/>
      <c r="AT19" s="34"/>
      <c r="AU19" s="34"/>
      <c r="AV19" s="35"/>
      <c r="AW19" s="33"/>
      <c r="AX19" s="34"/>
      <c r="AY19" s="34"/>
      <c r="AZ19" s="35"/>
      <c r="BA19" s="33"/>
      <c r="BB19" s="34"/>
      <c r="BC19" s="34"/>
      <c r="BD19" s="35"/>
      <c r="BE19" s="33"/>
      <c r="BF19" s="34"/>
      <c r="BG19" s="34"/>
      <c r="BH19" s="35"/>
      <c r="BI19" s="33"/>
      <c r="BJ19" s="34"/>
      <c r="BK19" s="34"/>
      <c r="BL19" s="35"/>
      <c r="BM19" s="33"/>
      <c r="BN19" s="34"/>
      <c r="BO19" s="34"/>
      <c r="BP19" s="35"/>
      <c r="BQ19" s="33"/>
      <c r="BR19" s="34"/>
      <c r="BS19" s="34"/>
      <c r="BT19" s="35"/>
      <c r="BU19" s="33"/>
      <c r="BV19" s="34"/>
      <c r="BW19" s="34"/>
      <c r="BX19" s="35"/>
      <c r="BY19" s="33"/>
      <c r="BZ19" s="34"/>
      <c r="CA19" s="34"/>
      <c r="CB19" s="35"/>
      <c r="CC19" s="33"/>
      <c r="CD19" s="34"/>
      <c r="CE19" s="34"/>
      <c r="CF19" s="35"/>
      <c r="CH19" s="81" t="str">
        <f>IF(ISBLANK(B17),"","personas cualificadas")</f>
        <v>personas cualificadas</v>
      </c>
      <c r="CI19" s="81" t="str">
        <f>IF(ISBLANK(B17),"","personas cualificadas")</f>
        <v>personas cualificadas</v>
      </c>
      <c r="CJ19" s="83"/>
      <c r="CK19" s="20"/>
      <c r="CN19"/>
      <c r="CO19"/>
      <c r="CP19"/>
      <c r="CQ19"/>
      <c r="CR19"/>
      <c r="CS19"/>
      <c r="CT19"/>
      <c r="CU19"/>
      <c r="CV19"/>
      <c r="CW19"/>
      <c r="CX19"/>
      <c r="CY19"/>
      <c r="CZ19"/>
      <c r="DA19"/>
      <c r="DL19"/>
      <c r="DM19"/>
    </row>
    <row r="20" spans="2:117" x14ac:dyDescent="0.25">
      <c r="B20" s="84"/>
      <c r="C20" s="84"/>
      <c r="D20" s="27"/>
      <c r="E20" s="69"/>
      <c r="F20" s="70"/>
      <c r="G20" s="70"/>
      <c r="H20" s="71"/>
      <c r="I20" s="69"/>
      <c r="J20" s="70"/>
      <c r="K20" s="70"/>
      <c r="L20" s="71"/>
      <c r="M20" s="69"/>
      <c r="N20" s="70"/>
      <c r="O20" s="70"/>
      <c r="P20" s="71"/>
      <c r="Q20" s="69"/>
      <c r="R20" s="70"/>
      <c r="S20" s="70"/>
      <c r="T20" s="71"/>
      <c r="U20" s="69">
        <v>4</v>
      </c>
      <c r="V20" s="70"/>
      <c r="W20" s="70"/>
      <c r="X20" s="71"/>
      <c r="Y20" s="69">
        <v>4</v>
      </c>
      <c r="Z20" s="70"/>
      <c r="AA20" s="70"/>
      <c r="AB20" s="71"/>
      <c r="AC20" s="69"/>
      <c r="AD20" s="70"/>
      <c r="AE20" s="70"/>
      <c r="AF20" s="71"/>
      <c r="AG20" s="69"/>
      <c r="AH20" s="70"/>
      <c r="AI20" s="70"/>
      <c r="AJ20" s="71"/>
      <c r="AK20" s="69">
        <v>3</v>
      </c>
      <c r="AL20" s="70"/>
      <c r="AM20" s="70"/>
      <c r="AN20" s="71"/>
      <c r="AO20" s="69"/>
      <c r="AP20" s="70"/>
      <c r="AQ20" s="70"/>
      <c r="AR20" s="71"/>
      <c r="AS20" s="69">
        <v>1</v>
      </c>
      <c r="AT20" s="70"/>
      <c r="AU20" s="70"/>
      <c r="AV20" s="71"/>
      <c r="AW20" s="69"/>
      <c r="AX20" s="70"/>
      <c r="AY20" s="70"/>
      <c r="AZ20" s="71"/>
      <c r="BA20" s="69"/>
      <c r="BB20" s="70"/>
      <c r="BC20" s="70"/>
      <c r="BD20" s="71"/>
      <c r="BE20" s="69"/>
      <c r="BF20" s="70"/>
      <c r="BG20" s="70"/>
      <c r="BH20" s="71"/>
      <c r="BI20" s="69">
        <v>3</v>
      </c>
      <c r="BJ20" s="70"/>
      <c r="BK20" s="70"/>
      <c r="BL20" s="71"/>
      <c r="BM20" s="69"/>
      <c r="BN20" s="70"/>
      <c r="BO20" s="70"/>
      <c r="BP20" s="71"/>
      <c r="BQ20" s="69"/>
      <c r="BR20" s="70"/>
      <c r="BS20" s="70"/>
      <c r="BT20" s="71"/>
      <c r="BU20" s="69"/>
      <c r="BV20" s="70"/>
      <c r="BW20" s="70"/>
      <c r="BX20" s="71"/>
      <c r="BY20" s="69"/>
      <c r="BZ20" s="70"/>
      <c r="CA20" s="70"/>
      <c r="CB20" s="71"/>
      <c r="CC20" s="69">
        <v>4</v>
      </c>
      <c r="CD20" s="70"/>
      <c r="CE20" s="70"/>
      <c r="CF20" s="71"/>
      <c r="CG20" s="38"/>
      <c r="CH20" s="82"/>
      <c r="CI20" s="82"/>
      <c r="CJ20" s="83"/>
      <c r="CK20" s="20"/>
      <c r="CN20"/>
      <c r="CO20"/>
      <c r="CP20"/>
      <c r="CQ20"/>
      <c r="CR20"/>
      <c r="CS20"/>
      <c r="CT20"/>
      <c r="CU20"/>
      <c r="CV20"/>
      <c r="CW20"/>
      <c r="CX20"/>
      <c r="CY20"/>
      <c r="CZ20"/>
      <c r="DA20"/>
      <c r="DL20"/>
      <c r="DM20"/>
    </row>
    <row r="21" spans="2:117" ht="6" customHeight="1" x14ac:dyDescent="0.25">
      <c r="B21" s="84" t="s">
        <v>52</v>
      </c>
      <c r="C21" s="84"/>
      <c r="D21" s="27"/>
      <c r="E21" s="28"/>
      <c r="F21" s="29"/>
      <c r="G21" s="29"/>
      <c r="H21" s="30"/>
      <c r="I21" s="28"/>
      <c r="J21" s="29"/>
      <c r="K21" s="29"/>
      <c r="L21" s="30"/>
      <c r="M21" s="28"/>
      <c r="N21" s="29"/>
      <c r="O21" s="29"/>
      <c r="P21" s="30"/>
      <c r="Q21" s="28"/>
      <c r="R21" s="29"/>
      <c r="S21" s="29"/>
      <c r="T21" s="30"/>
      <c r="U21" s="28"/>
      <c r="V21" s="29"/>
      <c r="W21" s="29"/>
      <c r="X21" s="30"/>
      <c r="Y21" s="28"/>
      <c r="Z21" s="29"/>
      <c r="AA21" s="29"/>
      <c r="AB21" s="30"/>
      <c r="AC21" s="28"/>
      <c r="AD21" s="29"/>
      <c r="AE21" s="29"/>
      <c r="AF21" s="30"/>
      <c r="AG21" s="28"/>
      <c r="AH21" s="29"/>
      <c r="AI21" s="29"/>
      <c r="AJ21" s="30"/>
      <c r="AK21" s="28"/>
      <c r="AL21" s="29"/>
      <c r="AM21" s="29"/>
      <c r="AN21" s="30"/>
      <c r="AO21" s="28"/>
      <c r="AP21" s="29"/>
      <c r="AQ21" s="29"/>
      <c r="AR21" s="30"/>
      <c r="AS21" s="28"/>
      <c r="AT21" s="29"/>
      <c r="AU21" s="29"/>
      <c r="AV21" s="30"/>
      <c r="AW21" s="28"/>
      <c r="AX21" s="29"/>
      <c r="AY21" s="29"/>
      <c r="AZ21" s="30"/>
      <c r="BA21" s="28"/>
      <c r="BB21" s="29"/>
      <c r="BC21" s="29"/>
      <c r="BD21" s="30"/>
      <c r="BE21" s="28"/>
      <c r="BF21" s="29"/>
      <c r="BG21" s="29"/>
      <c r="BH21" s="30"/>
      <c r="BI21" s="28"/>
      <c r="BJ21" s="29"/>
      <c r="BK21" s="29"/>
      <c r="BL21" s="30"/>
      <c r="BM21" s="28"/>
      <c r="BN21" s="29"/>
      <c r="BO21" s="29"/>
      <c r="BP21" s="30"/>
      <c r="BQ21" s="28"/>
      <c r="BR21" s="29"/>
      <c r="BS21" s="29"/>
      <c r="BT21" s="30"/>
      <c r="BU21" s="28"/>
      <c r="BV21" s="29"/>
      <c r="BW21" s="29"/>
      <c r="BX21" s="30"/>
      <c r="BY21" s="28"/>
      <c r="BZ21" s="29"/>
      <c r="CA21" s="29"/>
      <c r="CB21" s="30"/>
      <c r="CC21" s="28"/>
      <c r="CD21" s="29"/>
      <c r="CE21" s="29"/>
      <c r="CF21" s="30"/>
      <c r="CH21" s="31"/>
      <c r="CI21" s="32"/>
      <c r="CJ21" s="83">
        <f>IF(ISBLANK(B21),"",IF(CI22&gt;=CH22,3,IF(CI22=(CH22-1),2,1)))</f>
        <v>3</v>
      </c>
      <c r="CK21" s="20"/>
      <c r="CN21"/>
      <c r="CO21"/>
      <c r="CP21"/>
      <c r="CQ21"/>
      <c r="CR21"/>
      <c r="CS21"/>
      <c r="CT21"/>
      <c r="CU21"/>
      <c r="CV21"/>
      <c r="CW21"/>
      <c r="CX21"/>
      <c r="CY21"/>
      <c r="CZ21"/>
      <c r="DA21"/>
      <c r="DL21"/>
      <c r="DM21"/>
    </row>
    <row r="22" spans="2:117" ht="15" customHeight="1" x14ac:dyDescent="0.25">
      <c r="B22" s="84"/>
      <c r="C22" s="84"/>
      <c r="D22" s="27"/>
      <c r="E22" s="33"/>
      <c r="F22" s="34"/>
      <c r="G22" s="34"/>
      <c r="H22" s="35"/>
      <c r="I22" s="33"/>
      <c r="J22" s="34"/>
      <c r="K22" s="34"/>
      <c r="L22" s="35"/>
      <c r="M22" s="33"/>
      <c r="N22" s="34"/>
      <c r="O22" s="34"/>
      <c r="P22" s="35"/>
      <c r="Q22" s="33"/>
      <c r="R22" s="34"/>
      <c r="S22" s="34"/>
      <c r="T22" s="35"/>
      <c r="U22" s="33"/>
      <c r="V22" s="34"/>
      <c r="W22" s="34"/>
      <c r="X22" s="35"/>
      <c r="Y22" s="33"/>
      <c r="Z22" s="34"/>
      <c r="AA22" s="34"/>
      <c r="AB22" s="35"/>
      <c r="AC22" s="33"/>
      <c r="AD22" s="34"/>
      <c r="AE22" s="34"/>
      <c r="AF22" s="35"/>
      <c r="AG22" s="33"/>
      <c r="AH22" s="34"/>
      <c r="AI22" s="34"/>
      <c r="AJ22" s="35"/>
      <c r="AK22" s="33"/>
      <c r="AL22" s="34"/>
      <c r="AM22" s="34"/>
      <c r="AN22" s="35"/>
      <c r="AO22" s="33"/>
      <c r="AP22" s="34"/>
      <c r="AQ22" s="34"/>
      <c r="AR22" s="35"/>
      <c r="AS22" s="33"/>
      <c r="AT22" s="34"/>
      <c r="AU22" s="34"/>
      <c r="AV22" s="35"/>
      <c r="AW22" s="33"/>
      <c r="AX22" s="34"/>
      <c r="AY22" s="34"/>
      <c r="AZ22" s="35"/>
      <c r="BA22" s="33"/>
      <c r="BB22" s="34"/>
      <c r="BC22" s="34"/>
      <c r="BD22" s="35"/>
      <c r="BE22" s="33"/>
      <c r="BF22" s="34"/>
      <c r="BG22" s="34"/>
      <c r="BH22" s="35"/>
      <c r="BI22" s="33"/>
      <c r="BJ22" s="34"/>
      <c r="BK22" s="34"/>
      <c r="BL22" s="35"/>
      <c r="BM22" s="33"/>
      <c r="BN22" s="34"/>
      <c r="BO22" s="34"/>
      <c r="BP22" s="35"/>
      <c r="BQ22" s="33"/>
      <c r="BR22" s="34"/>
      <c r="BS22" s="34"/>
      <c r="BT22" s="35"/>
      <c r="BU22" s="33"/>
      <c r="BV22" s="34"/>
      <c r="BW22" s="34"/>
      <c r="BX22" s="35"/>
      <c r="BY22" s="33"/>
      <c r="BZ22" s="34"/>
      <c r="CA22" s="34"/>
      <c r="CB22" s="35"/>
      <c r="CC22" s="33"/>
      <c r="CD22" s="34"/>
      <c r="CE22" s="34"/>
      <c r="CF22" s="35"/>
      <c r="CH22" s="36">
        <v>4</v>
      </c>
      <c r="CI22" s="37">
        <f>IF(ISBLANK(B21),"",COUNTIF(B24:CF24,"&gt;=3"))</f>
        <v>5</v>
      </c>
      <c r="CJ22" s="83"/>
      <c r="CK22" s="20"/>
      <c r="CN22"/>
      <c r="CO22"/>
      <c r="CP22"/>
      <c r="CQ22"/>
      <c r="CR22"/>
      <c r="CS22"/>
      <c r="CT22"/>
      <c r="CU22"/>
      <c r="CV22"/>
      <c r="CW22"/>
      <c r="CX22"/>
      <c r="CY22"/>
      <c r="CZ22"/>
      <c r="DA22"/>
      <c r="DL22"/>
      <c r="DM22"/>
    </row>
    <row r="23" spans="2:117" ht="15" customHeight="1" x14ac:dyDescent="0.25">
      <c r="B23" s="84"/>
      <c r="C23" s="84"/>
      <c r="D23" s="27"/>
      <c r="E23" s="33"/>
      <c r="F23" s="34"/>
      <c r="G23" s="34"/>
      <c r="H23" s="35"/>
      <c r="I23" s="33"/>
      <c r="J23" s="34"/>
      <c r="K23" s="34"/>
      <c r="L23" s="35"/>
      <c r="M23" s="33"/>
      <c r="N23" s="34"/>
      <c r="O23" s="34"/>
      <c r="P23" s="35"/>
      <c r="Q23" s="33"/>
      <c r="R23" s="34"/>
      <c r="S23" s="34"/>
      <c r="T23" s="35"/>
      <c r="U23" s="33"/>
      <c r="V23" s="34"/>
      <c r="W23" s="34"/>
      <c r="X23" s="35"/>
      <c r="Y23" s="33"/>
      <c r="Z23" s="34"/>
      <c r="AA23" s="34"/>
      <c r="AB23" s="35"/>
      <c r="AC23" s="33"/>
      <c r="AD23" s="34"/>
      <c r="AE23" s="34"/>
      <c r="AF23" s="35"/>
      <c r="AG23" s="33"/>
      <c r="AH23" s="34"/>
      <c r="AI23" s="34"/>
      <c r="AJ23" s="35"/>
      <c r="AK23" s="33"/>
      <c r="AL23" s="34"/>
      <c r="AM23" s="34"/>
      <c r="AN23" s="35"/>
      <c r="AO23" s="33"/>
      <c r="AP23" s="34"/>
      <c r="AQ23" s="34"/>
      <c r="AR23" s="35"/>
      <c r="AS23" s="33"/>
      <c r="AT23" s="34"/>
      <c r="AU23" s="34"/>
      <c r="AV23" s="35"/>
      <c r="AW23" s="33"/>
      <c r="AX23" s="34"/>
      <c r="AY23" s="34"/>
      <c r="AZ23" s="35"/>
      <c r="BA23" s="33"/>
      <c r="BB23" s="34"/>
      <c r="BC23" s="34"/>
      <c r="BD23" s="35"/>
      <c r="BE23" s="33"/>
      <c r="BF23" s="34"/>
      <c r="BG23" s="34"/>
      <c r="BH23" s="35"/>
      <c r="BI23" s="33"/>
      <c r="BJ23" s="34"/>
      <c r="BK23" s="34"/>
      <c r="BL23" s="35"/>
      <c r="BM23" s="33"/>
      <c r="BN23" s="34"/>
      <c r="BO23" s="34"/>
      <c r="BP23" s="35"/>
      <c r="BQ23" s="33"/>
      <c r="BR23" s="34"/>
      <c r="BS23" s="34"/>
      <c r="BT23" s="35"/>
      <c r="BU23" s="33"/>
      <c r="BV23" s="34"/>
      <c r="BW23" s="34"/>
      <c r="BX23" s="35"/>
      <c r="BY23" s="33"/>
      <c r="BZ23" s="34"/>
      <c r="CA23" s="34"/>
      <c r="CB23" s="35"/>
      <c r="CC23" s="33"/>
      <c r="CD23" s="34"/>
      <c r="CE23" s="34"/>
      <c r="CF23" s="35"/>
      <c r="CH23" s="81" t="str">
        <f>IF(ISBLANK(B21),"","personas cualificadas")</f>
        <v>personas cualificadas</v>
      </c>
      <c r="CI23" s="81" t="str">
        <f>IF(ISBLANK(B21),"","personas cualificadas")</f>
        <v>personas cualificadas</v>
      </c>
      <c r="CJ23" s="83"/>
      <c r="CK23" s="20"/>
      <c r="CN23"/>
      <c r="CO23"/>
      <c r="CP23"/>
      <c r="CQ23"/>
      <c r="CR23"/>
      <c r="CS23"/>
      <c r="CT23"/>
      <c r="CU23"/>
      <c r="CV23"/>
      <c r="CW23"/>
      <c r="CX23"/>
      <c r="CY23"/>
      <c r="CZ23"/>
      <c r="DA23"/>
      <c r="DL23"/>
      <c r="DM23"/>
    </row>
    <row r="24" spans="2:117" x14ac:dyDescent="0.25">
      <c r="B24" s="84"/>
      <c r="C24" s="84"/>
      <c r="D24" s="27"/>
      <c r="E24" s="69"/>
      <c r="F24" s="70"/>
      <c r="G24" s="70"/>
      <c r="H24" s="71"/>
      <c r="I24" s="69"/>
      <c r="J24" s="70"/>
      <c r="K24" s="70"/>
      <c r="L24" s="71"/>
      <c r="M24" s="69"/>
      <c r="N24" s="70"/>
      <c r="O24" s="70"/>
      <c r="P24" s="71"/>
      <c r="Q24" s="69">
        <v>2</v>
      </c>
      <c r="R24" s="70"/>
      <c r="S24" s="70"/>
      <c r="T24" s="71"/>
      <c r="U24" s="69">
        <v>4</v>
      </c>
      <c r="V24" s="70"/>
      <c r="W24" s="70"/>
      <c r="X24" s="71"/>
      <c r="Y24" s="69">
        <v>4</v>
      </c>
      <c r="Z24" s="70"/>
      <c r="AA24" s="70"/>
      <c r="AB24" s="71"/>
      <c r="AC24" s="69"/>
      <c r="AD24" s="70"/>
      <c r="AE24" s="70"/>
      <c r="AF24" s="71"/>
      <c r="AG24" s="69"/>
      <c r="AH24" s="70"/>
      <c r="AI24" s="70"/>
      <c r="AJ24" s="71"/>
      <c r="AK24" s="69"/>
      <c r="AL24" s="70"/>
      <c r="AM24" s="70"/>
      <c r="AN24" s="71"/>
      <c r="AO24" s="69"/>
      <c r="AP24" s="70"/>
      <c r="AQ24" s="70"/>
      <c r="AR24" s="71"/>
      <c r="AS24" s="69">
        <v>4</v>
      </c>
      <c r="AT24" s="70"/>
      <c r="AU24" s="70"/>
      <c r="AV24" s="71"/>
      <c r="AW24" s="69"/>
      <c r="AX24" s="70"/>
      <c r="AY24" s="70"/>
      <c r="AZ24" s="71"/>
      <c r="BA24" s="69"/>
      <c r="BB24" s="70"/>
      <c r="BC24" s="70"/>
      <c r="BD24" s="71"/>
      <c r="BE24" s="69"/>
      <c r="BF24" s="70"/>
      <c r="BG24" s="70"/>
      <c r="BH24" s="71"/>
      <c r="BI24" s="69">
        <v>4</v>
      </c>
      <c r="BJ24" s="70"/>
      <c r="BK24" s="70"/>
      <c r="BL24" s="71"/>
      <c r="BM24" s="69"/>
      <c r="BN24" s="70"/>
      <c r="BO24" s="70"/>
      <c r="BP24" s="71"/>
      <c r="BQ24" s="69"/>
      <c r="BR24" s="70"/>
      <c r="BS24" s="70"/>
      <c r="BT24" s="71"/>
      <c r="BU24" s="69"/>
      <c r="BV24" s="70"/>
      <c r="BW24" s="70"/>
      <c r="BX24" s="71"/>
      <c r="BY24" s="69"/>
      <c r="BZ24" s="70"/>
      <c r="CA24" s="70"/>
      <c r="CB24" s="71"/>
      <c r="CC24" s="69">
        <v>4</v>
      </c>
      <c r="CD24" s="70"/>
      <c r="CE24" s="70"/>
      <c r="CF24" s="71"/>
      <c r="CG24" s="38"/>
      <c r="CH24" s="82"/>
      <c r="CI24" s="82"/>
      <c r="CJ24" s="83"/>
      <c r="CK24" s="20"/>
      <c r="CN24"/>
      <c r="CO24"/>
      <c r="CP24"/>
      <c r="CQ24"/>
      <c r="CR24"/>
      <c r="CS24"/>
      <c r="CT24"/>
      <c r="CU24"/>
      <c r="CV24"/>
      <c r="CW24"/>
      <c r="CX24"/>
      <c r="CY24"/>
      <c r="CZ24"/>
      <c r="DA24"/>
      <c r="DL24"/>
      <c r="DM24"/>
    </row>
    <row r="25" spans="2:117" ht="6" customHeight="1" x14ac:dyDescent="0.25">
      <c r="B25" s="84" t="s">
        <v>53</v>
      </c>
      <c r="C25" s="84"/>
      <c r="D25" s="27"/>
      <c r="E25" s="28"/>
      <c r="F25" s="29"/>
      <c r="G25" s="29"/>
      <c r="H25" s="30"/>
      <c r="I25" s="28"/>
      <c r="J25" s="29"/>
      <c r="K25" s="29"/>
      <c r="L25" s="30"/>
      <c r="M25" s="28"/>
      <c r="N25" s="29"/>
      <c r="O25" s="29"/>
      <c r="P25" s="30"/>
      <c r="Q25" s="28"/>
      <c r="R25" s="29"/>
      <c r="S25" s="29"/>
      <c r="T25" s="30"/>
      <c r="U25" s="28"/>
      <c r="V25" s="29"/>
      <c r="W25" s="29"/>
      <c r="X25" s="30"/>
      <c r="Y25" s="28"/>
      <c r="Z25" s="29"/>
      <c r="AA25" s="29"/>
      <c r="AB25" s="30"/>
      <c r="AC25" s="28"/>
      <c r="AD25" s="29"/>
      <c r="AE25" s="29"/>
      <c r="AF25" s="30"/>
      <c r="AG25" s="28"/>
      <c r="AH25" s="29"/>
      <c r="AI25" s="29"/>
      <c r="AJ25" s="30"/>
      <c r="AK25" s="28"/>
      <c r="AL25" s="29"/>
      <c r="AM25" s="29"/>
      <c r="AN25" s="30"/>
      <c r="AO25" s="28"/>
      <c r="AP25" s="29"/>
      <c r="AQ25" s="29"/>
      <c r="AR25" s="30"/>
      <c r="AS25" s="28"/>
      <c r="AT25" s="29"/>
      <c r="AU25" s="29"/>
      <c r="AV25" s="30"/>
      <c r="AW25" s="28"/>
      <c r="AX25" s="29"/>
      <c r="AY25" s="29"/>
      <c r="AZ25" s="30"/>
      <c r="BA25" s="28"/>
      <c r="BB25" s="29"/>
      <c r="BC25" s="29"/>
      <c r="BD25" s="30"/>
      <c r="BE25" s="28"/>
      <c r="BF25" s="29"/>
      <c r="BG25" s="29"/>
      <c r="BH25" s="30"/>
      <c r="BI25" s="28"/>
      <c r="BJ25" s="29"/>
      <c r="BK25" s="29"/>
      <c r="BL25" s="30"/>
      <c r="BM25" s="28"/>
      <c r="BN25" s="29"/>
      <c r="BO25" s="29"/>
      <c r="BP25" s="30"/>
      <c r="BQ25" s="28"/>
      <c r="BR25" s="29"/>
      <c r="BS25" s="29"/>
      <c r="BT25" s="30"/>
      <c r="BU25" s="28"/>
      <c r="BV25" s="29"/>
      <c r="BW25" s="29"/>
      <c r="BX25" s="30"/>
      <c r="BY25" s="28"/>
      <c r="BZ25" s="29"/>
      <c r="CA25" s="29"/>
      <c r="CB25" s="30"/>
      <c r="CC25" s="28"/>
      <c r="CD25" s="29"/>
      <c r="CE25" s="29"/>
      <c r="CF25" s="30"/>
      <c r="CH25" s="31"/>
      <c r="CI25" s="32"/>
      <c r="CJ25" s="83">
        <f>IF(ISBLANK(B25),"",IF(CI26&gt;=CH26,3,IF(CI26=(CH26-1),2,1)))</f>
        <v>3</v>
      </c>
      <c r="CK25" s="20"/>
      <c r="CN25"/>
      <c r="CO25"/>
      <c r="CP25"/>
      <c r="CQ25"/>
      <c r="CR25"/>
      <c r="CS25"/>
      <c r="CT25"/>
      <c r="CU25"/>
      <c r="CV25"/>
      <c r="CW25"/>
      <c r="CX25"/>
      <c r="CY25"/>
      <c r="CZ25"/>
      <c r="DA25"/>
      <c r="DL25"/>
      <c r="DM25"/>
    </row>
    <row r="26" spans="2:117" ht="15" customHeight="1" x14ac:dyDescent="0.25">
      <c r="B26" s="84"/>
      <c r="C26" s="84"/>
      <c r="D26" s="27"/>
      <c r="E26" s="33"/>
      <c r="F26" s="34"/>
      <c r="G26" s="34"/>
      <c r="H26" s="35"/>
      <c r="I26" s="33"/>
      <c r="J26" s="34"/>
      <c r="K26" s="34"/>
      <c r="L26" s="35"/>
      <c r="M26" s="33"/>
      <c r="N26" s="34"/>
      <c r="O26" s="34"/>
      <c r="P26" s="35"/>
      <c r="Q26" s="33"/>
      <c r="R26" s="34"/>
      <c r="S26" s="34"/>
      <c r="T26" s="35"/>
      <c r="U26" s="33"/>
      <c r="V26" s="34"/>
      <c r="W26" s="34"/>
      <c r="X26" s="35"/>
      <c r="Y26" s="33"/>
      <c r="Z26" s="34"/>
      <c r="AA26" s="34"/>
      <c r="AB26" s="35"/>
      <c r="AC26" s="33"/>
      <c r="AD26" s="34"/>
      <c r="AE26" s="34"/>
      <c r="AF26" s="35"/>
      <c r="AG26" s="33"/>
      <c r="AH26" s="34"/>
      <c r="AI26" s="34"/>
      <c r="AJ26" s="35"/>
      <c r="AK26" s="33"/>
      <c r="AL26" s="34"/>
      <c r="AM26" s="34"/>
      <c r="AN26" s="35"/>
      <c r="AO26" s="33"/>
      <c r="AP26" s="34"/>
      <c r="AQ26" s="34"/>
      <c r="AR26" s="35"/>
      <c r="AS26" s="33"/>
      <c r="AT26" s="34"/>
      <c r="AU26" s="34"/>
      <c r="AV26" s="35"/>
      <c r="AW26" s="33"/>
      <c r="AX26" s="34"/>
      <c r="AY26" s="34"/>
      <c r="AZ26" s="35"/>
      <c r="BA26" s="33"/>
      <c r="BB26" s="34"/>
      <c r="BC26" s="34"/>
      <c r="BD26" s="35"/>
      <c r="BE26" s="33"/>
      <c r="BF26" s="34"/>
      <c r="BG26" s="34"/>
      <c r="BH26" s="35"/>
      <c r="BI26" s="33"/>
      <c r="BJ26" s="34"/>
      <c r="BK26" s="34"/>
      <c r="BL26" s="35"/>
      <c r="BM26" s="33"/>
      <c r="BN26" s="34"/>
      <c r="BO26" s="34"/>
      <c r="BP26" s="35"/>
      <c r="BQ26" s="33"/>
      <c r="BR26" s="34"/>
      <c r="BS26" s="34"/>
      <c r="BT26" s="35"/>
      <c r="BU26" s="33"/>
      <c r="BV26" s="34"/>
      <c r="BW26" s="34"/>
      <c r="BX26" s="35"/>
      <c r="BY26" s="33"/>
      <c r="BZ26" s="34"/>
      <c r="CA26" s="34"/>
      <c r="CB26" s="35"/>
      <c r="CC26" s="33"/>
      <c r="CD26" s="34"/>
      <c r="CE26" s="34"/>
      <c r="CF26" s="35"/>
      <c r="CH26" s="36">
        <v>4</v>
      </c>
      <c r="CI26" s="37">
        <f>IF(ISBLANK(B25),"",COUNTIF(B28:CF28,"&gt;=3"))</f>
        <v>6</v>
      </c>
      <c r="CJ26" s="83"/>
      <c r="CK26" s="20"/>
      <c r="CN26"/>
      <c r="CO26"/>
      <c r="CP26"/>
      <c r="CQ26"/>
      <c r="CR26"/>
      <c r="CS26"/>
      <c r="CT26"/>
      <c r="CU26"/>
      <c r="CV26"/>
      <c r="CW26"/>
      <c r="CX26"/>
      <c r="CY26"/>
      <c r="CZ26"/>
      <c r="DA26"/>
      <c r="DL26"/>
      <c r="DM26"/>
    </row>
    <row r="27" spans="2:117" ht="15" customHeight="1" x14ac:dyDescent="0.25">
      <c r="B27" s="84"/>
      <c r="C27" s="84"/>
      <c r="D27" s="27"/>
      <c r="E27" s="33"/>
      <c r="F27" s="34"/>
      <c r="G27" s="34"/>
      <c r="H27" s="35"/>
      <c r="I27" s="33"/>
      <c r="J27" s="34"/>
      <c r="K27" s="34"/>
      <c r="L27" s="35"/>
      <c r="M27" s="33"/>
      <c r="N27" s="34"/>
      <c r="O27" s="34"/>
      <c r="P27" s="35"/>
      <c r="Q27" s="33"/>
      <c r="R27" s="34"/>
      <c r="S27" s="34"/>
      <c r="T27" s="35"/>
      <c r="U27" s="33"/>
      <c r="V27" s="34"/>
      <c r="W27" s="34"/>
      <c r="X27" s="35"/>
      <c r="Y27" s="33"/>
      <c r="Z27" s="34"/>
      <c r="AA27" s="34"/>
      <c r="AB27" s="35"/>
      <c r="AC27" s="33"/>
      <c r="AD27" s="34"/>
      <c r="AE27" s="34"/>
      <c r="AF27" s="35"/>
      <c r="AG27" s="33"/>
      <c r="AH27" s="34"/>
      <c r="AI27" s="34"/>
      <c r="AJ27" s="35"/>
      <c r="AK27" s="33"/>
      <c r="AL27" s="34"/>
      <c r="AM27" s="34"/>
      <c r="AN27" s="35"/>
      <c r="AO27" s="33"/>
      <c r="AP27" s="34"/>
      <c r="AQ27" s="34"/>
      <c r="AR27" s="35"/>
      <c r="AS27" s="33"/>
      <c r="AT27" s="34"/>
      <c r="AU27" s="34"/>
      <c r="AV27" s="35"/>
      <c r="AW27" s="33"/>
      <c r="AX27" s="34"/>
      <c r="AY27" s="34"/>
      <c r="AZ27" s="35"/>
      <c r="BA27" s="33"/>
      <c r="BB27" s="34"/>
      <c r="BC27" s="34"/>
      <c r="BD27" s="35"/>
      <c r="BE27" s="33"/>
      <c r="BF27" s="34"/>
      <c r="BG27" s="34"/>
      <c r="BH27" s="35"/>
      <c r="BI27" s="33"/>
      <c r="BJ27" s="34"/>
      <c r="BK27" s="34"/>
      <c r="BL27" s="35"/>
      <c r="BM27" s="33"/>
      <c r="BN27" s="34"/>
      <c r="BO27" s="34"/>
      <c r="BP27" s="35"/>
      <c r="BQ27" s="33"/>
      <c r="BR27" s="34"/>
      <c r="BS27" s="34"/>
      <c r="BT27" s="35"/>
      <c r="BU27" s="33"/>
      <c r="BV27" s="34"/>
      <c r="BW27" s="34"/>
      <c r="BX27" s="35"/>
      <c r="BY27" s="33"/>
      <c r="BZ27" s="34"/>
      <c r="CA27" s="34"/>
      <c r="CB27" s="35"/>
      <c r="CC27" s="33"/>
      <c r="CD27" s="34"/>
      <c r="CE27" s="34"/>
      <c r="CF27" s="35"/>
      <c r="CH27" s="81" t="str">
        <f>IF(ISBLANK(B25),"","personas cualificadas")</f>
        <v>personas cualificadas</v>
      </c>
      <c r="CI27" s="81" t="str">
        <f>IF(ISBLANK(B25),"","personas cualificadas")</f>
        <v>personas cualificadas</v>
      </c>
      <c r="CJ27" s="83"/>
      <c r="CK27" s="20"/>
      <c r="CN27"/>
      <c r="CO27"/>
      <c r="CP27"/>
      <c r="CQ27"/>
      <c r="CR27"/>
      <c r="CS27"/>
      <c r="CT27"/>
      <c r="CU27"/>
      <c r="CV27"/>
      <c r="CW27"/>
      <c r="CX27"/>
      <c r="CY27"/>
      <c r="CZ27"/>
      <c r="DA27"/>
      <c r="DL27"/>
      <c r="DM27"/>
    </row>
    <row r="28" spans="2:117" x14ac:dyDescent="0.25">
      <c r="B28" s="84"/>
      <c r="C28" s="84"/>
      <c r="D28" s="27"/>
      <c r="E28" s="69"/>
      <c r="F28" s="70"/>
      <c r="G28" s="70"/>
      <c r="H28" s="71"/>
      <c r="I28" s="69"/>
      <c r="J28" s="70"/>
      <c r="K28" s="70"/>
      <c r="L28" s="71"/>
      <c r="M28" s="69"/>
      <c r="N28" s="70"/>
      <c r="O28" s="70"/>
      <c r="P28" s="71"/>
      <c r="Q28" s="69"/>
      <c r="R28" s="70"/>
      <c r="S28" s="70"/>
      <c r="T28" s="71"/>
      <c r="U28" s="69">
        <v>4</v>
      </c>
      <c r="V28" s="70"/>
      <c r="W28" s="70"/>
      <c r="X28" s="71"/>
      <c r="Y28" s="69"/>
      <c r="Z28" s="70"/>
      <c r="AA28" s="70"/>
      <c r="AB28" s="71"/>
      <c r="AC28" s="69"/>
      <c r="AD28" s="70"/>
      <c r="AE28" s="70"/>
      <c r="AF28" s="71"/>
      <c r="AG28" s="69"/>
      <c r="AH28" s="70"/>
      <c r="AI28" s="70"/>
      <c r="AJ28" s="71"/>
      <c r="AK28" s="69"/>
      <c r="AL28" s="70"/>
      <c r="AM28" s="70"/>
      <c r="AN28" s="71"/>
      <c r="AO28" s="69"/>
      <c r="AP28" s="70"/>
      <c r="AQ28" s="70"/>
      <c r="AR28" s="71"/>
      <c r="AS28" s="69">
        <v>4</v>
      </c>
      <c r="AT28" s="70"/>
      <c r="AU28" s="70"/>
      <c r="AV28" s="71"/>
      <c r="AW28" s="69">
        <v>4</v>
      </c>
      <c r="AX28" s="70"/>
      <c r="AY28" s="70"/>
      <c r="AZ28" s="71"/>
      <c r="BA28" s="69"/>
      <c r="BB28" s="70"/>
      <c r="BC28" s="70"/>
      <c r="BD28" s="71"/>
      <c r="BE28" s="69">
        <v>4</v>
      </c>
      <c r="BF28" s="70"/>
      <c r="BG28" s="70"/>
      <c r="BH28" s="71"/>
      <c r="BI28" s="69">
        <v>4</v>
      </c>
      <c r="BJ28" s="70"/>
      <c r="BK28" s="70"/>
      <c r="BL28" s="71"/>
      <c r="BM28" s="69"/>
      <c r="BN28" s="70"/>
      <c r="BO28" s="70"/>
      <c r="BP28" s="71"/>
      <c r="BQ28" s="69"/>
      <c r="BR28" s="70"/>
      <c r="BS28" s="70"/>
      <c r="BT28" s="71"/>
      <c r="BU28" s="69">
        <v>4</v>
      </c>
      <c r="BV28" s="70"/>
      <c r="BW28" s="70"/>
      <c r="BX28" s="71"/>
      <c r="BY28" s="69">
        <v>2</v>
      </c>
      <c r="BZ28" s="70"/>
      <c r="CA28" s="70"/>
      <c r="CB28" s="71"/>
      <c r="CC28" s="69"/>
      <c r="CD28" s="70"/>
      <c r="CE28" s="70"/>
      <c r="CF28" s="71"/>
      <c r="CG28" s="38"/>
      <c r="CH28" s="82"/>
      <c r="CI28" s="82"/>
      <c r="CJ28" s="83"/>
      <c r="CK28" s="20"/>
      <c r="CN28"/>
      <c r="CO28"/>
      <c r="CP28"/>
      <c r="CQ28"/>
      <c r="CR28"/>
      <c r="CS28"/>
      <c r="CT28"/>
      <c r="CU28"/>
      <c r="CV28"/>
      <c r="CW28"/>
      <c r="CX28"/>
      <c r="CY28"/>
      <c r="CZ28"/>
      <c r="DA28"/>
      <c r="DL28"/>
      <c r="DM28"/>
    </row>
    <row r="29" spans="2:117" ht="6" customHeight="1" x14ac:dyDescent="0.25">
      <c r="B29" s="84" t="s">
        <v>54</v>
      </c>
      <c r="C29" s="84"/>
      <c r="D29" s="27"/>
      <c r="E29" s="28"/>
      <c r="F29" s="29"/>
      <c r="G29" s="29"/>
      <c r="H29" s="30"/>
      <c r="I29" s="28"/>
      <c r="J29" s="29"/>
      <c r="K29" s="29"/>
      <c r="L29" s="30"/>
      <c r="M29" s="28"/>
      <c r="N29" s="29"/>
      <c r="O29" s="29"/>
      <c r="P29" s="30"/>
      <c r="Q29" s="28"/>
      <c r="R29" s="29"/>
      <c r="S29" s="29"/>
      <c r="T29" s="30"/>
      <c r="U29" s="28"/>
      <c r="V29" s="29"/>
      <c r="W29" s="29"/>
      <c r="X29" s="30"/>
      <c r="Y29" s="28"/>
      <c r="Z29" s="29"/>
      <c r="AA29" s="29"/>
      <c r="AB29" s="30"/>
      <c r="AC29" s="28"/>
      <c r="AD29" s="29"/>
      <c r="AE29" s="29"/>
      <c r="AF29" s="30"/>
      <c r="AG29" s="28"/>
      <c r="AH29" s="29"/>
      <c r="AI29" s="29"/>
      <c r="AJ29" s="30"/>
      <c r="AK29" s="28"/>
      <c r="AL29" s="29"/>
      <c r="AM29" s="29"/>
      <c r="AN29" s="30"/>
      <c r="AO29" s="28"/>
      <c r="AP29" s="29"/>
      <c r="AQ29" s="29"/>
      <c r="AR29" s="30"/>
      <c r="AS29" s="28"/>
      <c r="AT29" s="29"/>
      <c r="AU29" s="29"/>
      <c r="AV29" s="30"/>
      <c r="AW29" s="28"/>
      <c r="AX29" s="29"/>
      <c r="AY29" s="29"/>
      <c r="AZ29" s="30"/>
      <c r="BA29" s="28"/>
      <c r="BB29" s="29"/>
      <c r="BC29" s="29"/>
      <c r="BD29" s="30"/>
      <c r="BE29" s="28"/>
      <c r="BF29" s="29"/>
      <c r="BG29" s="29"/>
      <c r="BH29" s="30"/>
      <c r="BI29" s="28"/>
      <c r="BJ29" s="29"/>
      <c r="BK29" s="29"/>
      <c r="BL29" s="30"/>
      <c r="BM29" s="28"/>
      <c r="BN29" s="29"/>
      <c r="BO29" s="29"/>
      <c r="BP29" s="30"/>
      <c r="BQ29" s="28"/>
      <c r="BR29" s="29"/>
      <c r="BS29" s="29"/>
      <c r="BT29" s="30"/>
      <c r="BU29" s="28"/>
      <c r="BV29" s="29"/>
      <c r="BW29" s="29"/>
      <c r="BX29" s="30"/>
      <c r="BY29" s="28"/>
      <c r="BZ29" s="29"/>
      <c r="CA29" s="29"/>
      <c r="CB29" s="30"/>
      <c r="CC29" s="28"/>
      <c r="CD29" s="29"/>
      <c r="CE29" s="29"/>
      <c r="CF29" s="30"/>
      <c r="CH29" s="31"/>
      <c r="CI29" s="32"/>
      <c r="CJ29" s="83">
        <f>IF(ISBLANK(B29),"",IF(CI30&gt;=CH30,3,IF(CI30=(CH30-1),2,1)))</f>
        <v>3</v>
      </c>
      <c r="CK29" s="20"/>
      <c r="CN29"/>
      <c r="CO29"/>
      <c r="CP29"/>
      <c r="CQ29"/>
      <c r="CR29"/>
      <c r="CS29"/>
      <c r="CT29"/>
      <c r="CU29"/>
      <c r="CV29"/>
      <c r="CW29"/>
      <c r="CX29"/>
      <c r="CY29"/>
      <c r="CZ29"/>
      <c r="DA29"/>
      <c r="DL29"/>
      <c r="DM29"/>
    </row>
    <row r="30" spans="2:117" ht="15" customHeight="1" x14ac:dyDescent="0.25">
      <c r="B30" s="84"/>
      <c r="C30" s="84"/>
      <c r="D30" s="27"/>
      <c r="E30" s="33"/>
      <c r="F30" s="34"/>
      <c r="G30" s="34"/>
      <c r="H30" s="35"/>
      <c r="I30" s="33"/>
      <c r="J30" s="34"/>
      <c r="K30" s="34"/>
      <c r="L30" s="35"/>
      <c r="M30" s="33"/>
      <c r="N30" s="34"/>
      <c r="O30" s="34"/>
      <c r="P30" s="35"/>
      <c r="Q30" s="33"/>
      <c r="R30" s="34"/>
      <c r="S30" s="34"/>
      <c r="T30" s="35"/>
      <c r="U30" s="33"/>
      <c r="V30" s="34"/>
      <c r="W30" s="34"/>
      <c r="X30" s="35"/>
      <c r="Y30" s="33"/>
      <c r="Z30" s="34"/>
      <c r="AA30" s="34"/>
      <c r="AB30" s="35"/>
      <c r="AC30" s="33"/>
      <c r="AD30" s="34"/>
      <c r="AE30" s="34"/>
      <c r="AF30" s="35"/>
      <c r="AG30" s="33"/>
      <c r="AH30" s="34"/>
      <c r="AI30" s="34"/>
      <c r="AJ30" s="35"/>
      <c r="AK30" s="33"/>
      <c r="AL30" s="34"/>
      <c r="AM30" s="34"/>
      <c r="AN30" s="35"/>
      <c r="AO30" s="33"/>
      <c r="AP30" s="34"/>
      <c r="AQ30" s="34"/>
      <c r="AR30" s="35"/>
      <c r="AS30" s="33"/>
      <c r="AT30" s="34"/>
      <c r="AU30" s="34"/>
      <c r="AV30" s="35"/>
      <c r="AW30" s="33"/>
      <c r="AX30" s="34"/>
      <c r="AY30" s="34"/>
      <c r="AZ30" s="35"/>
      <c r="BA30" s="33"/>
      <c r="BB30" s="34"/>
      <c r="BC30" s="34"/>
      <c r="BD30" s="35"/>
      <c r="BE30" s="33"/>
      <c r="BF30" s="34"/>
      <c r="BG30" s="34"/>
      <c r="BH30" s="35"/>
      <c r="BI30" s="33"/>
      <c r="BJ30" s="34"/>
      <c r="BK30" s="34"/>
      <c r="BL30" s="35"/>
      <c r="BM30" s="33"/>
      <c r="BN30" s="34"/>
      <c r="BO30" s="34"/>
      <c r="BP30" s="35"/>
      <c r="BQ30" s="33"/>
      <c r="BR30" s="34"/>
      <c r="BS30" s="34"/>
      <c r="BT30" s="35"/>
      <c r="BU30" s="33"/>
      <c r="BV30" s="34"/>
      <c r="BW30" s="34"/>
      <c r="BX30" s="35"/>
      <c r="BY30" s="33"/>
      <c r="BZ30" s="34"/>
      <c r="CA30" s="34"/>
      <c r="CB30" s="35"/>
      <c r="CC30" s="33"/>
      <c r="CD30" s="34"/>
      <c r="CE30" s="34"/>
      <c r="CF30" s="35"/>
      <c r="CH30" s="36">
        <v>8</v>
      </c>
      <c r="CI30" s="37">
        <f>IF(ISBLANK(B29),"",COUNTIF(B32:CF32,"&gt;=3"))</f>
        <v>10</v>
      </c>
      <c r="CJ30" s="83"/>
      <c r="CK30" s="20"/>
      <c r="CN30"/>
      <c r="CO30"/>
      <c r="CP30"/>
      <c r="CQ30"/>
      <c r="CR30"/>
      <c r="CS30"/>
      <c r="CT30"/>
      <c r="CU30"/>
      <c r="CV30"/>
      <c r="CW30"/>
      <c r="CX30"/>
      <c r="CY30"/>
      <c r="CZ30"/>
      <c r="DA30"/>
      <c r="DL30"/>
      <c r="DM30"/>
    </row>
    <row r="31" spans="2:117" ht="15" customHeight="1" x14ac:dyDescent="0.25">
      <c r="B31" s="84"/>
      <c r="C31" s="84"/>
      <c r="D31" s="27"/>
      <c r="E31" s="33"/>
      <c r="F31" s="34"/>
      <c r="G31" s="34"/>
      <c r="H31" s="35"/>
      <c r="I31" s="33"/>
      <c r="J31" s="34"/>
      <c r="K31" s="34"/>
      <c r="L31" s="35"/>
      <c r="M31" s="33"/>
      <c r="N31" s="34"/>
      <c r="O31" s="34"/>
      <c r="P31" s="35"/>
      <c r="Q31" s="33"/>
      <c r="R31" s="34"/>
      <c r="S31" s="34"/>
      <c r="T31" s="35"/>
      <c r="U31" s="33"/>
      <c r="V31" s="34"/>
      <c r="W31" s="34"/>
      <c r="X31" s="35"/>
      <c r="Y31" s="33"/>
      <c r="Z31" s="34"/>
      <c r="AA31" s="34"/>
      <c r="AB31" s="35"/>
      <c r="AC31" s="33"/>
      <c r="AD31" s="34"/>
      <c r="AE31" s="34"/>
      <c r="AF31" s="35"/>
      <c r="AG31" s="33"/>
      <c r="AH31" s="34"/>
      <c r="AI31" s="34"/>
      <c r="AJ31" s="35"/>
      <c r="AK31" s="33"/>
      <c r="AL31" s="34"/>
      <c r="AM31" s="34"/>
      <c r="AN31" s="35"/>
      <c r="AO31" s="33"/>
      <c r="AP31" s="34"/>
      <c r="AQ31" s="34"/>
      <c r="AR31" s="35"/>
      <c r="AS31" s="33"/>
      <c r="AT31" s="34"/>
      <c r="AU31" s="34"/>
      <c r="AV31" s="35"/>
      <c r="AW31" s="33"/>
      <c r="AX31" s="34"/>
      <c r="AY31" s="34"/>
      <c r="AZ31" s="35"/>
      <c r="BA31" s="33"/>
      <c r="BB31" s="34"/>
      <c r="BC31" s="34"/>
      <c r="BD31" s="35"/>
      <c r="BE31" s="33"/>
      <c r="BF31" s="34"/>
      <c r="BG31" s="34"/>
      <c r="BH31" s="35"/>
      <c r="BI31" s="33"/>
      <c r="BJ31" s="34"/>
      <c r="BK31" s="34"/>
      <c r="BL31" s="35"/>
      <c r="BM31" s="33"/>
      <c r="BN31" s="34"/>
      <c r="BO31" s="34"/>
      <c r="BP31" s="35"/>
      <c r="BQ31" s="33"/>
      <c r="BR31" s="34"/>
      <c r="BS31" s="34"/>
      <c r="BT31" s="35"/>
      <c r="BU31" s="33"/>
      <c r="BV31" s="34"/>
      <c r="BW31" s="34"/>
      <c r="BX31" s="35"/>
      <c r="BY31" s="33"/>
      <c r="BZ31" s="34"/>
      <c r="CA31" s="34"/>
      <c r="CB31" s="35"/>
      <c r="CC31" s="33"/>
      <c r="CD31" s="34"/>
      <c r="CE31" s="34"/>
      <c r="CF31" s="35"/>
      <c r="CH31" s="81" t="str">
        <f>IF(ISBLANK(B29),"","personas cualificadas")</f>
        <v>personas cualificadas</v>
      </c>
      <c r="CI31" s="81" t="str">
        <f>IF(ISBLANK(B29),"","personas cualificadas")</f>
        <v>personas cualificadas</v>
      </c>
      <c r="CJ31" s="83"/>
      <c r="CK31" s="20"/>
      <c r="CN31"/>
      <c r="CO31"/>
      <c r="CP31"/>
      <c r="CQ31"/>
      <c r="CR31"/>
      <c r="CS31"/>
      <c r="CT31"/>
      <c r="CU31"/>
      <c r="CV31"/>
      <c r="CW31"/>
      <c r="CX31"/>
      <c r="CY31"/>
      <c r="CZ31"/>
      <c r="DA31"/>
      <c r="DL31"/>
      <c r="DM31"/>
    </row>
    <row r="32" spans="2:117" ht="14.45" customHeight="1" x14ac:dyDescent="0.25">
      <c r="B32" s="84"/>
      <c r="C32" s="84"/>
      <c r="D32" s="27"/>
      <c r="E32" s="69">
        <v>1</v>
      </c>
      <c r="F32" s="70"/>
      <c r="G32" s="70"/>
      <c r="H32" s="71"/>
      <c r="I32" s="69">
        <v>4</v>
      </c>
      <c r="J32" s="70"/>
      <c r="K32" s="70"/>
      <c r="L32" s="71"/>
      <c r="M32" s="69">
        <v>4</v>
      </c>
      <c r="N32" s="70"/>
      <c r="O32" s="70"/>
      <c r="P32" s="71"/>
      <c r="Q32" s="69">
        <v>3</v>
      </c>
      <c r="R32" s="70"/>
      <c r="S32" s="70"/>
      <c r="T32" s="71"/>
      <c r="U32" s="69">
        <v>3</v>
      </c>
      <c r="V32" s="70"/>
      <c r="W32" s="70"/>
      <c r="X32" s="71"/>
      <c r="Y32" s="69"/>
      <c r="Z32" s="70"/>
      <c r="AA32" s="70"/>
      <c r="AB32" s="71"/>
      <c r="AC32" s="69">
        <v>4</v>
      </c>
      <c r="AD32" s="70"/>
      <c r="AE32" s="70"/>
      <c r="AF32" s="71"/>
      <c r="AG32" s="69"/>
      <c r="AH32" s="70"/>
      <c r="AI32" s="70"/>
      <c r="AJ32" s="71"/>
      <c r="AK32" s="69"/>
      <c r="AL32" s="70"/>
      <c r="AM32" s="70"/>
      <c r="AN32" s="71"/>
      <c r="AO32" s="69"/>
      <c r="AP32" s="70"/>
      <c r="AQ32" s="70"/>
      <c r="AR32" s="71"/>
      <c r="AS32" s="69"/>
      <c r="AT32" s="70"/>
      <c r="AU32" s="70"/>
      <c r="AV32" s="71"/>
      <c r="AW32" s="69">
        <v>3</v>
      </c>
      <c r="AX32" s="70"/>
      <c r="AY32" s="70"/>
      <c r="AZ32" s="71"/>
      <c r="BA32" s="69"/>
      <c r="BB32" s="70"/>
      <c r="BC32" s="70"/>
      <c r="BD32" s="71"/>
      <c r="BE32" s="69">
        <v>2</v>
      </c>
      <c r="BF32" s="70"/>
      <c r="BG32" s="70"/>
      <c r="BH32" s="71"/>
      <c r="BI32" s="69">
        <v>2</v>
      </c>
      <c r="BJ32" s="70"/>
      <c r="BK32" s="70"/>
      <c r="BL32" s="71"/>
      <c r="BM32" s="69">
        <v>4</v>
      </c>
      <c r="BN32" s="70"/>
      <c r="BO32" s="70"/>
      <c r="BP32" s="71"/>
      <c r="BQ32" s="69">
        <v>3</v>
      </c>
      <c r="BR32" s="70"/>
      <c r="BS32" s="70"/>
      <c r="BT32" s="71"/>
      <c r="BU32" s="69">
        <v>4</v>
      </c>
      <c r="BV32" s="70"/>
      <c r="BW32" s="70"/>
      <c r="BX32" s="71"/>
      <c r="BY32" s="69">
        <v>4</v>
      </c>
      <c r="BZ32" s="70"/>
      <c r="CA32" s="70"/>
      <c r="CB32" s="71"/>
      <c r="CC32" s="69"/>
      <c r="CD32" s="70"/>
      <c r="CE32" s="70"/>
      <c r="CF32" s="71"/>
      <c r="CG32" s="38"/>
      <c r="CH32" s="82"/>
      <c r="CI32" s="82"/>
      <c r="CJ32" s="83"/>
      <c r="CK32" s="20"/>
      <c r="CN32"/>
      <c r="CO32"/>
      <c r="CP32"/>
      <c r="CQ32"/>
      <c r="CR32"/>
      <c r="CS32"/>
      <c r="CT32"/>
      <c r="CU32"/>
      <c r="CV32"/>
      <c r="CW32"/>
      <c r="CX32"/>
      <c r="CY32"/>
      <c r="CZ32"/>
      <c r="DA32"/>
      <c r="DL32"/>
      <c r="DM32"/>
    </row>
    <row r="33" spans="2:117" ht="6" customHeight="1" x14ac:dyDescent="0.25">
      <c r="B33" s="84" t="s">
        <v>55</v>
      </c>
      <c r="C33" s="84"/>
      <c r="D33" s="27"/>
      <c r="E33" s="28"/>
      <c r="F33" s="29"/>
      <c r="G33" s="29"/>
      <c r="H33" s="30"/>
      <c r="I33" s="28"/>
      <c r="J33" s="29"/>
      <c r="K33" s="29"/>
      <c r="L33" s="30"/>
      <c r="M33" s="28"/>
      <c r="N33" s="29"/>
      <c r="O33" s="29"/>
      <c r="P33" s="30"/>
      <c r="Q33" s="28"/>
      <c r="R33" s="29"/>
      <c r="S33" s="29"/>
      <c r="T33" s="30"/>
      <c r="U33" s="28"/>
      <c r="V33" s="29"/>
      <c r="W33" s="29"/>
      <c r="X33" s="30"/>
      <c r="Y33" s="28"/>
      <c r="Z33" s="29"/>
      <c r="AA33" s="29"/>
      <c r="AB33" s="30"/>
      <c r="AC33" s="28"/>
      <c r="AD33" s="29"/>
      <c r="AE33" s="29"/>
      <c r="AF33" s="30"/>
      <c r="AG33" s="28"/>
      <c r="AH33" s="29"/>
      <c r="AI33" s="29"/>
      <c r="AJ33" s="30"/>
      <c r="AK33" s="28"/>
      <c r="AL33" s="29"/>
      <c r="AM33" s="29"/>
      <c r="AN33" s="30"/>
      <c r="AO33" s="28"/>
      <c r="AP33" s="29"/>
      <c r="AQ33" s="29"/>
      <c r="AR33" s="30"/>
      <c r="AS33" s="28"/>
      <c r="AT33" s="29"/>
      <c r="AU33" s="29"/>
      <c r="AV33" s="30"/>
      <c r="AW33" s="28"/>
      <c r="AX33" s="29"/>
      <c r="AY33" s="29"/>
      <c r="AZ33" s="30"/>
      <c r="BA33" s="28"/>
      <c r="BB33" s="29"/>
      <c r="BC33" s="29"/>
      <c r="BD33" s="30"/>
      <c r="BE33" s="28"/>
      <c r="BF33" s="29"/>
      <c r="BG33" s="29"/>
      <c r="BH33" s="30"/>
      <c r="BI33" s="28"/>
      <c r="BJ33" s="29"/>
      <c r="BK33" s="29"/>
      <c r="BL33" s="30"/>
      <c r="BM33" s="28"/>
      <c r="BN33" s="29"/>
      <c r="BO33" s="29"/>
      <c r="BP33" s="30"/>
      <c r="BQ33" s="28"/>
      <c r="BR33" s="29"/>
      <c r="BS33" s="29"/>
      <c r="BT33" s="30"/>
      <c r="BU33" s="28"/>
      <c r="BV33" s="29"/>
      <c r="BW33" s="29"/>
      <c r="BX33" s="30"/>
      <c r="BY33" s="28"/>
      <c r="BZ33" s="29"/>
      <c r="CA33" s="29"/>
      <c r="CB33" s="30"/>
      <c r="CC33" s="28"/>
      <c r="CD33" s="29"/>
      <c r="CE33" s="29"/>
      <c r="CF33" s="30"/>
      <c r="CH33" s="31"/>
      <c r="CI33" s="32"/>
      <c r="CJ33" s="83">
        <f>IF(ISBLANK(B33),"",IF(CI34&gt;=CH34,3,IF(CI34=(CH34-1),2,1)))</f>
        <v>3</v>
      </c>
      <c r="CK33" s="20"/>
      <c r="CN33"/>
      <c r="CO33"/>
      <c r="CP33"/>
      <c r="CQ33"/>
      <c r="CR33"/>
      <c r="CS33"/>
      <c r="CT33"/>
      <c r="CU33"/>
      <c r="CV33"/>
      <c r="CW33"/>
      <c r="CX33"/>
      <c r="CY33"/>
      <c r="CZ33"/>
      <c r="DA33"/>
      <c r="DL33"/>
      <c r="DM33"/>
    </row>
    <row r="34" spans="2:117" ht="15" customHeight="1" x14ac:dyDescent="0.25">
      <c r="B34" s="84"/>
      <c r="C34" s="84"/>
      <c r="D34" s="27"/>
      <c r="E34" s="33"/>
      <c r="F34" s="34"/>
      <c r="G34" s="34"/>
      <c r="H34" s="35"/>
      <c r="I34" s="33"/>
      <c r="J34" s="34"/>
      <c r="K34" s="34"/>
      <c r="L34" s="35"/>
      <c r="M34" s="33"/>
      <c r="N34" s="34"/>
      <c r="O34" s="34"/>
      <c r="P34" s="35"/>
      <c r="Q34" s="33"/>
      <c r="R34" s="34"/>
      <c r="S34" s="34"/>
      <c r="T34" s="35"/>
      <c r="U34" s="33"/>
      <c r="V34" s="34"/>
      <c r="W34" s="34"/>
      <c r="X34" s="35"/>
      <c r="Y34" s="33"/>
      <c r="Z34" s="34"/>
      <c r="AA34" s="34"/>
      <c r="AB34" s="35"/>
      <c r="AC34" s="33"/>
      <c r="AD34" s="34"/>
      <c r="AE34" s="34"/>
      <c r="AF34" s="35"/>
      <c r="AG34" s="33"/>
      <c r="AH34" s="34"/>
      <c r="AI34" s="34"/>
      <c r="AJ34" s="35"/>
      <c r="AK34" s="33"/>
      <c r="AL34" s="34"/>
      <c r="AM34" s="34"/>
      <c r="AN34" s="35"/>
      <c r="AO34" s="33"/>
      <c r="AP34" s="34"/>
      <c r="AQ34" s="34"/>
      <c r="AR34" s="35"/>
      <c r="AS34" s="33"/>
      <c r="AT34" s="34"/>
      <c r="AU34" s="34"/>
      <c r="AV34" s="35"/>
      <c r="AW34" s="33"/>
      <c r="AX34" s="34"/>
      <c r="AY34" s="34"/>
      <c r="AZ34" s="35"/>
      <c r="BA34" s="33"/>
      <c r="BB34" s="34"/>
      <c r="BC34" s="34"/>
      <c r="BD34" s="35"/>
      <c r="BE34" s="33"/>
      <c r="BF34" s="34"/>
      <c r="BG34" s="34"/>
      <c r="BH34" s="35"/>
      <c r="BI34" s="33"/>
      <c r="BJ34" s="34"/>
      <c r="BK34" s="34"/>
      <c r="BL34" s="35"/>
      <c r="BM34" s="33"/>
      <c r="BN34" s="34"/>
      <c r="BO34" s="34"/>
      <c r="BP34" s="35"/>
      <c r="BQ34" s="33"/>
      <c r="BR34" s="34"/>
      <c r="BS34" s="34"/>
      <c r="BT34" s="35"/>
      <c r="BU34" s="33"/>
      <c r="BV34" s="34"/>
      <c r="BW34" s="34"/>
      <c r="BX34" s="35"/>
      <c r="BY34" s="33"/>
      <c r="BZ34" s="34"/>
      <c r="CA34" s="34"/>
      <c r="CB34" s="35"/>
      <c r="CC34" s="33"/>
      <c r="CD34" s="34"/>
      <c r="CE34" s="34"/>
      <c r="CF34" s="35"/>
      <c r="CH34" s="36">
        <v>8</v>
      </c>
      <c r="CI34" s="37">
        <f>IF(ISBLANK(B33),"",COUNTIF(B36:CF36,"&gt;=3"))</f>
        <v>10</v>
      </c>
      <c r="CJ34" s="83"/>
      <c r="CK34" s="20"/>
      <c r="CN34"/>
      <c r="CO34"/>
      <c r="CP34"/>
      <c r="CQ34"/>
      <c r="CR34"/>
      <c r="CS34"/>
      <c r="CT34"/>
      <c r="CU34"/>
      <c r="CV34"/>
      <c r="CW34"/>
      <c r="CX34"/>
      <c r="CY34"/>
      <c r="CZ34"/>
      <c r="DA34"/>
      <c r="DL34"/>
      <c r="DM34"/>
    </row>
    <row r="35" spans="2:117" ht="15" customHeight="1" x14ac:dyDescent="0.25">
      <c r="B35" s="84"/>
      <c r="C35" s="84"/>
      <c r="D35" s="27"/>
      <c r="E35" s="33"/>
      <c r="F35" s="34"/>
      <c r="G35" s="34"/>
      <c r="H35" s="35"/>
      <c r="I35" s="33"/>
      <c r="J35" s="34"/>
      <c r="K35" s="34"/>
      <c r="L35" s="35"/>
      <c r="M35" s="33"/>
      <c r="N35" s="34"/>
      <c r="O35" s="34"/>
      <c r="P35" s="35"/>
      <c r="Q35" s="33"/>
      <c r="R35" s="34"/>
      <c r="S35" s="34"/>
      <c r="T35" s="35"/>
      <c r="U35" s="33"/>
      <c r="V35" s="34"/>
      <c r="W35" s="34"/>
      <c r="X35" s="35"/>
      <c r="Y35" s="33"/>
      <c r="Z35" s="34"/>
      <c r="AA35" s="34"/>
      <c r="AB35" s="35"/>
      <c r="AC35" s="33"/>
      <c r="AD35" s="34"/>
      <c r="AE35" s="34"/>
      <c r="AF35" s="35"/>
      <c r="AG35" s="33"/>
      <c r="AH35" s="34"/>
      <c r="AI35" s="34"/>
      <c r="AJ35" s="35"/>
      <c r="AK35" s="33"/>
      <c r="AL35" s="34"/>
      <c r="AM35" s="34"/>
      <c r="AN35" s="35"/>
      <c r="AO35" s="33"/>
      <c r="AP35" s="34"/>
      <c r="AQ35" s="34"/>
      <c r="AR35" s="35"/>
      <c r="AS35" s="33"/>
      <c r="AT35" s="34"/>
      <c r="AU35" s="34"/>
      <c r="AV35" s="35"/>
      <c r="AW35" s="33"/>
      <c r="AX35" s="34"/>
      <c r="AY35" s="34"/>
      <c r="AZ35" s="35"/>
      <c r="BA35" s="33"/>
      <c r="BB35" s="34"/>
      <c r="BC35" s="34"/>
      <c r="BD35" s="35"/>
      <c r="BE35" s="33"/>
      <c r="BF35" s="34"/>
      <c r="BG35" s="34"/>
      <c r="BH35" s="35"/>
      <c r="BI35" s="33"/>
      <c r="BJ35" s="34"/>
      <c r="BK35" s="34"/>
      <c r="BL35" s="35"/>
      <c r="BM35" s="33"/>
      <c r="BN35" s="34"/>
      <c r="BO35" s="34"/>
      <c r="BP35" s="35"/>
      <c r="BQ35" s="33"/>
      <c r="BR35" s="34"/>
      <c r="BS35" s="34"/>
      <c r="BT35" s="35"/>
      <c r="BU35" s="33"/>
      <c r="BV35" s="34"/>
      <c r="BW35" s="34"/>
      <c r="BX35" s="35"/>
      <c r="BY35" s="33"/>
      <c r="BZ35" s="34"/>
      <c r="CA35" s="34"/>
      <c r="CB35" s="35"/>
      <c r="CC35" s="33"/>
      <c r="CD35" s="34"/>
      <c r="CE35" s="34"/>
      <c r="CF35" s="35"/>
      <c r="CH35" s="81" t="str">
        <f>IF(ISBLANK(B33),"","personas cualificadas")</f>
        <v>personas cualificadas</v>
      </c>
      <c r="CI35" s="81" t="str">
        <f>IF(ISBLANK(B33),"","personas cualificadas")</f>
        <v>personas cualificadas</v>
      </c>
      <c r="CJ35" s="83"/>
      <c r="CK35" s="20"/>
      <c r="CN35"/>
      <c r="CO35"/>
      <c r="CP35"/>
      <c r="CQ35"/>
      <c r="CR35"/>
      <c r="CS35"/>
      <c r="CT35"/>
      <c r="CU35"/>
      <c r="CV35"/>
      <c r="CW35"/>
      <c r="CX35"/>
      <c r="CY35"/>
      <c r="CZ35"/>
      <c r="DA35"/>
      <c r="DL35"/>
      <c r="DM35"/>
    </row>
    <row r="36" spans="2:117" ht="14.45" customHeight="1" x14ac:dyDescent="0.25">
      <c r="B36" s="84"/>
      <c r="C36" s="84"/>
      <c r="D36" s="27"/>
      <c r="E36" s="69">
        <v>1</v>
      </c>
      <c r="F36" s="70"/>
      <c r="G36" s="70"/>
      <c r="H36" s="71"/>
      <c r="I36" s="69">
        <v>4</v>
      </c>
      <c r="J36" s="70"/>
      <c r="K36" s="70"/>
      <c r="L36" s="71"/>
      <c r="M36" s="69">
        <v>4</v>
      </c>
      <c r="N36" s="70"/>
      <c r="O36" s="70"/>
      <c r="P36" s="71"/>
      <c r="Q36" s="69">
        <v>3</v>
      </c>
      <c r="R36" s="70"/>
      <c r="S36" s="70"/>
      <c r="T36" s="71"/>
      <c r="U36" s="69">
        <v>4</v>
      </c>
      <c r="V36" s="70"/>
      <c r="W36" s="70"/>
      <c r="X36" s="71"/>
      <c r="Y36" s="69"/>
      <c r="Z36" s="70"/>
      <c r="AA36" s="70"/>
      <c r="AB36" s="71"/>
      <c r="AC36" s="69">
        <v>4</v>
      </c>
      <c r="AD36" s="70"/>
      <c r="AE36" s="70"/>
      <c r="AF36" s="71"/>
      <c r="AG36" s="69"/>
      <c r="AH36" s="70"/>
      <c r="AI36" s="70"/>
      <c r="AJ36" s="71"/>
      <c r="AK36" s="69"/>
      <c r="AL36" s="70"/>
      <c r="AM36" s="70"/>
      <c r="AN36" s="71"/>
      <c r="AO36" s="69"/>
      <c r="AP36" s="70"/>
      <c r="AQ36" s="70"/>
      <c r="AR36" s="71"/>
      <c r="AS36" s="69"/>
      <c r="AT36" s="70"/>
      <c r="AU36" s="70"/>
      <c r="AV36" s="71"/>
      <c r="AW36" s="69">
        <v>4</v>
      </c>
      <c r="AX36" s="70"/>
      <c r="AY36" s="70"/>
      <c r="AZ36" s="71"/>
      <c r="BA36" s="69"/>
      <c r="BB36" s="70"/>
      <c r="BC36" s="70"/>
      <c r="BD36" s="71"/>
      <c r="BE36" s="69">
        <v>2</v>
      </c>
      <c r="BF36" s="70"/>
      <c r="BG36" s="70"/>
      <c r="BH36" s="71"/>
      <c r="BI36" s="69">
        <v>2</v>
      </c>
      <c r="BJ36" s="70"/>
      <c r="BK36" s="70"/>
      <c r="BL36" s="71"/>
      <c r="BM36" s="69">
        <v>4</v>
      </c>
      <c r="BN36" s="70"/>
      <c r="BO36" s="70"/>
      <c r="BP36" s="71"/>
      <c r="BQ36" s="69">
        <v>3</v>
      </c>
      <c r="BR36" s="70"/>
      <c r="BS36" s="70"/>
      <c r="BT36" s="71"/>
      <c r="BU36" s="69">
        <v>4</v>
      </c>
      <c r="BV36" s="70"/>
      <c r="BW36" s="70"/>
      <c r="BX36" s="71"/>
      <c r="BY36" s="69">
        <v>4</v>
      </c>
      <c r="BZ36" s="70"/>
      <c r="CA36" s="70"/>
      <c r="CB36" s="71"/>
      <c r="CC36" s="69"/>
      <c r="CD36" s="70"/>
      <c r="CE36" s="70"/>
      <c r="CF36" s="71"/>
      <c r="CG36" s="38"/>
      <c r="CH36" s="82"/>
      <c r="CI36" s="82"/>
      <c r="CJ36" s="83"/>
      <c r="CK36" s="20"/>
      <c r="CN36"/>
      <c r="CO36"/>
      <c r="CP36"/>
      <c r="CQ36"/>
      <c r="CR36"/>
      <c r="CS36"/>
      <c r="CT36"/>
      <c r="CU36"/>
      <c r="CV36"/>
      <c r="CW36"/>
      <c r="CX36"/>
      <c r="CY36"/>
      <c r="CZ36"/>
      <c r="DA36"/>
      <c r="DL36"/>
      <c r="DM36"/>
    </row>
    <row r="37" spans="2:117" ht="6" customHeight="1" x14ac:dyDescent="0.25">
      <c r="B37" s="84" t="s">
        <v>56</v>
      </c>
      <c r="C37" s="84"/>
      <c r="D37" s="27"/>
      <c r="E37" s="28"/>
      <c r="F37" s="29"/>
      <c r="G37" s="29"/>
      <c r="H37" s="30"/>
      <c r="I37" s="28"/>
      <c r="J37" s="29"/>
      <c r="K37" s="29"/>
      <c r="L37" s="30"/>
      <c r="M37" s="28"/>
      <c r="N37" s="29"/>
      <c r="O37" s="29"/>
      <c r="P37" s="30"/>
      <c r="Q37" s="28"/>
      <c r="R37" s="29"/>
      <c r="S37" s="29"/>
      <c r="T37" s="30"/>
      <c r="U37" s="28"/>
      <c r="V37" s="29"/>
      <c r="W37" s="29"/>
      <c r="X37" s="30"/>
      <c r="Y37" s="28"/>
      <c r="Z37" s="29"/>
      <c r="AA37" s="29"/>
      <c r="AB37" s="30"/>
      <c r="AC37" s="28"/>
      <c r="AD37" s="29"/>
      <c r="AE37" s="29"/>
      <c r="AF37" s="30"/>
      <c r="AG37" s="28"/>
      <c r="AH37" s="29"/>
      <c r="AI37" s="29"/>
      <c r="AJ37" s="30"/>
      <c r="AK37" s="28"/>
      <c r="AL37" s="29"/>
      <c r="AM37" s="29"/>
      <c r="AN37" s="30"/>
      <c r="AO37" s="28"/>
      <c r="AP37" s="29"/>
      <c r="AQ37" s="29"/>
      <c r="AR37" s="30"/>
      <c r="AS37" s="28"/>
      <c r="AT37" s="29"/>
      <c r="AU37" s="29"/>
      <c r="AV37" s="30"/>
      <c r="AW37" s="28"/>
      <c r="AX37" s="29"/>
      <c r="AY37" s="29"/>
      <c r="AZ37" s="30"/>
      <c r="BA37" s="28"/>
      <c r="BB37" s="29"/>
      <c r="BC37" s="29"/>
      <c r="BD37" s="30"/>
      <c r="BE37" s="28"/>
      <c r="BF37" s="29"/>
      <c r="BG37" s="29"/>
      <c r="BH37" s="30"/>
      <c r="BI37" s="28"/>
      <c r="BJ37" s="29"/>
      <c r="BK37" s="29"/>
      <c r="BL37" s="30"/>
      <c r="BM37" s="28"/>
      <c r="BN37" s="29"/>
      <c r="BO37" s="29"/>
      <c r="BP37" s="30"/>
      <c r="BQ37" s="28"/>
      <c r="BR37" s="29"/>
      <c r="BS37" s="29"/>
      <c r="BT37" s="30"/>
      <c r="BU37" s="28"/>
      <c r="BV37" s="29"/>
      <c r="BW37" s="29"/>
      <c r="BX37" s="30"/>
      <c r="BY37" s="28"/>
      <c r="BZ37" s="29"/>
      <c r="CA37" s="29"/>
      <c r="CB37" s="30"/>
      <c r="CC37" s="28"/>
      <c r="CD37" s="29"/>
      <c r="CE37" s="29"/>
      <c r="CF37" s="30"/>
      <c r="CH37" s="31"/>
      <c r="CI37" s="31"/>
      <c r="CJ37" s="83">
        <f>IF(ISBLANK(B37),"",IF(CI38&gt;=CH38,3,IF(CI38=(CH38-1),2,1)))</f>
        <v>3</v>
      </c>
      <c r="CK37" s="20"/>
      <c r="CN37"/>
      <c r="CO37"/>
      <c r="CP37"/>
      <c r="CQ37"/>
      <c r="CR37"/>
      <c r="CS37"/>
      <c r="CT37"/>
      <c r="CU37"/>
      <c r="CV37"/>
      <c r="CW37"/>
      <c r="CX37"/>
      <c r="CY37"/>
      <c r="CZ37"/>
      <c r="DA37"/>
      <c r="DL37"/>
      <c r="DM37"/>
    </row>
    <row r="38" spans="2:117" ht="15" customHeight="1" x14ac:dyDescent="0.25">
      <c r="B38" s="84"/>
      <c r="C38" s="84"/>
      <c r="D38" s="27"/>
      <c r="E38" s="33"/>
      <c r="F38" s="34"/>
      <c r="G38" s="34"/>
      <c r="H38" s="35"/>
      <c r="I38" s="33"/>
      <c r="J38" s="34"/>
      <c r="K38" s="34"/>
      <c r="L38" s="35"/>
      <c r="M38" s="33"/>
      <c r="N38" s="34"/>
      <c r="O38" s="34"/>
      <c r="P38" s="35"/>
      <c r="Q38" s="33"/>
      <c r="R38" s="34"/>
      <c r="S38" s="34"/>
      <c r="T38" s="35"/>
      <c r="U38" s="33"/>
      <c r="V38" s="34"/>
      <c r="W38" s="34"/>
      <c r="X38" s="35"/>
      <c r="Y38" s="33"/>
      <c r="Z38" s="34"/>
      <c r="AA38" s="34"/>
      <c r="AB38" s="35"/>
      <c r="AC38" s="33"/>
      <c r="AD38" s="34"/>
      <c r="AE38" s="34"/>
      <c r="AF38" s="35"/>
      <c r="AG38" s="33"/>
      <c r="AH38" s="34"/>
      <c r="AI38" s="34"/>
      <c r="AJ38" s="35"/>
      <c r="AK38" s="33"/>
      <c r="AL38" s="34"/>
      <c r="AM38" s="34"/>
      <c r="AN38" s="35"/>
      <c r="AO38" s="33"/>
      <c r="AP38" s="34"/>
      <c r="AQ38" s="34"/>
      <c r="AR38" s="35"/>
      <c r="AS38" s="33"/>
      <c r="AT38" s="34"/>
      <c r="AU38" s="34"/>
      <c r="AV38" s="35"/>
      <c r="AW38" s="33"/>
      <c r="AX38" s="34"/>
      <c r="AY38" s="34"/>
      <c r="AZ38" s="35"/>
      <c r="BA38" s="33"/>
      <c r="BB38" s="34"/>
      <c r="BC38" s="34"/>
      <c r="BD38" s="35"/>
      <c r="BE38" s="33"/>
      <c r="BF38" s="34"/>
      <c r="BG38" s="34"/>
      <c r="BH38" s="35"/>
      <c r="BI38" s="33"/>
      <c r="BJ38" s="34"/>
      <c r="BK38" s="34"/>
      <c r="BL38" s="35"/>
      <c r="BM38" s="33"/>
      <c r="BN38" s="34"/>
      <c r="BO38" s="34"/>
      <c r="BP38" s="35"/>
      <c r="BQ38" s="33"/>
      <c r="BR38" s="34"/>
      <c r="BS38" s="34"/>
      <c r="BT38" s="35"/>
      <c r="BU38" s="33"/>
      <c r="BV38" s="34"/>
      <c r="BW38" s="34"/>
      <c r="BX38" s="35"/>
      <c r="BY38" s="33"/>
      <c r="BZ38" s="34"/>
      <c r="CA38" s="34"/>
      <c r="CB38" s="35"/>
      <c r="CC38" s="33"/>
      <c r="CD38" s="34"/>
      <c r="CE38" s="34"/>
      <c r="CF38" s="35"/>
      <c r="CH38" s="36">
        <v>8</v>
      </c>
      <c r="CI38" s="37">
        <f>IF(ISBLANK(B37),"",COUNTIF(B40:CF40,"&gt;=3"))</f>
        <v>10</v>
      </c>
      <c r="CJ38" s="83"/>
      <c r="CK38" s="20"/>
      <c r="CN38"/>
      <c r="CO38"/>
      <c r="CP38"/>
      <c r="CQ38"/>
      <c r="CR38"/>
      <c r="CS38"/>
      <c r="CT38"/>
      <c r="CU38"/>
      <c r="CV38"/>
      <c r="CW38"/>
      <c r="CX38"/>
      <c r="CY38"/>
      <c r="CZ38"/>
      <c r="DA38"/>
      <c r="DL38"/>
      <c r="DM38"/>
    </row>
    <row r="39" spans="2:117" ht="15" customHeight="1" x14ac:dyDescent="0.25">
      <c r="B39" s="84"/>
      <c r="C39" s="84"/>
      <c r="D39" s="27"/>
      <c r="E39" s="33"/>
      <c r="F39" s="34"/>
      <c r="G39" s="34"/>
      <c r="H39" s="35"/>
      <c r="I39" s="33"/>
      <c r="J39" s="34"/>
      <c r="K39" s="34"/>
      <c r="L39" s="35"/>
      <c r="M39" s="33"/>
      <c r="N39" s="34"/>
      <c r="O39" s="34"/>
      <c r="P39" s="35"/>
      <c r="Q39" s="33"/>
      <c r="R39" s="34"/>
      <c r="S39" s="34"/>
      <c r="T39" s="35"/>
      <c r="U39" s="33"/>
      <c r="V39" s="34"/>
      <c r="W39" s="34"/>
      <c r="X39" s="35"/>
      <c r="Y39" s="33"/>
      <c r="Z39" s="34"/>
      <c r="AA39" s="34"/>
      <c r="AB39" s="35"/>
      <c r="AC39" s="33"/>
      <c r="AD39" s="34"/>
      <c r="AE39" s="34"/>
      <c r="AF39" s="35"/>
      <c r="AG39" s="33"/>
      <c r="AH39" s="34"/>
      <c r="AI39" s="34"/>
      <c r="AJ39" s="35"/>
      <c r="AK39" s="33"/>
      <c r="AL39" s="34"/>
      <c r="AM39" s="34"/>
      <c r="AN39" s="35"/>
      <c r="AO39" s="33"/>
      <c r="AP39" s="34"/>
      <c r="AQ39" s="34"/>
      <c r="AR39" s="35"/>
      <c r="AS39" s="33"/>
      <c r="AT39" s="34"/>
      <c r="AU39" s="34"/>
      <c r="AV39" s="35"/>
      <c r="AW39" s="33"/>
      <c r="AX39" s="34"/>
      <c r="AY39" s="34"/>
      <c r="AZ39" s="35"/>
      <c r="BA39" s="33"/>
      <c r="BB39" s="34"/>
      <c r="BC39" s="34"/>
      <c r="BD39" s="35"/>
      <c r="BE39" s="33"/>
      <c r="BF39" s="34"/>
      <c r="BG39" s="34"/>
      <c r="BH39" s="35"/>
      <c r="BI39" s="33"/>
      <c r="BJ39" s="34"/>
      <c r="BK39" s="34"/>
      <c r="BL39" s="35"/>
      <c r="BM39" s="33"/>
      <c r="BN39" s="34"/>
      <c r="BO39" s="34"/>
      <c r="BP39" s="35"/>
      <c r="BQ39" s="33"/>
      <c r="BR39" s="34"/>
      <c r="BS39" s="34"/>
      <c r="BT39" s="35"/>
      <c r="BU39" s="33"/>
      <c r="BV39" s="34"/>
      <c r="BW39" s="34"/>
      <c r="BX39" s="35"/>
      <c r="BY39" s="33"/>
      <c r="BZ39" s="34"/>
      <c r="CA39" s="34"/>
      <c r="CB39" s="35"/>
      <c r="CC39" s="33"/>
      <c r="CD39" s="34"/>
      <c r="CE39" s="34"/>
      <c r="CF39" s="35"/>
      <c r="CH39" s="81" t="str">
        <f>IF(ISBLANK(B37),"","personas cualificadas")</f>
        <v>personas cualificadas</v>
      </c>
      <c r="CI39" s="81" t="str">
        <f>IF(ISBLANK(B37),"","personas cualificadas")</f>
        <v>personas cualificadas</v>
      </c>
      <c r="CJ39" s="83"/>
      <c r="CK39" s="20"/>
      <c r="CN39"/>
      <c r="CO39"/>
      <c r="CP39"/>
      <c r="CQ39"/>
      <c r="CR39"/>
      <c r="CS39"/>
      <c r="CT39"/>
      <c r="CU39"/>
      <c r="CV39"/>
      <c r="CW39"/>
      <c r="CX39"/>
      <c r="CY39"/>
      <c r="CZ39"/>
      <c r="DA39"/>
      <c r="DL39"/>
      <c r="DM39"/>
    </row>
    <row r="40" spans="2:117" ht="14.45" customHeight="1" x14ac:dyDescent="0.25">
      <c r="B40" s="84"/>
      <c r="C40" s="84"/>
      <c r="D40" s="27"/>
      <c r="E40" s="69">
        <v>1</v>
      </c>
      <c r="F40" s="70"/>
      <c r="G40" s="70"/>
      <c r="H40" s="71"/>
      <c r="I40" s="69">
        <v>4</v>
      </c>
      <c r="J40" s="70"/>
      <c r="K40" s="70"/>
      <c r="L40" s="71"/>
      <c r="M40" s="69">
        <v>4</v>
      </c>
      <c r="N40" s="70"/>
      <c r="O40" s="70"/>
      <c r="P40" s="71"/>
      <c r="Q40" s="69">
        <v>3</v>
      </c>
      <c r="R40" s="70"/>
      <c r="S40" s="70"/>
      <c r="T40" s="71"/>
      <c r="U40" s="69">
        <v>4</v>
      </c>
      <c r="V40" s="70"/>
      <c r="W40" s="70"/>
      <c r="X40" s="71"/>
      <c r="Y40" s="69"/>
      <c r="Z40" s="70"/>
      <c r="AA40" s="70"/>
      <c r="AB40" s="71"/>
      <c r="AC40" s="69">
        <v>4</v>
      </c>
      <c r="AD40" s="70"/>
      <c r="AE40" s="70"/>
      <c r="AF40" s="71"/>
      <c r="AG40" s="69"/>
      <c r="AH40" s="70"/>
      <c r="AI40" s="70"/>
      <c r="AJ40" s="71"/>
      <c r="AK40" s="69"/>
      <c r="AL40" s="70"/>
      <c r="AM40" s="70"/>
      <c r="AN40" s="71"/>
      <c r="AO40" s="69"/>
      <c r="AP40" s="70"/>
      <c r="AQ40" s="70"/>
      <c r="AR40" s="71"/>
      <c r="AS40" s="69"/>
      <c r="AT40" s="70"/>
      <c r="AU40" s="70"/>
      <c r="AV40" s="71"/>
      <c r="AW40" s="69">
        <v>4</v>
      </c>
      <c r="AX40" s="70"/>
      <c r="AY40" s="70"/>
      <c r="AZ40" s="71"/>
      <c r="BA40" s="69"/>
      <c r="BB40" s="70"/>
      <c r="BC40" s="70"/>
      <c r="BD40" s="71"/>
      <c r="BE40" s="69">
        <v>2</v>
      </c>
      <c r="BF40" s="70"/>
      <c r="BG40" s="70"/>
      <c r="BH40" s="71"/>
      <c r="BI40" s="69">
        <v>2</v>
      </c>
      <c r="BJ40" s="70"/>
      <c r="BK40" s="70"/>
      <c r="BL40" s="71"/>
      <c r="BM40" s="69">
        <v>4</v>
      </c>
      <c r="BN40" s="70"/>
      <c r="BO40" s="70"/>
      <c r="BP40" s="71"/>
      <c r="BQ40" s="69">
        <v>3</v>
      </c>
      <c r="BR40" s="70"/>
      <c r="BS40" s="70"/>
      <c r="BT40" s="71"/>
      <c r="BU40" s="69">
        <v>4</v>
      </c>
      <c r="BV40" s="70"/>
      <c r="BW40" s="70"/>
      <c r="BX40" s="71"/>
      <c r="BY40" s="69">
        <v>4</v>
      </c>
      <c r="BZ40" s="70"/>
      <c r="CA40" s="70"/>
      <c r="CB40" s="71"/>
      <c r="CC40" s="69"/>
      <c r="CD40" s="70"/>
      <c r="CE40" s="70"/>
      <c r="CF40" s="71"/>
      <c r="CG40" s="38"/>
      <c r="CH40" s="82"/>
      <c r="CI40" s="82"/>
      <c r="CJ40" s="83"/>
      <c r="CK40" s="20"/>
      <c r="CN40"/>
      <c r="CO40"/>
      <c r="CP40"/>
      <c r="CQ40"/>
      <c r="CR40"/>
      <c r="CS40"/>
      <c r="CT40"/>
      <c r="CU40"/>
      <c r="CV40"/>
      <c r="CW40"/>
      <c r="CX40"/>
      <c r="CY40"/>
      <c r="CZ40"/>
      <c r="DA40"/>
      <c r="DL40"/>
      <c r="DM40"/>
    </row>
    <row r="41" spans="2:117" ht="6" customHeight="1" x14ac:dyDescent="0.25">
      <c r="B41" s="72" t="s">
        <v>57</v>
      </c>
      <c r="C41" s="73"/>
      <c r="D41" s="27"/>
      <c r="E41" s="28"/>
      <c r="F41" s="29"/>
      <c r="G41" s="29"/>
      <c r="H41" s="30"/>
      <c r="I41" s="28"/>
      <c r="J41" s="29"/>
      <c r="K41" s="29"/>
      <c r="L41" s="30"/>
      <c r="M41" s="28"/>
      <c r="N41" s="29"/>
      <c r="O41" s="29"/>
      <c r="P41" s="30"/>
      <c r="Q41" s="28"/>
      <c r="R41" s="29"/>
      <c r="S41" s="29"/>
      <c r="T41" s="30"/>
      <c r="U41" s="28"/>
      <c r="V41" s="29"/>
      <c r="W41" s="29"/>
      <c r="X41" s="30"/>
      <c r="Y41" s="28"/>
      <c r="Z41" s="29"/>
      <c r="AA41" s="29"/>
      <c r="AB41" s="30"/>
      <c r="AC41" s="28"/>
      <c r="AD41" s="29"/>
      <c r="AE41" s="29"/>
      <c r="AF41" s="30"/>
      <c r="AG41" s="28"/>
      <c r="AH41" s="29"/>
      <c r="AI41" s="29"/>
      <c r="AJ41" s="30"/>
      <c r="AK41" s="28"/>
      <c r="AL41" s="29"/>
      <c r="AM41" s="29"/>
      <c r="AN41" s="30"/>
      <c r="AO41" s="28"/>
      <c r="AP41" s="29"/>
      <c r="AQ41" s="29"/>
      <c r="AR41" s="30"/>
      <c r="AS41" s="28"/>
      <c r="AT41" s="29"/>
      <c r="AU41" s="29"/>
      <c r="AV41" s="30"/>
      <c r="AW41" s="28"/>
      <c r="AX41" s="29"/>
      <c r="AY41" s="29"/>
      <c r="AZ41" s="30"/>
      <c r="BA41" s="28"/>
      <c r="BB41" s="29"/>
      <c r="BC41" s="29"/>
      <c r="BD41" s="30"/>
      <c r="BE41" s="28"/>
      <c r="BF41" s="29"/>
      <c r="BG41" s="29"/>
      <c r="BH41" s="30"/>
      <c r="BI41" s="28"/>
      <c r="BJ41" s="29"/>
      <c r="BK41" s="29"/>
      <c r="BL41" s="30"/>
      <c r="BM41" s="28"/>
      <c r="BN41" s="29"/>
      <c r="BO41" s="29"/>
      <c r="BP41" s="30"/>
      <c r="BQ41" s="28"/>
      <c r="BR41" s="29"/>
      <c r="BS41" s="29"/>
      <c r="BT41" s="30"/>
      <c r="BU41" s="28"/>
      <c r="BV41" s="29"/>
      <c r="BW41" s="29"/>
      <c r="BX41" s="30"/>
      <c r="BY41" s="28"/>
      <c r="BZ41" s="29"/>
      <c r="CA41" s="29"/>
      <c r="CB41" s="30"/>
      <c r="CC41" s="28"/>
      <c r="CD41" s="29"/>
      <c r="CE41" s="29"/>
      <c r="CF41" s="30"/>
      <c r="CH41" s="31"/>
      <c r="CI41" s="31"/>
      <c r="CJ41" s="83">
        <f>IF(ISBLANK(B41),"",IF(CI42&gt;=CH42,3,IF(CI42=(CH42-1),2,1)))</f>
        <v>1</v>
      </c>
      <c r="CK41" s="20"/>
      <c r="CN41"/>
      <c r="CO41"/>
      <c r="CP41"/>
      <c r="CQ41"/>
      <c r="CR41"/>
      <c r="CS41"/>
      <c r="CT41"/>
      <c r="CU41"/>
      <c r="CV41"/>
      <c r="CW41"/>
      <c r="CX41"/>
      <c r="CY41"/>
      <c r="CZ41"/>
      <c r="DA41"/>
      <c r="DL41"/>
      <c r="DM41"/>
    </row>
    <row r="42" spans="2:117" ht="15" customHeight="1" x14ac:dyDescent="0.25">
      <c r="B42" s="74"/>
      <c r="C42" s="75"/>
      <c r="D42" s="27"/>
      <c r="E42" s="33"/>
      <c r="F42" s="34"/>
      <c r="G42" s="34"/>
      <c r="H42" s="35"/>
      <c r="I42" s="33"/>
      <c r="J42" s="34"/>
      <c r="K42" s="34"/>
      <c r="L42" s="35"/>
      <c r="M42" s="33"/>
      <c r="N42" s="34"/>
      <c r="O42" s="34"/>
      <c r="P42" s="35"/>
      <c r="Q42" s="33"/>
      <c r="R42" s="34"/>
      <c r="S42" s="34"/>
      <c r="T42" s="35"/>
      <c r="U42" s="33"/>
      <c r="V42" s="34"/>
      <c r="W42" s="34"/>
      <c r="X42" s="35"/>
      <c r="Y42" s="33"/>
      <c r="Z42" s="34"/>
      <c r="AA42" s="34"/>
      <c r="AB42" s="35"/>
      <c r="AC42" s="33"/>
      <c r="AD42" s="34"/>
      <c r="AE42" s="34"/>
      <c r="AF42" s="35"/>
      <c r="AG42" s="33"/>
      <c r="AH42" s="34"/>
      <c r="AI42" s="34"/>
      <c r="AJ42" s="35"/>
      <c r="AK42" s="33"/>
      <c r="AL42" s="34"/>
      <c r="AM42" s="34"/>
      <c r="AN42" s="35"/>
      <c r="AO42" s="33"/>
      <c r="AP42" s="34"/>
      <c r="AQ42" s="34"/>
      <c r="AR42" s="35"/>
      <c r="AS42" s="33"/>
      <c r="AT42" s="34"/>
      <c r="AU42" s="34"/>
      <c r="AV42" s="35"/>
      <c r="AW42" s="33"/>
      <c r="AX42" s="34"/>
      <c r="AY42" s="34"/>
      <c r="AZ42" s="35"/>
      <c r="BA42" s="33"/>
      <c r="BB42" s="34"/>
      <c r="BC42" s="34"/>
      <c r="BD42" s="35"/>
      <c r="BE42" s="33"/>
      <c r="BF42" s="34"/>
      <c r="BG42" s="34"/>
      <c r="BH42" s="35"/>
      <c r="BI42" s="33"/>
      <c r="BJ42" s="34"/>
      <c r="BK42" s="34"/>
      <c r="BL42" s="35"/>
      <c r="BM42" s="33"/>
      <c r="BN42" s="34"/>
      <c r="BO42" s="34"/>
      <c r="BP42" s="35"/>
      <c r="BQ42" s="33"/>
      <c r="BR42" s="34"/>
      <c r="BS42" s="34"/>
      <c r="BT42" s="35"/>
      <c r="BU42" s="33"/>
      <c r="BV42" s="34"/>
      <c r="BW42" s="34"/>
      <c r="BX42" s="35"/>
      <c r="BY42" s="33"/>
      <c r="BZ42" s="34"/>
      <c r="CA42" s="34"/>
      <c r="CB42" s="35"/>
      <c r="CC42" s="33"/>
      <c r="CD42" s="34"/>
      <c r="CE42" s="34"/>
      <c r="CF42" s="35"/>
      <c r="CH42" s="36">
        <v>5</v>
      </c>
      <c r="CI42" s="37">
        <f>IF(ISBLANK(B41),"",COUNTIF(B44:CF44,"&gt;=3"))</f>
        <v>2</v>
      </c>
      <c r="CJ42" s="83"/>
      <c r="CK42" s="20"/>
      <c r="CN42"/>
      <c r="CO42"/>
      <c r="CP42"/>
      <c r="CQ42"/>
      <c r="CR42"/>
      <c r="CS42"/>
      <c r="CT42"/>
      <c r="CU42"/>
      <c r="CV42"/>
      <c r="CW42"/>
      <c r="CX42"/>
      <c r="CY42"/>
      <c r="CZ42"/>
      <c r="DA42"/>
      <c r="DL42"/>
      <c r="DM42"/>
    </row>
    <row r="43" spans="2:117" ht="15" customHeight="1" x14ac:dyDescent="0.25">
      <c r="B43" s="74"/>
      <c r="C43" s="75"/>
      <c r="D43" s="27"/>
      <c r="E43" s="33"/>
      <c r="F43" s="34"/>
      <c r="G43" s="34"/>
      <c r="H43" s="35"/>
      <c r="I43" s="33"/>
      <c r="J43" s="34"/>
      <c r="K43" s="34"/>
      <c r="L43" s="35"/>
      <c r="M43" s="33"/>
      <c r="N43" s="34"/>
      <c r="O43" s="34"/>
      <c r="P43" s="35"/>
      <c r="Q43" s="33"/>
      <c r="R43" s="34"/>
      <c r="S43" s="34"/>
      <c r="T43" s="35"/>
      <c r="U43" s="33"/>
      <c r="V43" s="34"/>
      <c r="W43" s="34"/>
      <c r="X43" s="35"/>
      <c r="Y43" s="33"/>
      <c r="Z43" s="34"/>
      <c r="AA43" s="34"/>
      <c r="AB43" s="35"/>
      <c r="AC43" s="33"/>
      <c r="AD43" s="34"/>
      <c r="AE43" s="34"/>
      <c r="AF43" s="35"/>
      <c r="AG43" s="33"/>
      <c r="AH43" s="34"/>
      <c r="AI43" s="34"/>
      <c r="AJ43" s="35"/>
      <c r="AK43" s="33"/>
      <c r="AL43" s="34"/>
      <c r="AM43" s="34"/>
      <c r="AN43" s="35"/>
      <c r="AO43" s="33"/>
      <c r="AP43" s="34"/>
      <c r="AQ43" s="34"/>
      <c r="AR43" s="35"/>
      <c r="AS43" s="33"/>
      <c r="AT43" s="34"/>
      <c r="AU43" s="34"/>
      <c r="AV43" s="35"/>
      <c r="AW43" s="33"/>
      <c r="AX43" s="34"/>
      <c r="AY43" s="34"/>
      <c r="AZ43" s="35"/>
      <c r="BA43" s="33"/>
      <c r="BB43" s="34"/>
      <c r="BC43" s="34"/>
      <c r="BD43" s="35"/>
      <c r="BE43" s="33"/>
      <c r="BF43" s="34"/>
      <c r="BG43" s="34"/>
      <c r="BH43" s="35"/>
      <c r="BI43" s="33"/>
      <c r="BJ43" s="34"/>
      <c r="BK43" s="34"/>
      <c r="BL43" s="35"/>
      <c r="BM43" s="33"/>
      <c r="BN43" s="34"/>
      <c r="BO43" s="34"/>
      <c r="BP43" s="35"/>
      <c r="BQ43" s="33"/>
      <c r="BR43" s="34"/>
      <c r="BS43" s="34"/>
      <c r="BT43" s="35"/>
      <c r="BU43" s="33"/>
      <c r="BV43" s="34"/>
      <c r="BW43" s="34"/>
      <c r="BX43" s="35"/>
      <c r="BY43" s="33"/>
      <c r="BZ43" s="34"/>
      <c r="CA43" s="34"/>
      <c r="CB43" s="35"/>
      <c r="CC43" s="33"/>
      <c r="CD43" s="34"/>
      <c r="CE43" s="34"/>
      <c r="CF43" s="35"/>
      <c r="CH43" s="81" t="str">
        <f>IF(ISBLANK(B41),"","personas cualificadas")</f>
        <v>personas cualificadas</v>
      </c>
      <c r="CI43" s="81" t="str">
        <f>IF(ISBLANK(B41),"","personas cualificadas")</f>
        <v>personas cualificadas</v>
      </c>
      <c r="CJ43" s="83"/>
      <c r="CK43" s="20"/>
      <c r="CN43"/>
      <c r="CO43"/>
      <c r="CP43"/>
      <c r="CQ43"/>
      <c r="CR43"/>
      <c r="CS43"/>
      <c r="CT43"/>
      <c r="CU43"/>
      <c r="CV43"/>
      <c r="CW43"/>
      <c r="CX43"/>
      <c r="CY43"/>
      <c r="CZ43"/>
      <c r="DA43"/>
      <c r="DL43"/>
      <c r="DM43"/>
    </row>
    <row r="44" spans="2:117" ht="14.45" customHeight="1" x14ac:dyDescent="0.25">
      <c r="B44" s="76"/>
      <c r="C44" s="77"/>
      <c r="D44" s="27"/>
      <c r="E44" s="69">
        <v>1</v>
      </c>
      <c r="F44" s="70"/>
      <c r="G44" s="70"/>
      <c r="H44" s="71"/>
      <c r="I44" s="69"/>
      <c r="J44" s="70"/>
      <c r="K44" s="70"/>
      <c r="L44" s="71"/>
      <c r="M44" s="69"/>
      <c r="N44" s="70"/>
      <c r="O44" s="70"/>
      <c r="P44" s="71"/>
      <c r="Q44" s="69"/>
      <c r="R44" s="70"/>
      <c r="S44" s="70"/>
      <c r="T44" s="71"/>
      <c r="U44" s="69"/>
      <c r="V44" s="70"/>
      <c r="W44" s="70"/>
      <c r="X44" s="71"/>
      <c r="Y44" s="69"/>
      <c r="Z44" s="70"/>
      <c r="AA44" s="70"/>
      <c r="AB44" s="71"/>
      <c r="AC44" s="69"/>
      <c r="AD44" s="70"/>
      <c r="AE44" s="70"/>
      <c r="AF44" s="71"/>
      <c r="AG44" s="69">
        <v>4</v>
      </c>
      <c r="AH44" s="70"/>
      <c r="AI44" s="70"/>
      <c r="AJ44" s="71"/>
      <c r="AK44" s="69"/>
      <c r="AL44" s="70"/>
      <c r="AM44" s="70"/>
      <c r="AN44" s="71"/>
      <c r="AO44" s="69">
        <v>4</v>
      </c>
      <c r="AP44" s="70"/>
      <c r="AQ44" s="70"/>
      <c r="AR44" s="71"/>
      <c r="AS44" s="69"/>
      <c r="AT44" s="70"/>
      <c r="AU44" s="70"/>
      <c r="AV44" s="71"/>
      <c r="AW44" s="69"/>
      <c r="AX44" s="70"/>
      <c r="AY44" s="70"/>
      <c r="AZ44" s="71"/>
      <c r="BA44" s="69">
        <v>2</v>
      </c>
      <c r="BB44" s="70"/>
      <c r="BC44" s="70"/>
      <c r="BD44" s="71"/>
      <c r="BE44" s="69"/>
      <c r="BF44" s="70"/>
      <c r="BG44" s="70"/>
      <c r="BH44" s="71"/>
      <c r="BI44" s="69"/>
      <c r="BJ44" s="70"/>
      <c r="BK44" s="70"/>
      <c r="BL44" s="71"/>
      <c r="BM44" s="69"/>
      <c r="BN44" s="70"/>
      <c r="BO44" s="70"/>
      <c r="BP44" s="71"/>
      <c r="BQ44" s="69">
        <v>1</v>
      </c>
      <c r="BR44" s="70"/>
      <c r="BS44" s="70"/>
      <c r="BT44" s="71"/>
      <c r="BU44" s="69"/>
      <c r="BV44" s="70"/>
      <c r="BW44" s="70"/>
      <c r="BX44" s="71"/>
      <c r="BY44" s="69"/>
      <c r="BZ44" s="70"/>
      <c r="CA44" s="70"/>
      <c r="CB44" s="71"/>
      <c r="CC44" s="69"/>
      <c r="CD44" s="70"/>
      <c r="CE44" s="70"/>
      <c r="CF44" s="71"/>
      <c r="CG44" s="38"/>
      <c r="CH44" s="82"/>
      <c r="CI44" s="82"/>
      <c r="CJ44" s="83"/>
      <c r="CK44" s="20"/>
      <c r="CN44"/>
      <c r="CO44"/>
      <c r="CP44"/>
      <c r="CQ44"/>
      <c r="CR44"/>
      <c r="CS44"/>
      <c r="CT44"/>
      <c r="CU44"/>
      <c r="CV44"/>
      <c r="CW44"/>
      <c r="CX44"/>
      <c r="CY44"/>
      <c r="CZ44"/>
      <c r="DA44"/>
      <c r="DL44"/>
      <c r="DM44"/>
    </row>
    <row r="45" spans="2:117" ht="6" customHeight="1" x14ac:dyDescent="0.25">
      <c r="B45" s="72" t="s">
        <v>58</v>
      </c>
      <c r="C45" s="73"/>
      <c r="D45" s="27"/>
      <c r="E45" s="28"/>
      <c r="F45" s="29"/>
      <c r="G45" s="29"/>
      <c r="H45" s="30"/>
      <c r="I45" s="28"/>
      <c r="J45" s="29"/>
      <c r="K45" s="29"/>
      <c r="L45" s="30"/>
      <c r="M45" s="28"/>
      <c r="N45" s="29"/>
      <c r="O45" s="29"/>
      <c r="P45" s="30"/>
      <c r="Q45" s="28"/>
      <c r="R45" s="29"/>
      <c r="S45" s="29"/>
      <c r="T45" s="30"/>
      <c r="U45" s="28"/>
      <c r="V45" s="29"/>
      <c r="W45" s="29"/>
      <c r="X45" s="30"/>
      <c r="Y45" s="28"/>
      <c r="Z45" s="29"/>
      <c r="AA45" s="29"/>
      <c r="AB45" s="30"/>
      <c r="AC45" s="28"/>
      <c r="AD45" s="29"/>
      <c r="AE45" s="29"/>
      <c r="AF45" s="30"/>
      <c r="AG45" s="28"/>
      <c r="AH45" s="29"/>
      <c r="AI45" s="29"/>
      <c r="AJ45" s="30"/>
      <c r="AK45" s="28"/>
      <c r="AL45" s="29"/>
      <c r="AM45" s="29"/>
      <c r="AN45" s="30"/>
      <c r="AO45" s="28"/>
      <c r="AP45" s="29"/>
      <c r="AQ45" s="29"/>
      <c r="AR45" s="30"/>
      <c r="AS45" s="28"/>
      <c r="AT45" s="29"/>
      <c r="AU45" s="29"/>
      <c r="AV45" s="30"/>
      <c r="AW45" s="28"/>
      <c r="AX45" s="29"/>
      <c r="AY45" s="29"/>
      <c r="AZ45" s="30"/>
      <c r="BA45" s="28"/>
      <c r="BB45" s="29"/>
      <c r="BC45" s="29"/>
      <c r="BD45" s="30"/>
      <c r="BE45" s="28"/>
      <c r="BF45" s="29"/>
      <c r="BG45" s="29"/>
      <c r="BH45" s="30"/>
      <c r="BI45" s="28"/>
      <c r="BJ45" s="29"/>
      <c r="BK45" s="29"/>
      <c r="BL45" s="30"/>
      <c r="BM45" s="28"/>
      <c r="BN45" s="29"/>
      <c r="BO45" s="29"/>
      <c r="BP45" s="30"/>
      <c r="BQ45" s="28"/>
      <c r="BR45" s="29"/>
      <c r="BS45" s="29"/>
      <c r="BT45" s="30"/>
      <c r="BU45" s="28"/>
      <c r="BV45" s="29"/>
      <c r="BW45" s="29"/>
      <c r="BX45" s="30"/>
      <c r="BY45" s="28"/>
      <c r="BZ45" s="29"/>
      <c r="CA45" s="29"/>
      <c r="CB45" s="30"/>
      <c r="CC45" s="28"/>
      <c r="CD45" s="29"/>
      <c r="CE45" s="29"/>
      <c r="CF45" s="30"/>
      <c r="CH45" s="31"/>
      <c r="CI45" s="31"/>
      <c r="CJ45" s="83">
        <f>IF(ISBLANK(B45),"",IF(CI46&gt;=CH46,3,IF(CI46=(CH46-1),2,1)))</f>
        <v>1</v>
      </c>
      <c r="CK45" s="20"/>
      <c r="CN45"/>
      <c r="CO45"/>
      <c r="CP45"/>
      <c r="CQ45"/>
      <c r="CR45"/>
      <c r="CS45"/>
      <c r="CT45"/>
      <c r="CU45"/>
      <c r="CV45"/>
      <c r="CW45"/>
      <c r="CX45"/>
      <c r="CY45"/>
      <c r="CZ45"/>
      <c r="DA45"/>
      <c r="DL45"/>
      <c r="DM45"/>
    </row>
    <row r="46" spans="2:117" ht="15" customHeight="1" x14ac:dyDescent="0.25">
      <c r="B46" s="74"/>
      <c r="C46" s="75"/>
      <c r="D46" s="27"/>
      <c r="E46" s="33"/>
      <c r="F46" s="34"/>
      <c r="G46" s="34"/>
      <c r="H46" s="35"/>
      <c r="I46" s="33"/>
      <c r="J46" s="34"/>
      <c r="K46" s="34"/>
      <c r="L46" s="35"/>
      <c r="M46" s="33"/>
      <c r="N46" s="34"/>
      <c r="O46" s="34"/>
      <c r="P46" s="35"/>
      <c r="Q46" s="33"/>
      <c r="R46" s="34"/>
      <c r="S46" s="34"/>
      <c r="T46" s="35"/>
      <c r="U46" s="33"/>
      <c r="V46" s="34"/>
      <c r="W46" s="34"/>
      <c r="X46" s="35"/>
      <c r="Y46" s="33"/>
      <c r="Z46" s="34"/>
      <c r="AA46" s="34"/>
      <c r="AB46" s="35"/>
      <c r="AC46" s="33"/>
      <c r="AD46" s="34"/>
      <c r="AE46" s="34"/>
      <c r="AF46" s="35"/>
      <c r="AG46" s="33"/>
      <c r="AH46" s="34"/>
      <c r="AI46" s="34"/>
      <c r="AJ46" s="35"/>
      <c r="AK46" s="33"/>
      <c r="AL46" s="34"/>
      <c r="AM46" s="34"/>
      <c r="AN46" s="35"/>
      <c r="AO46" s="33"/>
      <c r="AP46" s="34"/>
      <c r="AQ46" s="34"/>
      <c r="AR46" s="35"/>
      <c r="AS46" s="33"/>
      <c r="AT46" s="34"/>
      <c r="AU46" s="34"/>
      <c r="AV46" s="35"/>
      <c r="AW46" s="33"/>
      <c r="AX46" s="34"/>
      <c r="AY46" s="34"/>
      <c r="AZ46" s="35"/>
      <c r="BA46" s="33"/>
      <c r="BB46" s="34"/>
      <c r="BC46" s="34"/>
      <c r="BD46" s="35"/>
      <c r="BE46" s="33"/>
      <c r="BF46" s="34"/>
      <c r="BG46" s="34"/>
      <c r="BH46" s="35"/>
      <c r="BI46" s="33"/>
      <c r="BJ46" s="34"/>
      <c r="BK46" s="34"/>
      <c r="BL46" s="35"/>
      <c r="BM46" s="33"/>
      <c r="BN46" s="34"/>
      <c r="BO46" s="34"/>
      <c r="BP46" s="35"/>
      <c r="BQ46" s="33"/>
      <c r="BR46" s="34"/>
      <c r="BS46" s="34"/>
      <c r="BT46" s="35"/>
      <c r="BU46" s="33"/>
      <c r="BV46" s="34"/>
      <c r="BW46" s="34"/>
      <c r="BX46" s="35"/>
      <c r="BY46" s="33"/>
      <c r="BZ46" s="34"/>
      <c r="CA46" s="34"/>
      <c r="CB46" s="35"/>
      <c r="CC46" s="33"/>
      <c r="CD46" s="34"/>
      <c r="CE46" s="34"/>
      <c r="CF46" s="35"/>
      <c r="CH46" s="36">
        <v>5</v>
      </c>
      <c r="CI46" s="37">
        <f>IF(ISBLANK(B45),"",COUNTIF(B48:CF48,"&gt;=3"))</f>
        <v>3</v>
      </c>
      <c r="CJ46" s="83"/>
      <c r="CK46" s="20"/>
      <c r="CN46"/>
      <c r="CO46"/>
      <c r="CP46"/>
      <c r="CQ46"/>
      <c r="CR46"/>
      <c r="CS46"/>
      <c r="CT46"/>
      <c r="CU46"/>
      <c r="CV46"/>
      <c r="CW46"/>
      <c r="CX46"/>
      <c r="CY46"/>
      <c r="CZ46"/>
      <c r="DA46"/>
      <c r="DL46"/>
      <c r="DM46"/>
    </row>
    <row r="47" spans="2:117" ht="15" customHeight="1" x14ac:dyDescent="0.25">
      <c r="B47" s="74"/>
      <c r="C47" s="75"/>
      <c r="D47" s="27"/>
      <c r="E47" s="33"/>
      <c r="F47" s="34"/>
      <c r="G47" s="34"/>
      <c r="H47" s="35"/>
      <c r="I47" s="33"/>
      <c r="J47" s="34"/>
      <c r="K47" s="34"/>
      <c r="L47" s="35"/>
      <c r="M47" s="33"/>
      <c r="N47" s="34"/>
      <c r="O47" s="34"/>
      <c r="P47" s="35"/>
      <c r="Q47" s="33"/>
      <c r="R47" s="34"/>
      <c r="S47" s="34"/>
      <c r="T47" s="35"/>
      <c r="U47" s="33"/>
      <c r="V47" s="34"/>
      <c r="W47" s="34"/>
      <c r="X47" s="35"/>
      <c r="Y47" s="33"/>
      <c r="Z47" s="34"/>
      <c r="AA47" s="34"/>
      <c r="AB47" s="35"/>
      <c r="AC47" s="33"/>
      <c r="AD47" s="34"/>
      <c r="AE47" s="34"/>
      <c r="AF47" s="35"/>
      <c r="AG47" s="33"/>
      <c r="AH47" s="34"/>
      <c r="AI47" s="34"/>
      <c r="AJ47" s="35"/>
      <c r="AK47" s="33"/>
      <c r="AL47" s="34"/>
      <c r="AM47" s="34"/>
      <c r="AN47" s="35"/>
      <c r="AO47" s="33"/>
      <c r="AP47" s="34"/>
      <c r="AQ47" s="34"/>
      <c r="AR47" s="35"/>
      <c r="AS47" s="33"/>
      <c r="AT47" s="34"/>
      <c r="AU47" s="34"/>
      <c r="AV47" s="35"/>
      <c r="AW47" s="33"/>
      <c r="AX47" s="34"/>
      <c r="AY47" s="34"/>
      <c r="AZ47" s="35"/>
      <c r="BA47" s="33"/>
      <c r="BB47" s="34"/>
      <c r="BC47" s="34"/>
      <c r="BD47" s="35"/>
      <c r="BE47" s="33"/>
      <c r="BF47" s="34"/>
      <c r="BG47" s="34"/>
      <c r="BH47" s="35"/>
      <c r="BI47" s="33"/>
      <c r="BJ47" s="34"/>
      <c r="BK47" s="34"/>
      <c r="BL47" s="35"/>
      <c r="BM47" s="33"/>
      <c r="BN47" s="34"/>
      <c r="BO47" s="34"/>
      <c r="BP47" s="35"/>
      <c r="BQ47" s="33"/>
      <c r="BR47" s="34"/>
      <c r="BS47" s="34"/>
      <c r="BT47" s="35"/>
      <c r="BU47" s="33"/>
      <c r="BV47" s="34"/>
      <c r="BW47" s="34"/>
      <c r="BX47" s="35"/>
      <c r="BY47" s="33"/>
      <c r="BZ47" s="34"/>
      <c r="CA47" s="34"/>
      <c r="CB47" s="35"/>
      <c r="CC47" s="33"/>
      <c r="CD47" s="34"/>
      <c r="CE47" s="34"/>
      <c r="CF47" s="35"/>
      <c r="CH47" s="81" t="str">
        <f>IF(ISBLANK(B45),"","personas cualificadas")</f>
        <v>personas cualificadas</v>
      </c>
      <c r="CI47" s="81" t="str">
        <f>IF(ISBLANK(B45),"","personas cualificadas")</f>
        <v>personas cualificadas</v>
      </c>
      <c r="CJ47" s="83"/>
      <c r="CK47" s="20"/>
      <c r="CN47"/>
      <c r="CO47"/>
      <c r="CP47"/>
      <c r="CQ47"/>
      <c r="CR47"/>
      <c r="CS47"/>
      <c r="CT47"/>
      <c r="CU47"/>
      <c r="CV47"/>
      <c r="CW47"/>
      <c r="CX47"/>
      <c r="CY47"/>
      <c r="CZ47"/>
      <c r="DA47"/>
      <c r="DL47"/>
      <c r="DM47"/>
    </row>
    <row r="48" spans="2:117" ht="14.45" customHeight="1" x14ac:dyDescent="0.25">
      <c r="B48" s="76"/>
      <c r="C48" s="77"/>
      <c r="D48" s="27"/>
      <c r="E48" s="69">
        <v>2</v>
      </c>
      <c r="F48" s="70"/>
      <c r="G48" s="70"/>
      <c r="H48" s="71"/>
      <c r="I48" s="69"/>
      <c r="J48" s="70"/>
      <c r="K48" s="70"/>
      <c r="L48" s="71"/>
      <c r="M48" s="69"/>
      <c r="N48" s="70"/>
      <c r="O48" s="70"/>
      <c r="P48" s="71"/>
      <c r="Q48" s="69"/>
      <c r="R48" s="70"/>
      <c r="S48" s="70"/>
      <c r="T48" s="71"/>
      <c r="U48" s="69"/>
      <c r="V48" s="70"/>
      <c r="W48" s="70"/>
      <c r="X48" s="71"/>
      <c r="Y48" s="69"/>
      <c r="Z48" s="70"/>
      <c r="AA48" s="70"/>
      <c r="AB48" s="71"/>
      <c r="AC48" s="69"/>
      <c r="AD48" s="70"/>
      <c r="AE48" s="70"/>
      <c r="AF48" s="71"/>
      <c r="AG48" s="69">
        <v>4</v>
      </c>
      <c r="AH48" s="70"/>
      <c r="AI48" s="70"/>
      <c r="AJ48" s="71"/>
      <c r="AK48" s="69"/>
      <c r="AL48" s="70"/>
      <c r="AM48" s="70"/>
      <c r="AN48" s="71"/>
      <c r="AO48" s="69">
        <v>4</v>
      </c>
      <c r="AP48" s="70"/>
      <c r="AQ48" s="70"/>
      <c r="AR48" s="71"/>
      <c r="AS48" s="69"/>
      <c r="AT48" s="70"/>
      <c r="AU48" s="70"/>
      <c r="AV48" s="71"/>
      <c r="AW48" s="69"/>
      <c r="AX48" s="70"/>
      <c r="AY48" s="70"/>
      <c r="AZ48" s="71"/>
      <c r="BA48" s="69">
        <v>3</v>
      </c>
      <c r="BB48" s="70"/>
      <c r="BC48" s="70"/>
      <c r="BD48" s="71"/>
      <c r="BE48" s="69"/>
      <c r="BF48" s="70"/>
      <c r="BG48" s="70"/>
      <c r="BH48" s="71"/>
      <c r="BI48" s="69"/>
      <c r="BJ48" s="70"/>
      <c r="BK48" s="70"/>
      <c r="BL48" s="71"/>
      <c r="BM48" s="69"/>
      <c r="BN48" s="70"/>
      <c r="BO48" s="70"/>
      <c r="BP48" s="71"/>
      <c r="BQ48" s="69">
        <v>1</v>
      </c>
      <c r="BR48" s="70"/>
      <c r="BS48" s="70"/>
      <c r="BT48" s="71"/>
      <c r="BU48" s="69"/>
      <c r="BV48" s="70"/>
      <c r="BW48" s="70"/>
      <c r="BX48" s="71"/>
      <c r="BY48" s="69"/>
      <c r="BZ48" s="70"/>
      <c r="CA48" s="70"/>
      <c r="CB48" s="71"/>
      <c r="CC48" s="69"/>
      <c r="CD48" s="70"/>
      <c r="CE48" s="70"/>
      <c r="CF48" s="71"/>
      <c r="CG48" s="38"/>
      <c r="CH48" s="82"/>
      <c r="CI48" s="82"/>
      <c r="CJ48" s="83"/>
      <c r="CK48" s="20"/>
      <c r="CN48"/>
      <c r="CO48"/>
      <c r="CP48"/>
      <c r="CQ48"/>
      <c r="CR48"/>
      <c r="CS48"/>
      <c r="CT48"/>
      <c r="CU48"/>
      <c r="CV48"/>
      <c r="CW48"/>
      <c r="CX48"/>
      <c r="CY48"/>
      <c r="CZ48"/>
      <c r="DA48"/>
      <c r="DL48"/>
      <c r="DM48"/>
    </row>
    <row r="49" spans="2:117" ht="6" customHeight="1" x14ac:dyDescent="0.25">
      <c r="B49" s="72" t="s">
        <v>59</v>
      </c>
      <c r="C49" s="73"/>
      <c r="D49" s="27"/>
      <c r="E49" s="28"/>
      <c r="F49" s="29"/>
      <c r="G49" s="29"/>
      <c r="H49" s="30"/>
      <c r="I49" s="28"/>
      <c r="J49" s="29"/>
      <c r="K49" s="29"/>
      <c r="L49" s="30"/>
      <c r="M49" s="28"/>
      <c r="N49" s="29"/>
      <c r="O49" s="29"/>
      <c r="P49" s="30"/>
      <c r="Q49" s="28"/>
      <c r="R49" s="29"/>
      <c r="S49" s="29"/>
      <c r="T49" s="30"/>
      <c r="U49" s="28"/>
      <c r="V49" s="29"/>
      <c r="W49" s="29"/>
      <c r="X49" s="30"/>
      <c r="Y49" s="28"/>
      <c r="Z49" s="29"/>
      <c r="AA49" s="29"/>
      <c r="AB49" s="30"/>
      <c r="AC49" s="28"/>
      <c r="AD49" s="29"/>
      <c r="AE49" s="29"/>
      <c r="AF49" s="30"/>
      <c r="AG49" s="28"/>
      <c r="AH49" s="29"/>
      <c r="AI49" s="29"/>
      <c r="AJ49" s="30"/>
      <c r="AK49" s="28"/>
      <c r="AL49" s="29"/>
      <c r="AM49" s="29"/>
      <c r="AN49" s="30"/>
      <c r="AO49" s="28"/>
      <c r="AP49" s="29"/>
      <c r="AQ49" s="29"/>
      <c r="AR49" s="30"/>
      <c r="AS49" s="28"/>
      <c r="AT49" s="29"/>
      <c r="AU49" s="29"/>
      <c r="AV49" s="30"/>
      <c r="AW49" s="28"/>
      <c r="AX49" s="29"/>
      <c r="AY49" s="29"/>
      <c r="AZ49" s="30"/>
      <c r="BA49" s="28"/>
      <c r="BB49" s="29"/>
      <c r="BC49" s="29"/>
      <c r="BD49" s="30"/>
      <c r="BE49" s="28"/>
      <c r="BF49" s="29"/>
      <c r="BG49" s="29"/>
      <c r="BH49" s="30"/>
      <c r="BI49" s="28"/>
      <c r="BJ49" s="29"/>
      <c r="BK49" s="29"/>
      <c r="BL49" s="30"/>
      <c r="BM49" s="28"/>
      <c r="BN49" s="29"/>
      <c r="BO49" s="29"/>
      <c r="BP49" s="30"/>
      <c r="BQ49" s="28"/>
      <c r="BR49" s="29"/>
      <c r="BS49" s="29"/>
      <c r="BT49" s="30"/>
      <c r="BU49" s="28"/>
      <c r="BV49" s="29"/>
      <c r="BW49" s="29"/>
      <c r="BX49" s="30"/>
      <c r="BY49" s="28"/>
      <c r="BZ49" s="29"/>
      <c r="CA49" s="29"/>
      <c r="CB49" s="30"/>
      <c r="CC49" s="28"/>
      <c r="CD49" s="29"/>
      <c r="CE49" s="29"/>
      <c r="CF49" s="30"/>
      <c r="CH49" s="31"/>
      <c r="CI49" s="31"/>
      <c r="CJ49" s="83">
        <f>IF(ISBLANK(B49),"",IF(CI50&gt;=CH50,3,IF(CI50=(CH50-1),2,1)))</f>
        <v>2</v>
      </c>
      <c r="CK49" s="20"/>
      <c r="CN49"/>
      <c r="CO49"/>
      <c r="CP49"/>
      <c r="CQ49"/>
      <c r="CR49"/>
      <c r="CS49"/>
      <c r="CT49"/>
      <c r="CU49"/>
      <c r="CV49"/>
      <c r="CW49"/>
      <c r="CX49"/>
      <c r="CY49"/>
      <c r="CZ49"/>
      <c r="DA49"/>
      <c r="DL49"/>
      <c r="DM49"/>
    </row>
    <row r="50" spans="2:117" ht="15" customHeight="1" x14ac:dyDescent="0.25">
      <c r="B50" s="74"/>
      <c r="C50" s="75"/>
      <c r="D50" s="27"/>
      <c r="E50" s="33"/>
      <c r="F50" s="34"/>
      <c r="G50" s="34"/>
      <c r="H50" s="35"/>
      <c r="I50" s="33"/>
      <c r="J50" s="34"/>
      <c r="K50" s="34"/>
      <c r="L50" s="35"/>
      <c r="M50" s="33"/>
      <c r="N50" s="34"/>
      <c r="O50" s="34"/>
      <c r="P50" s="35"/>
      <c r="Q50" s="33"/>
      <c r="R50" s="34"/>
      <c r="S50" s="34"/>
      <c r="T50" s="35"/>
      <c r="U50" s="33"/>
      <c r="V50" s="34"/>
      <c r="W50" s="34"/>
      <c r="X50" s="35"/>
      <c r="Y50" s="33"/>
      <c r="Z50" s="34"/>
      <c r="AA50" s="34"/>
      <c r="AB50" s="35"/>
      <c r="AC50" s="33"/>
      <c r="AD50" s="34"/>
      <c r="AE50" s="34"/>
      <c r="AF50" s="35"/>
      <c r="AG50" s="33"/>
      <c r="AH50" s="34"/>
      <c r="AI50" s="34"/>
      <c r="AJ50" s="35"/>
      <c r="AK50" s="33"/>
      <c r="AL50" s="34"/>
      <c r="AM50" s="34"/>
      <c r="AN50" s="35"/>
      <c r="AO50" s="33"/>
      <c r="AP50" s="34"/>
      <c r="AQ50" s="34"/>
      <c r="AR50" s="35"/>
      <c r="AS50" s="33"/>
      <c r="AT50" s="34"/>
      <c r="AU50" s="34"/>
      <c r="AV50" s="35"/>
      <c r="AW50" s="33"/>
      <c r="AX50" s="34"/>
      <c r="AY50" s="34"/>
      <c r="AZ50" s="35"/>
      <c r="BA50" s="33"/>
      <c r="BB50" s="34"/>
      <c r="BC50" s="34"/>
      <c r="BD50" s="35"/>
      <c r="BE50" s="33"/>
      <c r="BF50" s="34"/>
      <c r="BG50" s="34"/>
      <c r="BH50" s="35"/>
      <c r="BI50" s="33"/>
      <c r="BJ50" s="34"/>
      <c r="BK50" s="34"/>
      <c r="BL50" s="35"/>
      <c r="BM50" s="33"/>
      <c r="BN50" s="34"/>
      <c r="BO50" s="34"/>
      <c r="BP50" s="35"/>
      <c r="BQ50" s="33"/>
      <c r="BR50" s="34"/>
      <c r="BS50" s="34"/>
      <c r="BT50" s="35"/>
      <c r="BU50" s="33"/>
      <c r="BV50" s="34"/>
      <c r="BW50" s="34"/>
      <c r="BX50" s="35"/>
      <c r="BY50" s="33"/>
      <c r="BZ50" s="34"/>
      <c r="CA50" s="34"/>
      <c r="CB50" s="35"/>
      <c r="CC50" s="33"/>
      <c r="CD50" s="34"/>
      <c r="CE50" s="34"/>
      <c r="CF50" s="35"/>
      <c r="CH50" s="36">
        <v>2</v>
      </c>
      <c r="CI50" s="37">
        <f>IF(ISBLANK(B49),"",COUNTIF(B52:CF52,"&gt;=3"))</f>
        <v>1</v>
      </c>
      <c r="CJ50" s="83"/>
      <c r="CK50" s="20"/>
      <c r="CN50"/>
      <c r="CO50"/>
      <c r="CP50"/>
      <c r="CQ50"/>
      <c r="CR50"/>
      <c r="CS50"/>
      <c r="CT50"/>
      <c r="CU50"/>
      <c r="CV50"/>
      <c r="CW50"/>
      <c r="CX50"/>
      <c r="CY50"/>
      <c r="CZ50"/>
      <c r="DA50"/>
      <c r="DL50"/>
      <c r="DM50"/>
    </row>
    <row r="51" spans="2:117" ht="15" customHeight="1" x14ac:dyDescent="0.25">
      <c r="B51" s="74"/>
      <c r="C51" s="75"/>
      <c r="D51" s="27"/>
      <c r="E51" s="33"/>
      <c r="F51" s="34"/>
      <c r="G51" s="34"/>
      <c r="H51" s="35"/>
      <c r="I51" s="33"/>
      <c r="J51" s="34"/>
      <c r="K51" s="34"/>
      <c r="L51" s="35"/>
      <c r="M51" s="33"/>
      <c r="N51" s="34"/>
      <c r="O51" s="34"/>
      <c r="P51" s="35"/>
      <c r="Q51" s="33"/>
      <c r="R51" s="34"/>
      <c r="S51" s="34"/>
      <c r="T51" s="35"/>
      <c r="U51" s="33"/>
      <c r="V51" s="34"/>
      <c r="W51" s="34"/>
      <c r="X51" s="35"/>
      <c r="Y51" s="33"/>
      <c r="Z51" s="34"/>
      <c r="AA51" s="34"/>
      <c r="AB51" s="35"/>
      <c r="AC51" s="33"/>
      <c r="AD51" s="34"/>
      <c r="AE51" s="34"/>
      <c r="AF51" s="35"/>
      <c r="AG51" s="33"/>
      <c r="AH51" s="34"/>
      <c r="AI51" s="34"/>
      <c r="AJ51" s="35"/>
      <c r="AK51" s="33"/>
      <c r="AL51" s="34"/>
      <c r="AM51" s="34"/>
      <c r="AN51" s="35"/>
      <c r="AO51" s="33"/>
      <c r="AP51" s="34"/>
      <c r="AQ51" s="34"/>
      <c r="AR51" s="35"/>
      <c r="AS51" s="33"/>
      <c r="AT51" s="34"/>
      <c r="AU51" s="34"/>
      <c r="AV51" s="35"/>
      <c r="AW51" s="33"/>
      <c r="AX51" s="34"/>
      <c r="AY51" s="34"/>
      <c r="AZ51" s="35"/>
      <c r="BA51" s="33"/>
      <c r="BB51" s="34"/>
      <c r="BC51" s="34"/>
      <c r="BD51" s="35"/>
      <c r="BE51" s="33"/>
      <c r="BF51" s="34"/>
      <c r="BG51" s="34"/>
      <c r="BH51" s="35"/>
      <c r="BI51" s="33"/>
      <c r="BJ51" s="34"/>
      <c r="BK51" s="34"/>
      <c r="BL51" s="35"/>
      <c r="BM51" s="33"/>
      <c r="BN51" s="34"/>
      <c r="BO51" s="34"/>
      <c r="BP51" s="35"/>
      <c r="BQ51" s="33"/>
      <c r="BR51" s="34"/>
      <c r="BS51" s="34"/>
      <c r="BT51" s="35"/>
      <c r="BU51" s="33"/>
      <c r="BV51" s="34"/>
      <c r="BW51" s="34"/>
      <c r="BX51" s="35"/>
      <c r="BY51" s="33"/>
      <c r="BZ51" s="34"/>
      <c r="CA51" s="34"/>
      <c r="CB51" s="35"/>
      <c r="CC51" s="33"/>
      <c r="CD51" s="34"/>
      <c r="CE51" s="34"/>
      <c r="CF51" s="35"/>
      <c r="CH51" s="81" t="str">
        <f>IF(ISBLANK(B49),"","personas cualificadas")</f>
        <v>personas cualificadas</v>
      </c>
      <c r="CI51" s="81" t="str">
        <f>IF(ISBLANK(B49),"","personas cualificadas")</f>
        <v>personas cualificadas</v>
      </c>
      <c r="CJ51" s="83"/>
      <c r="CK51" s="20"/>
      <c r="CN51"/>
      <c r="CO51"/>
      <c r="CP51"/>
      <c r="CQ51"/>
      <c r="CR51"/>
      <c r="CS51"/>
      <c r="CT51"/>
      <c r="CU51"/>
      <c r="CV51"/>
      <c r="CW51"/>
      <c r="CX51"/>
      <c r="CY51"/>
      <c r="CZ51"/>
      <c r="DA51"/>
      <c r="DL51"/>
      <c r="DM51"/>
    </row>
    <row r="52" spans="2:117" s="42" customFormat="1" ht="16.5" customHeight="1" x14ac:dyDescent="0.2">
      <c r="B52" s="76"/>
      <c r="C52" s="77"/>
      <c r="D52" s="39"/>
      <c r="E52" s="69"/>
      <c r="F52" s="70"/>
      <c r="G52" s="70"/>
      <c r="H52" s="71"/>
      <c r="I52" s="69"/>
      <c r="J52" s="70"/>
      <c r="K52" s="70"/>
      <c r="L52" s="71"/>
      <c r="M52" s="69"/>
      <c r="N52" s="70"/>
      <c r="O52" s="70"/>
      <c r="P52" s="71"/>
      <c r="Q52" s="69"/>
      <c r="R52" s="70"/>
      <c r="S52" s="70"/>
      <c r="T52" s="71"/>
      <c r="U52" s="69"/>
      <c r="V52" s="70"/>
      <c r="W52" s="70"/>
      <c r="X52" s="71"/>
      <c r="Y52" s="69"/>
      <c r="Z52" s="70"/>
      <c r="AA52" s="70"/>
      <c r="AB52" s="71"/>
      <c r="AC52" s="69"/>
      <c r="AD52" s="70"/>
      <c r="AE52" s="70"/>
      <c r="AF52" s="71"/>
      <c r="AG52" s="69"/>
      <c r="AH52" s="70"/>
      <c r="AI52" s="70"/>
      <c r="AJ52" s="71"/>
      <c r="AK52" s="69"/>
      <c r="AL52" s="70"/>
      <c r="AM52" s="70"/>
      <c r="AN52" s="71"/>
      <c r="AO52" s="69"/>
      <c r="AP52" s="70"/>
      <c r="AQ52" s="70"/>
      <c r="AR52" s="71"/>
      <c r="AS52" s="69"/>
      <c r="AT52" s="70"/>
      <c r="AU52" s="70"/>
      <c r="AV52" s="71"/>
      <c r="AW52" s="69">
        <v>1</v>
      </c>
      <c r="AX52" s="70"/>
      <c r="AY52" s="70"/>
      <c r="AZ52" s="71"/>
      <c r="BA52" s="69"/>
      <c r="BB52" s="70"/>
      <c r="BC52" s="70"/>
      <c r="BD52" s="71"/>
      <c r="BE52" s="69">
        <v>1</v>
      </c>
      <c r="BF52" s="70"/>
      <c r="BG52" s="70"/>
      <c r="BH52" s="71"/>
      <c r="BI52" s="69">
        <v>4</v>
      </c>
      <c r="BJ52" s="70"/>
      <c r="BK52" s="70"/>
      <c r="BL52" s="71"/>
      <c r="BM52" s="69"/>
      <c r="BN52" s="70"/>
      <c r="BO52" s="70"/>
      <c r="BP52" s="71"/>
      <c r="BQ52" s="69"/>
      <c r="BR52" s="70"/>
      <c r="BS52" s="70"/>
      <c r="BT52" s="71"/>
      <c r="BU52" s="69"/>
      <c r="BV52" s="70"/>
      <c r="BW52" s="70"/>
      <c r="BX52" s="71"/>
      <c r="BY52" s="69"/>
      <c r="BZ52" s="70"/>
      <c r="CA52" s="70"/>
      <c r="CB52" s="71"/>
      <c r="CC52" s="69"/>
      <c r="CD52" s="70"/>
      <c r="CE52" s="70"/>
      <c r="CF52" s="71"/>
      <c r="CG52" s="40"/>
      <c r="CH52" s="82"/>
      <c r="CI52" s="82"/>
      <c r="CJ52" s="83"/>
      <c r="CK52" s="41"/>
    </row>
    <row r="53" spans="2:117" ht="6" customHeight="1" x14ac:dyDescent="0.25">
      <c r="B53" s="72" t="s">
        <v>60</v>
      </c>
      <c r="C53" s="73"/>
      <c r="D53" s="27"/>
      <c r="E53" s="28"/>
      <c r="F53" s="29"/>
      <c r="G53" s="29"/>
      <c r="H53" s="30"/>
      <c r="I53" s="28"/>
      <c r="J53" s="29"/>
      <c r="K53" s="29"/>
      <c r="L53" s="30"/>
      <c r="M53" s="28"/>
      <c r="N53" s="29"/>
      <c r="O53" s="29"/>
      <c r="P53" s="30"/>
      <c r="Q53" s="28"/>
      <c r="R53" s="29"/>
      <c r="S53" s="29"/>
      <c r="T53" s="30"/>
      <c r="U53" s="28"/>
      <c r="V53" s="29"/>
      <c r="W53" s="29"/>
      <c r="X53" s="30"/>
      <c r="Y53" s="28"/>
      <c r="Z53" s="29"/>
      <c r="AA53" s="29"/>
      <c r="AB53" s="30"/>
      <c r="AC53" s="28"/>
      <c r="AD53" s="29"/>
      <c r="AE53" s="29"/>
      <c r="AF53" s="30"/>
      <c r="AG53" s="28"/>
      <c r="AH53" s="29"/>
      <c r="AI53" s="29"/>
      <c r="AJ53" s="30"/>
      <c r="AK53" s="28"/>
      <c r="AL53" s="29"/>
      <c r="AM53" s="29"/>
      <c r="AN53" s="30"/>
      <c r="AO53" s="28"/>
      <c r="AP53" s="29"/>
      <c r="AQ53" s="29"/>
      <c r="AR53" s="30"/>
      <c r="AS53" s="28"/>
      <c r="AT53" s="29"/>
      <c r="AU53" s="29"/>
      <c r="AV53" s="30"/>
      <c r="AW53" s="28"/>
      <c r="AX53" s="29"/>
      <c r="AY53" s="29"/>
      <c r="AZ53" s="30"/>
      <c r="BA53" s="28"/>
      <c r="BB53" s="29"/>
      <c r="BC53" s="29"/>
      <c r="BD53" s="30"/>
      <c r="BE53" s="28"/>
      <c r="BF53" s="29"/>
      <c r="BG53" s="29"/>
      <c r="BH53" s="30"/>
      <c r="BI53" s="28"/>
      <c r="BJ53" s="29"/>
      <c r="BK53" s="29"/>
      <c r="BL53" s="30"/>
      <c r="BM53" s="28"/>
      <c r="BN53" s="29"/>
      <c r="BO53" s="29"/>
      <c r="BP53" s="30"/>
      <c r="BQ53" s="28"/>
      <c r="BR53" s="29"/>
      <c r="BS53" s="29"/>
      <c r="BT53" s="30"/>
      <c r="BU53" s="28"/>
      <c r="BV53" s="29"/>
      <c r="BW53" s="29"/>
      <c r="BX53" s="30"/>
      <c r="BY53" s="28"/>
      <c r="BZ53" s="29"/>
      <c r="CA53" s="29"/>
      <c r="CB53" s="30"/>
      <c r="CC53" s="28"/>
      <c r="CD53" s="29"/>
      <c r="CE53" s="29"/>
      <c r="CF53" s="30"/>
      <c r="CH53" s="31"/>
      <c r="CI53" s="31"/>
      <c r="CJ53" s="78">
        <f>IF(ISBLANK(B53),"",IF(CI54&gt;=CH54,3,IF(CI54=(CH54-1),2,1)))</f>
        <v>1</v>
      </c>
      <c r="CK53" s="20"/>
      <c r="CN53"/>
      <c r="CO53"/>
      <c r="CP53"/>
      <c r="CQ53"/>
      <c r="CR53"/>
      <c r="CS53"/>
      <c r="CT53"/>
      <c r="CU53"/>
      <c r="CV53"/>
      <c r="CW53"/>
      <c r="CX53"/>
      <c r="CY53"/>
      <c r="CZ53"/>
      <c r="DA53"/>
      <c r="DL53"/>
      <c r="DM53"/>
    </row>
    <row r="54" spans="2:117" ht="15" customHeight="1" x14ac:dyDescent="0.25">
      <c r="B54" s="74"/>
      <c r="C54" s="75"/>
      <c r="D54" s="27"/>
      <c r="E54" s="33"/>
      <c r="F54" s="34"/>
      <c r="G54" s="34"/>
      <c r="H54" s="35"/>
      <c r="I54" s="33"/>
      <c r="J54" s="34"/>
      <c r="K54" s="34"/>
      <c r="L54" s="35"/>
      <c r="M54" s="33"/>
      <c r="N54" s="34"/>
      <c r="O54" s="34"/>
      <c r="P54" s="35"/>
      <c r="Q54" s="33"/>
      <c r="R54" s="34"/>
      <c r="S54" s="34"/>
      <c r="T54" s="35"/>
      <c r="U54" s="33"/>
      <c r="V54" s="34"/>
      <c r="W54" s="34"/>
      <c r="X54" s="35"/>
      <c r="Y54" s="33"/>
      <c r="Z54" s="34"/>
      <c r="AA54" s="34"/>
      <c r="AB54" s="35"/>
      <c r="AC54" s="33"/>
      <c r="AD54" s="34"/>
      <c r="AE54" s="34"/>
      <c r="AF54" s="35"/>
      <c r="AG54" s="33"/>
      <c r="AH54" s="34"/>
      <c r="AI54" s="34"/>
      <c r="AJ54" s="35"/>
      <c r="AK54" s="33"/>
      <c r="AL54" s="34"/>
      <c r="AM54" s="34"/>
      <c r="AN54" s="35"/>
      <c r="AO54" s="33"/>
      <c r="AP54" s="34"/>
      <c r="AQ54" s="34"/>
      <c r="AR54" s="35"/>
      <c r="AS54" s="33"/>
      <c r="AT54" s="34"/>
      <c r="AU54" s="34"/>
      <c r="AV54" s="35"/>
      <c r="AW54" s="33"/>
      <c r="AX54" s="34"/>
      <c r="AY54" s="34"/>
      <c r="AZ54" s="35"/>
      <c r="BA54" s="33"/>
      <c r="BB54" s="34"/>
      <c r="BC54" s="34"/>
      <c r="BD54" s="35"/>
      <c r="BE54" s="33"/>
      <c r="BF54" s="34"/>
      <c r="BG54" s="34"/>
      <c r="BH54" s="35"/>
      <c r="BI54" s="33"/>
      <c r="BJ54" s="34"/>
      <c r="BK54" s="34"/>
      <c r="BL54" s="35"/>
      <c r="BM54" s="33"/>
      <c r="BN54" s="34"/>
      <c r="BO54" s="34"/>
      <c r="BP54" s="35"/>
      <c r="BQ54" s="33"/>
      <c r="BR54" s="34"/>
      <c r="BS54" s="34"/>
      <c r="BT54" s="35"/>
      <c r="BU54" s="33"/>
      <c r="BV54" s="34"/>
      <c r="BW54" s="34"/>
      <c r="BX54" s="35"/>
      <c r="BY54" s="33"/>
      <c r="BZ54" s="34"/>
      <c r="CA54" s="34"/>
      <c r="CB54" s="35"/>
      <c r="CC54" s="33"/>
      <c r="CD54" s="34"/>
      <c r="CE54" s="34"/>
      <c r="CF54" s="35"/>
      <c r="CH54" s="36">
        <v>3</v>
      </c>
      <c r="CI54" s="37">
        <f>IF(ISBLANK(B53),"",COUNTIF(B56:CF56,"&gt;=3"))</f>
        <v>1</v>
      </c>
      <c r="CJ54" s="79"/>
      <c r="CK54" s="20"/>
      <c r="CN54"/>
      <c r="CO54"/>
      <c r="CP54"/>
      <c r="CQ54"/>
      <c r="CR54"/>
      <c r="CS54"/>
      <c r="CT54"/>
      <c r="CU54"/>
      <c r="CV54"/>
      <c r="CW54"/>
      <c r="CX54"/>
      <c r="CY54"/>
      <c r="CZ54"/>
      <c r="DA54"/>
      <c r="DL54"/>
      <c r="DM54"/>
    </row>
    <row r="55" spans="2:117" ht="15" customHeight="1" x14ac:dyDescent="0.25">
      <c r="B55" s="74"/>
      <c r="C55" s="75"/>
      <c r="D55" s="27"/>
      <c r="E55" s="33"/>
      <c r="F55" s="34"/>
      <c r="G55" s="34"/>
      <c r="H55" s="35"/>
      <c r="I55" s="33"/>
      <c r="J55" s="34"/>
      <c r="K55" s="34"/>
      <c r="L55" s="35"/>
      <c r="M55" s="33"/>
      <c r="N55" s="34"/>
      <c r="O55" s="34"/>
      <c r="P55" s="35"/>
      <c r="Q55" s="33"/>
      <c r="R55" s="34"/>
      <c r="S55" s="34"/>
      <c r="T55" s="35"/>
      <c r="U55" s="33"/>
      <c r="V55" s="34"/>
      <c r="W55" s="34"/>
      <c r="X55" s="35"/>
      <c r="Y55" s="33"/>
      <c r="Z55" s="34"/>
      <c r="AA55" s="34"/>
      <c r="AB55" s="35"/>
      <c r="AC55" s="33"/>
      <c r="AD55" s="34"/>
      <c r="AE55" s="34"/>
      <c r="AF55" s="35"/>
      <c r="AG55" s="33"/>
      <c r="AH55" s="34"/>
      <c r="AI55" s="34"/>
      <c r="AJ55" s="35"/>
      <c r="AK55" s="33"/>
      <c r="AL55" s="34"/>
      <c r="AM55" s="34"/>
      <c r="AN55" s="35"/>
      <c r="AO55" s="33"/>
      <c r="AP55" s="34"/>
      <c r="AQ55" s="34"/>
      <c r="AR55" s="35"/>
      <c r="AS55" s="33"/>
      <c r="AT55" s="34"/>
      <c r="AU55" s="34"/>
      <c r="AV55" s="35"/>
      <c r="AW55" s="33"/>
      <c r="AX55" s="34"/>
      <c r="AY55" s="34"/>
      <c r="AZ55" s="35"/>
      <c r="BA55" s="33"/>
      <c r="BB55" s="34"/>
      <c r="BC55" s="34"/>
      <c r="BD55" s="35"/>
      <c r="BE55" s="33"/>
      <c r="BF55" s="34"/>
      <c r="BG55" s="34"/>
      <c r="BH55" s="35"/>
      <c r="BI55" s="33"/>
      <c r="BJ55" s="34"/>
      <c r="BK55" s="34"/>
      <c r="BL55" s="35"/>
      <c r="BM55" s="33"/>
      <c r="BN55" s="34"/>
      <c r="BO55" s="34"/>
      <c r="BP55" s="35"/>
      <c r="BQ55" s="33"/>
      <c r="BR55" s="34"/>
      <c r="BS55" s="34"/>
      <c r="BT55" s="35"/>
      <c r="BU55" s="33"/>
      <c r="BV55" s="34"/>
      <c r="BW55" s="34"/>
      <c r="BX55" s="35"/>
      <c r="BY55" s="33"/>
      <c r="BZ55" s="34"/>
      <c r="CA55" s="34"/>
      <c r="CB55" s="35"/>
      <c r="CC55" s="33"/>
      <c r="CD55" s="34"/>
      <c r="CE55" s="34"/>
      <c r="CF55" s="35"/>
      <c r="CH55" s="81" t="str">
        <f>IF(ISBLANK(B53),"","personas cualificadas")</f>
        <v>personas cualificadas</v>
      </c>
      <c r="CI55" s="81" t="str">
        <f>IF(ISBLANK(B53),"","personas cualificadas")</f>
        <v>personas cualificadas</v>
      </c>
      <c r="CJ55" s="79"/>
      <c r="CK55" s="20"/>
      <c r="CN55"/>
      <c r="CO55"/>
      <c r="CP55"/>
      <c r="CQ55"/>
      <c r="CR55"/>
      <c r="CS55"/>
      <c r="CT55"/>
      <c r="CU55"/>
      <c r="CV55"/>
      <c r="CW55"/>
      <c r="CX55"/>
      <c r="CY55"/>
      <c r="CZ55"/>
      <c r="DA55"/>
      <c r="DL55"/>
      <c r="DM55"/>
    </row>
    <row r="56" spans="2:117" s="42" customFormat="1" x14ac:dyDescent="0.2">
      <c r="B56" s="76"/>
      <c r="C56" s="77"/>
      <c r="D56" s="39"/>
      <c r="E56" s="69"/>
      <c r="F56" s="70"/>
      <c r="G56" s="70"/>
      <c r="H56" s="71"/>
      <c r="I56" s="69"/>
      <c r="J56" s="70"/>
      <c r="K56" s="70"/>
      <c r="L56" s="71"/>
      <c r="M56" s="69"/>
      <c r="N56" s="70"/>
      <c r="O56" s="70"/>
      <c r="P56" s="71"/>
      <c r="Q56" s="69"/>
      <c r="R56" s="70"/>
      <c r="S56" s="70"/>
      <c r="T56" s="71"/>
      <c r="U56" s="69"/>
      <c r="V56" s="70"/>
      <c r="W56" s="70"/>
      <c r="X56" s="71"/>
      <c r="Y56" s="69"/>
      <c r="Z56" s="70"/>
      <c r="AA56" s="70"/>
      <c r="AB56" s="71"/>
      <c r="AC56" s="69"/>
      <c r="AD56" s="70"/>
      <c r="AE56" s="70"/>
      <c r="AF56" s="71"/>
      <c r="AG56" s="69"/>
      <c r="AH56" s="70"/>
      <c r="AI56" s="70"/>
      <c r="AJ56" s="71"/>
      <c r="AK56" s="69"/>
      <c r="AL56" s="70"/>
      <c r="AM56" s="70"/>
      <c r="AN56" s="71"/>
      <c r="AO56" s="69"/>
      <c r="AP56" s="70"/>
      <c r="AQ56" s="70"/>
      <c r="AR56" s="71"/>
      <c r="AS56" s="69"/>
      <c r="AT56" s="70"/>
      <c r="AU56" s="70"/>
      <c r="AV56" s="71"/>
      <c r="AW56" s="69"/>
      <c r="AX56" s="70"/>
      <c r="AY56" s="70"/>
      <c r="AZ56" s="71"/>
      <c r="BA56" s="69"/>
      <c r="BB56" s="70"/>
      <c r="BC56" s="70"/>
      <c r="BD56" s="71"/>
      <c r="BE56" s="69"/>
      <c r="BF56" s="70"/>
      <c r="BG56" s="70"/>
      <c r="BH56" s="71"/>
      <c r="BI56" s="69">
        <v>4</v>
      </c>
      <c r="BJ56" s="70"/>
      <c r="BK56" s="70"/>
      <c r="BL56" s="71"/>
      <c r="BM56" s="69"/>
      <c r="BN56" s="70"/>
      <c r="BO56" s="70"/>
      <c r="BP56" s="71"/>
      <c r="BQ56" s="69"/>
      <c r="BR56" s="70"/>
      <c r="BS56" s="70"/>
      <c r="BT56" s="71"/>
      <c r="BU56" s="69"/>
      <c r="BV56" s="70"/>
      <c r="BW56" s="70"/>
      <c r="BX56" s="71"/>
      <c r="BY56" s="69"/>
      <c r="BZ56" s="70"/>
      <c r="CA56" s="70"/>
      <c r="CB56" s="71"/>
      <c r="CC56" s="69"/>
      <c r="CD56" s="70"/>
      <c r="CE56" s="70"/>
      <c r="CF56" s="71"/>
      <c r="CG56" s="40"/>
      <c r="CH56" s="82"/>
      <c r="CI56" s="82"/>
      <c r="CJ56" s="80"/>
      <c r="CK56" s="41"/>
    </row>
    <row r="57" spans="2:117" ht="6" customHeight="1" x14ac:dyDescent="0.25">
      <c r="B57" s="72" t="s">
        <v>61</v>
      </c>
      <c r="C57" s="73"/>
      <c r="D57" s="27"/>
      <c r="E57" s="28"/>
      <c r="F57" s="29"/>
      <c r="G57" s="29"/>
      <c r="H57" s="30"/>
      <c r="I57" s="28"/>
      <c r="J57" s="29"/>
      <c r="K57" s="29"/>
      <c r="L57" s="30"/>
      <c r="M57" s="28"/>
      <c r="N57" s="29"/>
      <c r="O57" s="29"/>
      <c r="P57" s="30"/>
      <c r="Q57" s="28"/>
      <c r="R57" s="29"/>
      <c r="S57" s="29"/>
      <c r="T57" s="30"/>
      <c r="U57" s="28"/>
      <c r="V57" s="29"/>
      <c r="W57" s="29"/>
      <c r="X57" s="30"/>
      <c r="Y57" s="28"/>
      <c r="Z57" s="29"/>
      <c r="AA57" s="29"/>
      <c r="AB57" s="30"/>
      <c r="AC57" s="28"/>
      <c r="AD57" s="29"/>
      <c r="AE57" s="29"/>
      <c r="AF57" s="30"/>
      <c r="AG57" s="28"/>
      <c r="AH57" s="29"/>
      <c r="AI57" s="29"/>
      <c r="AJ57" s="30"/>
      <c r="AK57" s="28"/>
      <c r="AL57" s="29"/>
      <c r="AM57" s="29"/>
      <c r="AN57" s="30"/>
      <c r="AO57" s="28"/>
      <c r="AP57" s="29"/>
      <c r="AQ57" s="29"/>
      <c r="AR57" s="30"/>
      <c r="AS57" s="28"/>
      <c r="AT57" s="29"/>
      <c r="AU57" s="29"/>
      <c r="AV57" s="30"/>
      <c r="AW57" s="28"/>
      <c r="AX57" s="29"/>
      <c r="AY57" s="29"/>
      <c r="AZ57" s="30"/>
      <c r="BA57" s="28"/>
      <c r="BB57" s="29"/>
      <c r="BC57" s="29"/>
      <c r="BD57" s="30"/>
      <c r="BE57" s="28"/>
      <c r="BF57" s="29"/>
      <c r="BG57" s="29"/>
      <c r="BH57" s="30"/>
      <c r="BI57" s="28"/>
      <c r="BJ57" s="29"/>
      <c r="BK57" s="29"/>
      <c r="BL57" s="30"/>
      <c r="BM57" s="28"/>
      <c r="BN57" s="29"/>
      <c r="BO57" s="29"/>
      <c r="BP57" s="30"/>
      <c r="BQ57" s="28"/>
      <c r="BR57" s="29"/>
      <c r="BS57" s="29"/>
      <c r="BT57" s="30"/>
      <c r="BU57" s="28"/>
      <c r="BV57" s="29"/>
      <c r="BW57" s="29"/>
      <c r="BX57" s="30"/>
      <c r="BY57" s="28"/>
      <c r="BZ57" s="29"/>
      <c r="CA57" s="29"/>
      <c r="CB57" s="30"/>
      <c r="CC57" s="28"/>
      <c r="CD57" s="29"/>
      <c r="CE57" s="29"/>
      <c r="CF57" s="30"/>
      <c r="CH57" s="31"/>
      <c r="CI57" s="31"/>
      <c r="CJ57" s="78">
        <f>IF(ISBLANK(B57),"",IF(CI58&gt;=CH58,3,IF(CI58=(CH58-1),2,1)))</f>
        <v>1</v>
      </c>
      <c r="CK57" s="20"/>
      <c r="CN57"/>
      <c r="CO57"/>
      <c r="CP57"/>
      <c r="CQ57"/>
      <c r="CR57"/>
      <c r="CS57"/>
      <c r="CT57"/>
      <c r="CU57"/>
      <c r="CV57"/>
      <c r="CW57"/>
      <c r="CX57"/>
      <c r="CY57"/>
      <c r="CZ57"/>
      <c r="DA57"/>
      <c r="DL57"/>
      <c r="DM57"/>
    </row>
    <row r="58" spans="2:117" ht="15" customHeight="1" x14ac:dyDescent="0.25">
      <c r="B58" s="74"/>
      <c r="C58" s="75"/>
      <c r="D58" s="27"/>
      <c r="E58" s="33"/>
      <c r="F58" s="34"/>
      <c r="G58" s="34"/>
      <c r="H58" s="35"/>
      <c r="I58" s="33"/>
      <c r="J58" s="34"/>
      <c r="K58" s="34"/>
      <c r="L58" s="35"/>
      <c r="M58" s="33"/>
      <c r="N58" s="34"/>
      <c r="O58" s="34"/>
      <c r="P58" s="35"/>
      <c r="Q58" s="33"/>
      <c r="R58" s="34"/>
      <c r="S58" s="34"/>
      <c r="T58" s="35"/>
      <c r="U58" s="33"/>
      <c r="V58" s="34"/>
      <c r="W58" s="34"/>
      <c r="X58" s="35"/>
      <c r="Y58" s="33"/>
      <c r="Z58" s="34"/>
      <c r="AA58" s="34"/>
      <c r="AB58" s="35"/>
      <c r="AC58" s="33"/>
      <c r="AD58" s="34"/>
      <c r="AE58" s="34"/>
      <c r="AF58" s="35"/>
      <c r="AG58" s="33"/>
      <c r="AH58" s="34"/>
      <c r="AI58" s="34"/>
      <c r="AJ58" s="35"/>
      <c r="AK58" s="33"/>
      <c r="AL58" s="34"/>
      <c r="AM58" s="34"/>
      <c r="AN58" s="35"/>
      <c r="AO58" s="33"/>
      <c r="AP58" s="34"/>
      <c r="AQ58" s="34"/>
      <c r="AR58" s="35"/>
      <c r="AS58" s="33"/>
      <c r="AT58" s="34"/>
      <c r="AU58" s="34"/>
      <c r="AV58" s="35"/>
      <c r="AW58" s="33"/>
      <c r="AX58" s="34"/>
      <c r="AY58" s="34"/>
      <c r="AZ58" s="35"/>
      <c r="BA58" s="33"/>
      <c r="BB58" s="34"/>
      <c r="BC58" s="34"/>
      <c r="BD58" s="35"/>
      <c r="BE58" s="33"/>
      <c r="BF58" s="34"/>
      <c r="BG58" s="34"/>
      <c r="BH58" s="35"/>
      <c r="BI58" s="33"/>
      <c r="BJ58" s="34"/>
      <c r="BK58" s="34"/>
      <c r="BL58" s="35"/>
      <c r="BM58" s="33"/>
      <c r="BN58" s="34"/>
      <c r="BO58" s="34"/>
      <c r="BP58" s="35"/>
      <c r="BQ58" s="33"/>
      <c r="BR58" s="34"/>
      <c r="BS58" s="34"/>
      <c r="BT58" s="35"/>
      <c r="BU58" s="33"/>
      <c r="BV58" s="34"/>
      <c r="BW58" s="34"/>
      <c r="BX58" s="35"/>
      <c r="BY58" s="33"/>
      <c r="BZ58" s="34"/>
      <c r="CA58" s="34"/>
      <c r="CB58" s="35"/>
      <c r="CC58" s="33"/>
      <c r="CD58" s="34"/>
      <c r="CE58" s="34"/>
      <c r="CF58" s="35"/>
      <c r="CH58" s="36">
        <v>5</v>
      </c>
      <c r="CI58" s="37">
        <f>IF(ISBLANK(B57),"",COUNTIF(B60:CF60,"&gt;=3"))</f>
        <v>0</v>
      </c>
      <c r="CJ58" s="79"/>
      <c r="CK58" s="20"/>
      <c r="CN58"/>
      <c r="CO58"/>
      <c r="CP58"/>
      <c r="CQ58"/>
      <c r="CR58"/>
      <c r="CS58"/>
      <c r="CT58"/>
      <c r="CU58"/>
      <c r="CV58"/>
      <c r="CW58"/>
      <c r="CX58"/>
      <c r="CY58"/>
      <c r="CZ58"/>
      <c r="DA58"/>
      <c r="DL58"/>
      <c r="DM58"/>
    </row>
    <row r="59" spans="2:117" ht="15" customHeight="1" x14ac:dyDescent="0.25">
      <c r="B59" s="74"/>
      <c r="C59" s="75"/>
      <c r="D59" s="27"/>
      <c r="E59" s="33"/>
      <c r="F59" s="34"/>
      <c r="G59" s="34"/>
      <c r="H59" s="35"/>
      <c r="I59" s="33"/>
      <c r="J59" s="34"/>
      <c r="K59" s="34"/>
      <c r="L59" s="35"/>
      <c r="M59" s="33"/>
      <c r="N59" s="34"/>
      <c r="O59" s="34"/>
      <c r="P59" s="35"/>
      <c r="Q59" s="33"/>
      <c r="R59" s="34"/>
      <c r="S59" s="34"/>
      <c r="T59" s="35"/>
      <c r="U59" s="33"/>
      <c r="V59" s="34"/>
      <c r="W59" s="34"/>
      <c r="X59" s="35"/>
      <c r="Y59" s="33"/>
      <c r="Z59" s="34"/>
      <c r="AA59" s="34"/>
      <c r="AB59" s="35"/>
      <c r="AC59" s="33"/>
      <c r="AD59" s="34"/>
      <c r="AE59" s="34"/>
      <c r="AF59" s="35"/>
      <c r="AG59" s="33"/>
      <c r="AH59" s="34"/>
      <c r="AI59" s="34"/>
      <c r="AJ59" s="35"/>
      <c r="AK59" s="33"/>
      <c r="AL59" s="34"/>
      <c r="AM59" s="34"/>
      <c r="AN59" s="35"/>
      <c r="AO59" s="33"/>
      <c r="AP59" s="34"/>
      <c r="AQ59" s="34"/>
      <c r="AR59" s="35"/>
      <c r="AS59" s="33"/>
      <c r="AT59" s="34"/>
      <c r="AU59" s="34"/>
      <c r="AV59" s="35"/>
      <c r="AW59" s="33"/>
      <c r="AX59" s="34"/>
      <c r="AY59" s="34"/>
      <c r="AZ59" s="35"/>
      <c r="BA59" s="33"/>
      <c r="BB59" s="34"/>
      <c r="BC59" s="34"/>
      <c r="BD59" s="35"/>
      <c r="BE59" s="33"/>
      <c r="BF59" s="34"/>
      <c r="BG59" s="34"/>
      <c r="BH59" s="35"/>
      <c r="BI59" s="33"/>
      <c r="BJ59" s="34"/>
      <c r="BK59" s="34"/>
      <c r="BL59" s="35"/>
      <c r="BM59" s="33"/>
      <c r="BN59" s="34"/>
      <c r="BO59" s="34"/>
      <c r="BP59" s="35"/>
      <c r="BQ59" s="33"/>
      <c r="BR59" s="34"/>
      <c r="BS59" s="34"/>
      <c r="BT59" s="35"/>
      <c r="BU59" s="33"/>
      <c r="BV59" s="34"/>
      <c r="BW59" s="34"/>
      <c r="BX59" s="35"/>
      <c r="BY59" s="33"/>
      <c r="BZ59" s="34"/>
      <c r="CA59" s="34"/>
      <c r="CB59" s="35"/>
      <c r="CC59" s="33"/>
      <c r="CD59" s="34"/>
      <c r="CE59" s="34"/>
      <c r="CF59" s="35"/>
      <c r="CH59" s="81" t="str">
        <f>IF(ISBLANK(B57),"","personas cualificadas")</f>
        <v>personas cualificadas</v>
      </c>
      <c r="CI59" s="81" t="str">
        <f>IF(ISBLANK(B57),"","personas cualificadas")</f>
        <v>personas cualificadas</v>
      </c>
      <c r="CJ59" s="79"/>
      <c r="CK59" s="20"/>
      <c r="CN59"/>
      <c r="CO59"/>
      <c r="CP59"/>
      <c r="CQ59"/>
      <c r="CR59"/>
      <c r="CS59"/>
      <c r="CT59"/>
      <c r="CU59"/>
      <c r="CV59"/>
      <c r="CW59"/>
      <c r="CX59"/>
      <c r="CY59"/>
      <c r="CZ59"/>
      <c r="DA59"/>
      <c r="DL59"/>
      <c r="DM59"/>
    </row>
    <row r="60" spans="2:117" s="42" customFormat="1" x14ac:dyDescent="0.2">
      <c r="B60" s="76"/>
      <c r="C60" s="77"/>
      <c r="D60" s="39"/>
      <c r="E60" s="69"/>
      <c r="F60" s="70"/>
      <c r="G60" s="70"/>
      <c r="H60" s="71"/>
      <c r="I60" s="69"/>
      <c r="J60" s="70"/>
      <c r="K60" s="70"/>
      <c r="L60" s="71"/>
      <c r="M60" s="69"/>
      <c r="N60" s="70"/>
      <c r="O60" s="70"/>
      <c r="P60" s="71"/>
      <c r="Q60" s="69"/>
      <c r="R60" s="70"/>
      <c r="S60" s="70"/>
      <c r="T60" s="71"/>
      <c r="U60" s="69"/>
      <c r="V60" s="70"/>
      <c r="W60" s="70"/>
      <c r="X60" s="71"/>
      <c r="Y60" s="69"/>
      <c r="Z60" s="70"/>
      <c r="AA60" s="70"/>
      <c r="AB60" s="71"/>
      <c r="AC60" s="69"/>
      <c r="AD60" s="70"/>
      <c r="AE60" s="70"/>
      <c r="AF60" s="71"/>
      <c r="AG60" s="69"/>
      <c r="AH60" s="70"/>
      <c r="AI60" s="70"/>
      <c r="AJ60" s="71"/>
      <c r="AK60" s="69"/>
      <c r="AL60" s="70"/>
      <c r="AM60" s="70"/>
      <c r="AN60" s="71"/>
      <c r="AO60" s="69"/>
      <c r="AP60" s="70"/>
      <c r="AQ60" s="70"/>
      <c r="AR60" s="71"/>
      <c r="AS60" s="69"/>
      <c r="AT60" s="70"/>
      <c r="AU60" s="70"/>
      <c r="AV60" s="71"/>
      <c r="AW60" s="69"/>
      <c r="AX60" s="70"/>
      <c r="AY60" s="70"/>
      <c r="AZ60" s="71"/>
      <c r="BA60" s="69"/>
      <c r="BB60" s="70"/>
      <c r="BC60" s="70"/>
      <c r="BD60" s="71"/>
      <c r="BE60" s="69"/>
      <c r="BF60" s="70"/>
      <c r="BG60" s="70"/>
      <c r="BH60" s="71"/>
      <c r="BI60" s="69"/>
      <c r="BJ60" s="70"/>
      <c r="BK60" s="70"/>
      <c r="BL60" s="71"/>
      <c r="BM60" s="69"/>
      <c r="BN60" s="70"/>
      <c r="BO60" s="70"/>
      <c r="BP60" s="71"/>
      <c r="BQ60" s="69"/>
      <c r="BR60" s="70"/>
      <c r="BS60" s="70"/>
      <c r="BT60" s="71"/>
      <c r="BU60" s="69"/>
      <c r="BV60" s="70"/>
      <c r="BW60" s="70"/>
      <c r="BX60" s="71"/>
      <c r="BY60" s="69"/>
      <c r="BZ60" s="70"/>
      <c r="CA60" s="70"/>
      <c r="CB60" s="71"/>
      <c r="CC60" s="69"/>
      <c r="CD60" s="70"/>
      <c r="CE60" s="70"/>
      <c r="CF60" s="71"/>
      <c r="CG60" s="40"/>
      <c r="CH60" s="82"/>
      <c r="CI60" s="82"/>
      <c r="CJ60" s="80"/>
      <c r="CK60" s="41"/>
    </row>
    <row r="61" spans="2:117" s="43" customFormat="1" ht="6.75" customHeight="1" x14ac:dyDescent="0.2">
      <c r="D61" s="44"/>
      <c r="E61" s="67">
        <f>SUM(E13:H60)</f>
        <v>6</v>
      </c>
      <c r="F61" s="67"/>
      <c r="G61" s="67">
        <f>COUNT(E13:H60)*4</f>
        <v>20</v>
      </c>
      <c r="H61" s="67"/>
      <c r="I61" s="67">
        <f>SUM(I13:L60)</f>
        <v>12</v>
      </c>
      <c r="J61" s="67"/>
      <c r="K61" s="67">
        <f>COUNT(I13:L60)*4</f>
        <v>12</v>
      </c>
      <c r="L61" s="67"/>
      <c r="M61" s="67">
        <f>SUM(M13:P60)</f>
        <v>12</v>
      </c>
      <c r="N61" s="67"/>
      <c r="O61" s="67">
        <f>COUNT(M13:P60)*4</f>
        <v>12</v>
      </c>
      <c r="P61" s="67"/>
      <c r="Q61" s="67">
        <f>SUM(Q13:T60)</f>
        <v>11</v>
      </c>
      <c r="R61" s="67"/>
      <c r="S61" s="67">
        <f>COUNT(Q13:T60)*4</f>
        <v>16</v>
      </c>
      <c r="T61" s="67"/>
      <c r="U61" s="67">
        <f>SUM(U13:X60)</f>
        <v>25</v>
      </c>
      <c r="V61" s="67"/>
      <c r="W61" s="67">
        <f>COUNT(U13:X60)*4</f>
        <v>28</v>
      </c>
      <c r="X61" s="67"/>
      <c r="Y61" s="67">
        <f>SUM(Y13:AB60)</f>
        <v>10</v>
      </c>
      <c r="Z61" s="67"/>
      <c r="AA61" s="67">
        <f>COUNT(Y13:AB60)*4</f>
        <v>12</v>
      </c>
      <c r="AB61" s="67"/>
      <c r="AC61" s="67">
        <f>SUM(AC13:AF60)</f>
        <v>12</v>
      </c>
      <c r="AD61" s="67"/>
      <c r="AE61" s="67">
        <f>COUNT(AC13:AF60)*4</f>
        <v>12</v>
      </c>
      <c r="AF61" s="67"/>
      <c r="AG61" s="67">
        <f>SUM(AG13:AJ60)</f>
        <v>8</v>
      </c>
      <c r="AH61" s="67"/>
      <c r="AI61" s="67">
        <f>COUNT(AG13:AJ60)*4</f>
        <v>8</v>
      </c>
      <c r="AJ61" s="67"/>
      <c r="AK61" s="67">
        <f>SUM(AK13:AN60)</f>
        <v>3</v>
      </c>
      <c r="AL61" s="67"/>
      <c r="AM61" s="67">
        <f>COUNT(AK13:AN60)*4</f>
        <v>4</v>
      </c>
      <c r="AN61" s="67"/>
      <c r="AO61" s="67">
        <f>SUM(AO13:AR60)</f>
        <v>8</v>
      </c>
      <c r="AP61" s="67"/>
      <c r="AQ61" s="67">
        <f>COUNT(AO13:AR60)*4</f>
        <v>8</v>
      </c>
      <c r="AR61" s="67"/>
      <c r="AS61" s="67">
        <f>SUM(AS13:AV60)</f>
        <v>13</v>
      </c>
      <c r="AT61" s="67"/>
      <c r="AU61" s="67">
        <f>COUNT(AS13:AV60)*4</f>
        <v>16</v>
      </c>
      <c r="AV61" s="67"/>
      <c r="AW61" s="67">
        <f>SUM(AW13:AZ60)</f>
        <v>16</v>
      </c>
      <c r="AX61" s="67"/>
      <c r="AY61" s="67">
        <f>COUNT(AW13:AZ60)*4</f>
        <v>20</v>
      </c>
      <c r="AZ61" s="67"/>
      <c r="BA61" s="67">
        <f>SUM(BA13:BD60)</f>
        <v>5</v>
      </c>
      <c r="BB61" s="67"/>
      <c r="BC61" s="67">
        <f>COUNT(BA13:BD60)*4</f>
        <v>8</v>
      </c>
      <c r="BD61" s="67"/>
      <c r="BE61" s="67">
        <f>SUM(BE13:BH60)</f>
        <v>11</v>
      </c>
      <c r="BF61" s="67"/>
      <c r="BG61" s="67">
        <f>COUNT(BE13:BH60)*4</f>
        <v>20</v>
      </c>
      <c r="BH61" s="67"/>
      <c r="BI61" s="67">
        <f>SUM(BI13:BL60)</f>
        <v>28</v>
      </c>
      <c r="BJ61" s="67"/>
      <c r="BK61" s="67">
        <f>COUNT(BI13:BL60)*4</f>
        <v>36</v>
      </c>
      <c r="BL61" s="67"/>
      <c r="BM61" s="67">
        <f>SUM(BM13:BP60)</f>
        <v>12</v>
      </c>
      <c r="BN61" s="67"/>
      <c r="BO61" s="67">
        <f>COUNT(BM13:BP60)*4</f>
        <v>12</v>
      </c>
      <c r="BP61" s="67"/>
      <c r="BQ61" s="67">
        <f>SUM(BQ13:BT60)</f>
        <v>11</v>
      </c>
      <c r="BR61" s="67"/>
      <c r="BS61" s="67">
        <f>COUNT(BQ13:BT60)*4</f>
        <v>20</v>
      </c>
      <c r="BT61" s="67"/>
      <c r="BU61" s="67">
        <f>SUM(BU13:BX60)</f>
        <v>16</v>
      </c>
      <c r="BV61" s="67"/>
      <c r="BW61" s="67">
        <f>COUNT(BU13:BX60)*4</f>
        <v>16</v>
      </c>
      <c r="BX61" s="67"/>
      <c r="BY61" s="67">
        <f>SUM(BY13:CB60)</f>
        <v>14</v>
      </c>
      <c r="BZ61" s="67"/>
      <c r="CA61" s="67">
        <f>COUNT(BY13:CB60)*4</f>
        <v>16</v>
      </c>
      <c r="CB61" s="67"/>
      <c r="CC61" s="67">
        <f>SUM(CC13:CF60)</f>
        <v>10</v>
      </c>
      <c r="CD61" s="67"/>
      <c r="CE61" s="67">
        <f>COUNT(CC13:CF60)*4</f>
        <v>12</v>
      </c>
      <c r="CF61" s="67"/>
      <c r="CG61" s="45"/>
    </row>
    <row r="62" spans="2:117" x14ac:dyDescent="0.25">
      <c r="B62" s="68" t="s">
        <v>62</v>
      </c>
      <c r="C62" s="68"/>
      <c r="E62" s="65">
        <f>IFERROR(E61/G61,"")</f>
        <v>0.3</v>
      </c>
      <c r="F62" s="65"/>
      <c r="G62" s="65"/>
      <c r="H62" s="65"/>
      <c r="I62" s="65">
        <f>IFERROR(I61/K61,"")</f>
        <v>1</v>
      </c>
      <c r="J62" s="65"/>
      <c r="K62" s="65"/>
      <c r="L62" s="65"/>
      <c r="M62" s="65">
        <f>IFERROR(M61/O61,"")</f>
        <v>1</v>
      </c>
      <c r="N62" s="65"/>
      <c r="O62" s="65"/>
      <c r="P62" s="65"/>
      <c r="Q62" s="65">
        <f>IFERROR(Q61/S61,"")</f>
        <v>0.6875</v>
      </c>
      <c r="R62" s="65"/>
      <c r="S62" s="65"/>
      <c r="T62" s="65"/>
      <c r="U62" s="65">
        <f>IFERROR(U61/W61,"")</f>
        <v>0.8928571428571429</v>
      </c>
      <c r="V62" s="65"/>
      <c r="W62" s="65"/>
      <c r="X62" s="65"/>
      <c r="Y62" s="65">
        <f>IFERROR(Y61/AA61,"")</f>
        <v>0.83333333333333337</v>
      </c>
      <c r="Z62" s="65"/>
      <c r="AA62" s="65"/>
      <c r="AB62" s="65"/>
      <c r="AC62" s="65">
        <f>IFERROR(AC61/AE61,"")</f>
        <v>1</v>
      </c>
      <c r="AD62" s="65"/>
      <c r="AE62" s="65"/>
      <c r="AF62" s="65"/>
      <c r="AG62" s="65">
        <f>IFERROR(AG61/AI61,"")</f>
        <v>1</v>
      </c>
      <c r="AH62" s="65"/>
      <c r="AI62" s="65"/>
      <c r="AJ62" s="65"/>
      <c r="AK62" s="65">
        <f>IFERROR(AK61/AM61,"")</f>
        <v>0.75</v>
      </c>
      <c r="AL62" s="65"/>
      <c r="AM62" s="65"/>
      <c r="AN62" s="65"/>
      <c r="AO62" s="65">
        <f>IFERROR(AO61/AQ61,"")</f>
        <v>1</v>
      </c>
      <c r="AP62" s="65"/>
      <c r="AQ62" s="65"/>
      <c r="AR62" s="65"/>
      <c r="AS62" s="65">
        <f>IFERROR(AS61/AU61,"")</f>
        <v>0.8125</v>
      </c>
      <c r="AT62" s="65"/>
      <c r="AU62" s="65"/>
      <c r="AV62" s="65"/>
      <c r="AW62" s="65">
        <f>IFERROR(AW61/AY61,"")</f>
        <v>0.8</v>
      </c>
      <c r="AX62" s="65"/>
      <c r="AY62" s="65"/>
      <c r="AZ62" s="65"/>
      <c r="BA62" s="65">
        <f>IFERROR(BA61/BC61,"")</f>
        <v>0.625</v>
      </c>
      <c r="BB62" s="65"/>
      <c r="BC62" s="65"/>
      <c r="BD62" s="65"/>
      <c r="BE62" s="65">
        <f>IFERROR(BE61/BG61,"")</f>
        <v>0.55000000000000004</v>
      </c>
      <c r="BF62" s="65"/>
      <c r="BG62" s="65"/>
      <c r="BH62" s="65"/>
      <c r="BI62" s="65">
        <f>IFERROR(BI61/BK61,"")</f>
        <v>0.77777777777777779</v>
      </c>
      <c r="BJ62" s="65"/>
      <c r="BK62" s="65"/>
      <c r="BL62" s="65"/>
      <c r="BM62" s="65">
        <f>IFERROR(BM61/BO61,"")</f>
        <v>1</v>
      </c>
      <c r="BN62" s="65"/>
      <c r="BO62" s="65"/>
      <c r="BP62" s="65"/>
      <c r="BQ62" s="65">
        <f>IFERROR(BQ61/BS61,"")</f>
        <v>0.55000000000000004</v>
      </c>
      <c r="BR62" s="65"/>
      <c r="BS62" s="65"/>
      <c r="BT62" s="65"/>
      <c r="BU62" s="65">
        <f>IFERROR(BU61/BW61,"")</f>
        <v>1</v>
      </c>
      <c r="BV62" s="65"/>
      <c r="BW62" s="65"/>
      <c r="BX62" s="65"/>
      <c r="BY62" s="65">
        <f>IFERROR(BY61/CA61,"")</f>
        <v>0.875</v>
      </c>
      <c r="BZ62" s="65"/>
      <c r="CA62" s="65"/>
      <c r="CB62" s="65"/>
      <c r="CC62" s="65">
        <f>IFERROR(CC61/CE61,"")</f>
        <v>0.83333333333333337</v>
      </c>
      <c r="CD62" s="65"/>
      <c r="CE62" s="65"/>
      <c r="CF62" s="65"/>
      <c r="CG62" s="46"/>
      <c r="CH62" s="59" t="s">
        <v>63</v>
      </c>
      <c r="CI62" s="60"/>
      <c r="CJ62" s="63">
        <f>IFERROR(AVERAGE(BQ62:CF63),"")</f>
        <v>0.81458333333333333</v>
      </c>
      <c r="CN62"/>
      <c r="CO62"/>
      <c r="CP62"/>
      <c r="CQ62"/>
      <c r="CR62"/>
      <c r="CS62"/>
      <c r="CT62"/>
      <c r="CU62"/>
      <c r="CV62"/>
      <c r="CW62"/>
      <c r="CX62"/>
      <c r="CY62"/>
      <c r="CZ62"/>
      <c r="DA62"/>
      <c r="DL62"/>
      <c r="DM62"/>
    </row>
    <row r="63" spans="2:117" ht="15.75" x14ac:dyDescent="0.25">
      <c r="B63" s="68"/>
      <c r="C63" s="68"/>
      <c r="D63" s="47"/>
      <c r="E63" s="66"/>
      <c r="F63" s="66"/>
      <c r="G63" s="66"/>
      <c r="H63" s="66"/>
      <c r="I63" s="66"/>
      <c r="J63" s="66"/>
      <c r="K63" s="66"/>
      <c r="L63" s="66"/>
      <c r="M63" s="66"/>
      <c r="N63" s="66"/>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66"/>
      <c r="BL63" s="66"/>
      <c r="BM63" s="66"/>
      <c r="BN63" s="66"/>
      <c r="BO63" s="66"/>
      <c r="BP63" s="66"/>
      <c r="BQ63" s="66"/>
      <c r="BR63" s="66"/>
      <c r="BS63" s="66"/>
      <c r="BT63" s="66"/>
      <c r="BU63" s="66"/>
      <c r="BV63" s="66"/>
      <c r="BW63" s="66"/>
      <c r="BX63" s="66"/>
      <c r="BY63" s="66"/>
      <c r="BZ63" s="66"/>
      <c r="CA63" s="66"/>
      <c r="CB63" s="66"/>
      <c r="CC63" s="66"/>
      <c r="CD63" s="66"/>
      <c r="CE63" s="66"/>
      <c r="CF63" s="66"/>
      <c r="CG63" s="48"/>
      <c r="CH63" s="61"/>
      <c r="CI63" s="62"/>
      <c r="CJ63" s="64"/>
      <c r="CK63" s="20"/>
      <c r="CN63"/>
      <c r="CO63"/>
      <c r="CP63"/>
      <c r="CQ63"/>
      <c r="CR63"/>
      <c r="CS63"/>
      <c r="CT63"/>
      <c r="CU63"/>
      <c r="CV63"/>
      <c r="CW63"/>
      <c r="CX63"/>
      <c r="CY63"/>
      <c r="CZ63"/>
      <c r="DA63"/>
      <c r="DL63"/>
      <c r="DM63"/>
    </row>
    <row r="64" spans="2:117" x14ac:dyDescent="0.25">
      <c r="CH64"/>
      <c r="CI64"/>
    </row>
    <row r="65" spans="86:87" x14ac:dyDescent="0.25">
      <c r="CH65"/>
      <c r="CI65"/>
    </row>
  </sheetData>
  <mergeCells count="397">
    <mergeCell ref="CC61:CD61"/>
    <mergeCell ref="CE61:CF61"/>
    <mergeCell ref="BS61:BT61"/>
    <mergeCell ref="BU61:BV61"/>
    <mergeCell ref="BW61:BX61"/>
    <mergeCell ref="AO61:AP61"/>
    <mergeCell ref="AQ61:AR61"/>
    <mergeCell ref="AS61:AT61"/>
    <mergeCell ref="Y61:Z61"/>
    <mergeCell ref="AU61:AV61"/>
    <mergeCell ref="AW61:AX61"/>
    <mergeCell ref="AY61:AZ61"/>
    <mergeCell ref="BA61:BB61"/>
    <mergeCell ref="BC61:BD61"/>
    <mergeCell ref="CJ62:CJ63"/>
    <mergeCell ref="BY62:CB63"/>
    <mergeCell ref="CC62:CF63"/>
    <mergeCell ref="BA62:BD63"/>
    <mergeCell ref="BE62:BH63"/>
    <mergeCell ref="BI62:BL63"/>
    <mergeCell ref="BM62:BP63"/>
    <mergeCell ref="BQ62:BT63"/>
    <mergeCell ref="BU62:BX63"/>
    <mergeCell ref="CH62:CI63"/>
    <mergeCell ref="B62:C63"/>
    <mergeCell ref="E62:H63"/>
    <mergeCell ref="I62:L63"/>
    <mergeCell ref="M62:P63"/>
    <mergeCell ref="BY61:BZ61"/>
    <mergeCell ref="CA61:CB61"/>
    <mergeCell ref="BG61:BH61"/>
    <mergeCell ref="BI61:BJ61"/>
    <mergeCell ref="BK61:BL61"/>
    <mergeCell ref="BM61:BN61"/>
    <mergeCell ref="BO61:BP61"/>
    <mergeCell ref="BQ61:BR61"/>
    <mergeCell ref="AG61:AH61"/>
    <mergeCell ref="BE61:BF61"/>
    <mergeCell ref="AI61:AJ61"/>
    <mergeCell ref="AG62:AJ63"/>
    <mergeCell ref="AK62:AN63"/>
    <mergeCell ref="AO62:AR63"/>
    <mergeCell ref="AS62:AV63"/>
    <mergeCell ref="AW62:AZ63"/>
    <mergeCell ref="AK61:AL61"/>
    <mergeCell ref="AM61:AN61"/>
    <mergeCell ref="AC62:AF63"/>
    <mergeCell ref="Q62:T63"/>
    <mergeCell ref="U62:X63"/>
    <mergeCell ref="Y62:AB63"/>
    <mergeCell ref="E61:F61"/>
    <mergeCell ref="G61:H61"/>
    <mergeCell ref="I61:J61"/>
    <mergeCell ref="BU60:BX60"/>
    <mergeCell ref="BY60:CB60"/>
    <mergeCell ref="M60:P60"/>
    <mergeCell ref="Q60:T60"/>
    <mergeCell ref="U60:X60"/>
    <mergeCell ref="AA61:AB61"/>
    <mergeCell ref="AC61:AD61"/>
    <mergeCell ref="AE61:AF61"/>
    <mergeCell ref="W61:X61"/>
    <mergeCell ref="K61:L61"/>
    <mergeCell ref="M61:N61"/>
    <mergeCell ref="O61:P61"/>
    <mergeCell ref="Q61:R61"/>
    <mergeCell ref="S61:T61"/>
    <mergeCell ref="U61:V61"/>
    <mergeCell ref="CC60:CF60"/>
    <mergeCell ref="AW60:AZ60"/>
    <mergeCell ref="BA60:BD60"/>
    <mergeCell ref="BE60:BH60"/>
    <mergeCell ref="BI60:BL60"/>
    <mergeCell ref="BM60:BP60"/>
    <mergeCell ref="BQ60:BT60"/>
    <mergeCell ref="Y60:AB60"/>
    <mergeCell ref="AC60:AF60"/>
    <mergeCell ref="AG60:AJ60"/>
    <mergeCell ref="AK60:AN60"/>
    <mergeCell ref="AO60:AR60"/>
    <mergeCell ref="AS60:AV60"/>
    <mergeCell ref="B57:C60"/>
    <mergeCell ref="CJ57:CJ60"/>
    <mergeCell ref="CH59:CH60"/>
    <mergeCell ref="CI59:CI60"/>
    <mergeCell ref="E60:H60"/>
    <mergeCell ref="I60:L60"/>
    <mergeCell ref="BU56:BX56"/>
    <mergeCell ref="BY56:CB56"/>
    <mergeCell ref="CC56:CF56"/>
    <mergeCell ref="AW56:AZ56"/>
    <mergeCell ref="BA56:BD56"/>
    <mergeCell ref="BE56:BH56"/>
    <mergeCell ref="BI56:BL56"/>
    <mergeCell ref="BM56:BP56"/>
    <mergeCell ref="BQ56:BT56"/>
    <mergeCell ref="Y56:AB56"/>
    <mergeCell ref="AC56:AF56"/>
    <mergeCell ref="AG56:AJ56"/>
    <mergeCell ref="AK56:AN56"/>
    <mergeCell ref="AO56:AR56"/>
    <mergeCell ref="AS56:AV56"/>
    <mergeCell ref="M56:P56"/>
    <mergeCell ref="Q56:T56"/>
    <mergeCell ref="U56:X56"/>
    <mergeCell ref="B53:C56"/>
    <mergeCell ref="CJ53:CJ56"/>
    <mergeCell ref="CH55:CH56"/>
    <mergeCell ref="CI55:CI56"/>
    <mergeCell ref="E56:H56"/>
    <mergeCell ref="I56:L56"/>
    <mergeCell ref="BU52:BX52"/>
    <mergeCell ref="BY52:CB52"/>
    <mergeCell ref="CC52:CF52"/>
    <mergeCell ref="AW52:AZ52"/>
    <mergeCell ref="BA52:BD52"/>
    <mergeCell ref="BE52:BH52"/>
    <mergeCell ref="BI52:BL52"/>
    <mergeCell ref="BM52:BP52"/>
    <mergeCell ref="BQ52:BT52"/>
    <mergeCell ref="Y52:AB52"/>
    <mergeCell ref="AC52:AF52"/>
    <mergeCell ref="AG52:AJ52"/>
    <mergeCell ref="AK52:AN52"/>
    <mergeCell ref="AO52:AR52"/>
    <mergeCell ref="AS52:AV52"/>
    <mergeCell ref="M52:P52"/>
    <mergeCell ref="Q52:T52"/>
    <mergeCell ref="U52:X52"/>
    <mergeCell ref="B49:C52"/>
    <mergeCell ref="CJ49:CJ52"/>
    <mergeCell ref="CH51:CH52"/>
    <mergeCell ref="CI51:CI52"/>
    <mergeCell ref="E52:H52"/>
    <mergeCell ref="I52:L52"/>
    <mergeCell ref="BU48:BX48"/>
    <mergeCell ref="BY48:CB48"/>
    <mergeCell ref="CC48:CF48"/>
    <mergeCell ref="AW48:AZ48"/>
    <mergeCell ref="BA48:BD48"/>
    <mergeCell ref="BE48:BH48"/>
    <mergeCell ref="BI48:BL48"/>
    <mergeCell ref="BM48:BP48"/>
    <mergeCell ref="BQ48:BT48"/>
    <mergeCell ref="Y48:AB48"/>
    <mergeCell ref="AC48:AF48"/>
    <mergeCell ref="AG48:AJ48"/>
    <mergeCell ref="AK48:AN48"/>
    <mergeCell ref="AO48:AR48"/>
    <mergeCell ref="AS48:AV48"/>
    <mergeCell ref="M48:P48"/>
    <mergeCell ref="Q48:T48"/>
    <mergeCell ref="U48:X48"/>
    <mergeCell ref="B45:C48"/>
    <mergeCell ref="CJ45:CJ48"/>
    <mergeCell ref="CH47:CH48"/>
    <mergeCell ref="CI47:CI48"/>
    <mergeCell ref="E48:H48"/>
    <mergeCell ref="I48:L48"/>
    <mergeCell ref="BU44:BX44"/>
    <mergeCell ref="BY44:CB44"/>
    <mergeCell ref="CC44:CF44"/>
    <mergeCell ref="AW44:AZ44"/>
    <mergeCell ref="BA44:BD44"/>
    <mergeCell ref="BE44:BH44"/>
    <mergeCell ref="BI44:BL44"/>
    <mergeCell ref="BM44:BP44"/>
    <mergeCell ref="BQ44:BT44"/>
    <mergeCell ref="Y44:AB44"/>
    <mergeCell ref="AC44:AF44"/>
    <mergeCell ref="AG44:AJ44"/>
    <mergeCell ref="AK44:AN44"/>
    <mergeCell ref="AO44:AR44"/>
    <mergeCell ref="AS44:AV44"/>
    <mergeCell ref="M44:P44"/>
    <mergeCell ref="Q44:T44"/>
    <mergeCell ref="U44:X44"/>
    <mergeCell ref="B41:C44"/>
    <mergeCell ref="CJ41:CJ44"/>
    <mergeCell ref="CH43:CH44"/>
    <mergeCell ref="CI43:CI44"/>
    <mergeCell ref="E44:H44"/>
    <mergeCell ref="I44:L44"/>
    <mergeCell ref="BU40:BX40"/>
    <mergeCell ref="BY40:CB40"/>
    <mergeCell ref="CC40:CF40"/>
    <mergeCell ref="AW40:AZ40"/>
    <mergeCell ref="BA40:BD40"/>
    <mergeCell ref="BE40:BH40"/>
    <mergeCell ref="BI40:BL40"/>
    <mergeCell ref="BM40:BP40"/>
    <mergeCell ref="BQ40:BT40"/>
    <mergeCell ref="Y40:AB40"/>
    <mergeCell ref="AC40:AF40"/>
    <mergeCell ref="AG40:AJ40"/>
    <mergeCell ref="AK40:AN40"/>
    <mergeCell ref="AO40:AR40"/>
    <mergeCell ref="AS40:AV40"/>
    <mergeCell ref="M40:P40"/>
    <mergeCell ref="Q40:T40"/>
    <mergeCell ref="U40:X40"/>
    <mergeCell ref="B37:C40"/>
    <mergeCell ref="CJ37:CJ40"/>
    <mergeCell ref="CH39:CH40"/>
    <mergeCell ref="CI39:CI40"/>
    <mergeCell ref="E40:H40"/>
    <mergeCell ref="I40:L40"/>
    <mergeCell ref="BU36:BX36"/>
    <mergeCell ref="BY36:CB36"/>
    <mergeCell ref="CC36:CF36"/>
    <mergeCell ref="AW36:AZ36"/>
    <mergeCell ref="BA36:BD36"/>
    <mergeCell ref="BE36:BH36"/>
    <mergeCell ref="BI36:BL36"/>
    <mergeCell ref="BM36:BP36"/>
    <mergeCell ref="BQ36:BT36"/>
    <mergeCell ref="Y36:AB36"/>
    <mergeCell ref="AC36:AF36"/>
    <mergeCell ref="AG36:AJ36"/>
    <mergeCell ref="AK36:AN36"/>
    <mergeCell ref="AO36:AR36"/>
    <mergeCell ref="AS36:AV36"/>
    <mergeCell ref="M36:P36"/>
    <mergeCell ref="Q36:T36"/>
    <mergeCell ref="U36:X36"/>
    <mergeCell ref="B33:C36"/>
    <mergeCell ref="CJ33:CJ36"/>
    <mergeCell ref="CH35:CH36"/>
    <mergeCell ref="CI35:CI36"/>
    <mergeCell ref="E36:H36"/>
    <mergeCell ref="I36:L36"/>
    <mergeCell ref="BU32:BX32"/>
    <mergeCell ref="BY32:CB32"/>
    <mergeCell ref="CC32:CF32"/>
    <mergeCell ref="AW32:AZ32"/>
    <mergeCell ref="BA32:BD32"/>
    <mergeCell ref="BE32:BH32"/>
    <mergeCell ref="BI32:BL32"/>
    <mergeCell ref="BM32:BP32"/>
    <mergeCell ref="BQ32:BT32"/>
    <mergeCell ref="Y32:AB32"/>
    <mergeCell ref="AC32:AF32"/>
    <mergeCell ref="AG32:AJ32"/>
    <mergeCell ref="AK32:AN32"/>
    <mergeCell ref="AO32:AR32"/>
    <mergeCell ref="AS32:AV32"/>
    <mergeCell ref="M32:P32"/>
    <mergeCell ref="Q32:T32"/>
    <mergeCell ref="U32:X32"/>
    <mergeCell ref="B29:C32"/>
    <mergeCell ref="CJ29:CJ32"/>
    <mergeCell ref="CH31:CH32"/>
    <mergeCell ref="CI31:CI32"/>
    <mergeCell ref="E32:H32"/>
    <mergeCell ref="I32:L32"/>
    <mergeCell ref="BU28:BX28"/>
    <mergeCell ref="BY28:CB28"/>
    <mergeCell ref="CC28:CF28"/>
    <mergeCell ref="AW28:AZ28"/>
    <mergeCell ref="BA28:BD28"/>
    <mergeCell ref="BE28:BH28"/>
    <mergeCell ref="BI28:BL28"/>
    <mergeCell ref="BM28:BP28"/>
    <mergeCell ref="BQ28:BT28"/>
    <mergeCell ref="Y28:AB28"/>
    <mergeCell ref="AC28:AF28"/>
    <mergeCell ref="AG28:AJ28"/>
    <mergeCell ref="AK28:AN28"/>
    <mergeCell ref="AO28:AR28"/>
    <mergeCell ref="AS28:AV28"/>
    <mergeCell ref="M28:P28"/>
    <mergeCell ref="Q28:T28"/>
    <mergeCell ref="U28:X28"/>
    <mergeCell ref="B25:C28"/>
    <mergeCell ref="CJ25:CJ28"/>
    <mergeCell ref="CH27:CH28"/>
    <mergeCell ref="CI27:CI28"/>
    <mergeCell ref="E28:H28"/>
    <mergeCell ref="I28:L28"/>
    <mergeCell ref="BU24:BX24"/>
    <mergeCell ref="BY24:CB24"/>
    <mergeCell ref="CC24:CF24"/>
    <mergeCell ref="AW24:AZ24"/>
    <mergeCell ref="BA24:BD24"/>
    <mergeCell ref="BE24:BH24"/>
    <mergeCell ref="BI24:BL24"/>
    <mergeCell ref="BM24:BP24"/>
    <mergeCell ref="BQ24:BT24"/>
    <mergeCell ref="Y24:AB24"/>
    <mergeCell ref="AC24:AF24"/>
    <mergeCell ref="AG24:AJ24"/>
    <mergeCell ref="AK24:AN24"/>
    <mergeCell ref="AO24:AR24"/>
    <mergeCell ref="AS24:AV24"/>
    <mergeCell ref="M24:P24"/>
    <mergeCell ref="Q24:T24"/>
    <mergeCell ref="U24:X24"/>
    <mergeCell ref="B21:C24"/>
    <mergeCell ref="CJ21:CJ24"/>
    <mergeCell ref="CH23:CH24"/>
    <mergeCell ref="CI23:CI24"/>
    <mergeCell ref="E24:H24"/>
    <mergeCell ref="I24:L24"/>
    <mergeCell ref="BU20:BX20"/>
    <mergeCell ref="BY20:CB20"/>
    <mergeCell ref="CC20:CF20"/>
    <mergeCell ref="AW20:AZ20"/>
    <mergeCell ref="BA20:BD20"/>
    <mergeCell ref="BE20:BH20"/>
    <mergeCell ref="BI20:BL20"/>
    <mergeCell ref="BM20:BP20"/>
    <mergeCell ref="BQ20:BT20"/>
    <mergeCell ref="Y20:AB20"/>
    <mergeCell ref="AC20:AF20"/>
    <mergeCell ref="AG20:AJ20"/>
    <mergeCell ref="AK20:AN20"/>
    <mergeCell ref="AO20:AR20"/>
    <mergeCell ref="AS20:AV20"/>
    <mergeCell ref="M20:P20"/>
    <mergeCell ref="Q20:T20"/>
    <mergeCell ref="U20:X20"/>
    <mergeCell ref="B17:C20"/>
    <mergeCell ref="CJ17:CJ20"/>
    <mergeCell ref="CH19:CH20"/>
    <mergeCell ref="CI19:CI20"/>
    <mergeCell ref="E20:H20"/>
    <mergeCell ref="I20:L20"/>
    <mergeCell ref="BU16:BX16"/>
    <mergeCell ref="BY16:CB16"/>
    <mergeCell ref="CC16:CF16"/>
    <mergeCell ref="AW16:AZ16"/>
    <mergeCell ref="BA16:BD16"/>
    <mergeCell ref="BE16:BH16"/>
    <mergeCell ref="BI16:BL16"/>
    <mergeCell ref="BM16:BP16"/>
    <mergeCell ref="BQ16:BT16"/>
    <mergeCell ref="Y16:AB16"/>
    <mergeCell ref="AC16:AF16"/>
    <mergeCell ref="AG16:AJ16"/>
    <mergeCell ref="AK16:AN16"/>
    <mergeCell ref="AO16:AR16"/>
    <mergeCell ref="AS16:AV16"/>
    <mergeCell ref="CJ13:CJ16"/>
    <mergeCell ref="CH15:CH16"/>
    <mergeCell ref="CI15:CI16"/>
    <mergeCell ref="E16:H16"/>
    <mergeCell ref="I16:L16"/>
    <mergeCell ref="M16:P16"/>
    <mergeCell ref="Q16:T16"/>
    <mergeCell ref="CC11:CF12"/>
    <mergeCell ref="B13:C16"/>
    <mergeCell ref="U16:X16"/>
    <mergeCell ref="BE11:BH12"/>
    <mergeCell ref="BI11:BL12"/>
    <mergeCell ref="BM11:BP12"/>
    <mergeCell ref="BQ11:BT12"/>
    <mergeCell ref="BU11:BX12"/>
    <mergeCell ref="BY11:CB12"/>
    <mergeCell ref="AG11:AJ12"/>
    <mergeCell ref="AK11:AN12"/>
    <mergeCell ref="AO11:AR12"/>
    <mergeCell ref="AS11:AV12"/>
    <mergeCell ref="AW11:AZ12"/>
    <mergeCell ref="BA11:BD12"/>
    <mergeCell ref="CJ10:CJ12"/>
    <mergeCell ref="E11:H12"/>
    <mergeCell ref="I11:L12"/>
    <mergeCell ref="M11:P12"/>
    <mergeCell ref="Q11:T12"/>
    <mergeCell ref="U11:X12"/>
    <mergeCell ref="B10:C12"/>
    <mergeCell ref="E10:BP10"/>
    <mergeCell ref="BQ10:CF10"/>
    <mergeCell ref="CH10:CH12"/>
    <mergeCell ref="CI10:CI12"/>
    <mergeCell ref="Y11:AB12"/>
    <mergeCell ref="AC11:AF12"/>
    <mergeCell ref="CH5:CH8"/>
    <mergeCell ref="CI5:CI8"/>
    <mergeCell ref="CJ5:CJ8"/>
    <mergeCell ref="B7:B8"/>
    <mergeCell ref="C7:C8"/>
    <mergeCell ref="BA8:BD8"/>
    <mergeCell ref="B3:B4"/>
    <mergeCell ref="C3:C4"/>
    <mergeCell ref="E3:CF4"/>
    <mergeCell ref="CH3:CJ4"/>
    <mergeCell ref="B5:B6"/>
    <mergeCell ref="C5:C6"/>
    <mergeCell ref="BQ8:BT8"/>
    <mergeCell ref="I5:T8"/>
    <mergeCell ref="Y5:AJ8"/>
    <mergeCell ref="AO5:AZ8"/>
    <mergeCell ref="BE5:BP8"/>
    <mergeCell ref="BU5:CF8"/>
    <mergeCell ref="U8:X8"/>
    <mergeCell ref="AK8:AN8"/>
  </mergeCells>
  <conditionalFormatting sqref="C3:C6">
    <cfRule type="containsBlanks" dxfId="31" priority="97">
      <formula>LEN(TRIM(C3))=0</formula>
    </cfRule>
  </conditionalFormatting>
  <conditionalFormatting sqref="F6">
    <cfRule type="expression" dxfId="30" priority="52" stopIfTrue="1">
      <formula>AND(E8&gt;0)</formula>
    </cfRule>
  </conditionalFormatting>
  <conditionalFormatting sqref="F7">
    <cfRule type="expression" dxfId="29" priority="50" stopIfTrue="1">
      <formula>AND(E8&gt;2)</formula>
    </cfRule>
  </conditionalFormatting>
  <conditionalFormatting sqref="F14 J14 N14 V14 Z14 AD14 AH14 AL14 AP14 AT14 AX14 BB14 BF14 BJ14 BN14 BR14 BV14 BZ14 CD14 F18 J18 N18 V18 Z18 AD18 AH18 AL18 AP18 AT18 AX18 BB18 BF18 BJ18 BN18 BR18 BV18 BZ18 CD18 F22 J22 N22 V22 Z22 AD22 AH22 AL22 AP22 AT22 AX22 BB22 BF22 BJ22 BN22 BR22 BV22 BZ22 CD22 F26 J26 N26 V26 Z26 AD26 AH26 AL26 AP26 AT26 AX26 BB26 BF26 BJ26 BN26 BR26 BV26 BZ26 CD26 F30 J30 N30 V30 Z30 AD30 AH30 AL30 AP30 AT30 AX30 BB30 BF30 BJ30 BN30 BR30 BV30 BZ30 CD30 F34 J34 N34 V34 Z34 AD34 AH34 AL34 AP34 AT34 AX34 BB34 BF34 BJ34 BN34 BR34 BV34 BZ34 CD34 F38 J38 N38 V38 Z38 AD38 AH38 AL38 AP38 AT38 AX38 BB38 BF38 BJ38 BN38 BR38 BV38 BZ38 CD38 F42 J42 N42 V42 Z42 AD42 AH42 AL42 AP42 AT42 AX42 BB42 BF42 BJ42 BN42 BR42 BV42 BZ42 CD42 F46 J46 N46 V46 Z46 AD46 AH46 AL46 AP46 AT46 AX46 BB46 BF46 BJ46 BN46 BR46 BV46 BZ46 CD46 F50 J50 N50 V50 Z50 AD50 AH50 AL50 AP50 AT50 AX50 BB50 BF50 BJ50 BN50 BR50 BV50 BZ50 CD50 F54 J54 N54 V54 Z54 AD54 AH54 AL54 AP54 AT54 AX54 BB54 BF54 BJ54 BN54 BR54 BV54 BZ54 CD54 F58 J58 N58 V58 Z58 AD58 AH58 AL58 AP58 AT58 AX58 BB58 BF58 BJ58 BN58 BR58 BV58 BZ58 CD58">
    <cfRule type="expression" dxfId="28" priority="92" stopIfTrue="1">
      <formula>AND(E16&gt;0)</formula>
    </cfRule>
  </conditionalFormatting>
  <conditionalFormatting sqref="F15 J15 N15 V15 Z15 AD15 AH15 AL15 AP15 AT15 AX15 BB15 BF15 BJ15 BN15 BR15 BV15 BZ15 CD15 F19 J19 N19 V19 Z19 AD19 AH19 AL19 AP19 AT19 AX19 BB19 BF19 BJ19 BN19 BR19 BV19 BZ19 CD19 F23 J23 N23 V23 Z23 AD23 AH23 AL23 AP23 AT23 AX23 BB23 BF23 BJ23 BN23 BR23 BV23 BZ23 CD23 F27 J27 N27 V27 Z27 AD27 AH27 AL27 AP27 AT27 AX27 BB27 BF27 BJ27 BN27 BR27 BV27 BZ27 CD27 F31 J31 N31 V31 Z31 AD31 AH31 AL31 AP31 AT31 AX31 BB31 BF31 BJ31 BN31 BR31 BV31 BZ31 CD31 F35 J35 N35 V35 Z35 AD35 AH35 AL35 AP35 AT35 AX35 BB35 BF35 BJ35 BN35 BR35 BV35 BZ35 CD35 F39 J39 N39 V39 Z39 AD39 AH39 AL39 AP39 AT39 AX39 BB39 BF39 BJ39 BN39 BR39 BV39 BZ39 CD39 F43 J43 N43 V43 Z43 AD43 AH43 AL43 AP43 AT43 AX43 BB43 BF43 BJ43 BN43 BR43 BV43 BZ43 CD43 F47 J47 N47 V47 Z47 AD47 AH47 AL47 AP47 AT47 AX47 BB47 BF47 BJ47 BN47 BR47 BV47 BZ47 CD47 F51 J51 N51 V51 Z51 AD51 AH51 AL51 AP51 AT51 AX51 BB51 BF51 BJ51 BN51 BR51 BV51 BZ51 CD51 F55 J55 N55 V55 Z55 AD55 AH55 AL55 AP55 AT55 AX55 BB55 BF55 BJ55 BN55 BR55 BV55 BZ55 CD55 F59 J59 N59 V59 Z59 AD59 AH59 AL59 AP59 AT59 AX59 BB59 BF59 BJ59 BN59 BR59 BV59 BZ59 CD59">
    <cfRule type="expression" dxfId="27" priority="90" stopIfTrue="1">
      <formula>AND(E16&gt;2)</formula>
    </cfRule>
  </conditionalFormatting>
  <conditionalFormatting sqref="G6">
    <cfRule type="expression" dxfId="26" priority="51" stopIfTrue="1">
      <formula>AND(E8&gt;1)</formula>
    </cfRule>
  </conditionalFormatting>
  <conditionalFormatting sqref="G7">
    <cfRule type="expression" dxfId="25" priority="49" stopIfTrue="1">
      <formula>AND(E8&gt;3)</formula>
    </cfRule>
  </conditionalFormatting>
  <conditionalFormatting sqref="G14 K14 O14 W14 AA14 AE14 AI14 AM14 AQ14 AU14 AY14 BC14 BG14 BK14 BO14 BS14 BW14 CA14 CE14 G18 K18 O18 W18 AA18 AE18 AI18 AM18 AQ18 AU18 AY18 BC18 BG18 BK18 BO18 BS18 BW18 CA18 CE18 G22 K22 O22 W22 AA22 AE22 AI22 AM22 AQ22 AU22 AY22 BC22 BG22 BK22 BO22 BS22 BW22 CA22 CE22 G26 K26 O26 W26 AA26 AE26 AI26 AM26 AQ26 AU26 AY26 BC26 BG26 BK26 BO26 BS26 BW26 CA26 CE26 G30 K30 O30 W30 AA30 AE30 AI30 AM30 AQ30 AU30 AY30 BC30 BG30 BK30 BO30 BS30 BW30 CA30 CE30 G34 K34 O34 W34 AA34 AE34 AI34 AM34 AQ34 AU34 AY34 BC34 BG34 BK34 BO34 BS34 BW34 CA34 CE34 G38 K38 O38 W38 AA38 AE38 AI38 AM38 AQ38 AU38 AY38 BC38 BG38 BK38 BO38 BS38 BW38 CA38 CE38 G42 K42 O42 W42 AA42 AE42 AI42 AM42 AQ42 AU42 AY42 BC42 BG42 BK42 BO42 BS42 BW42 CA42 CE42 G46 K46 O46 W46 AA46 AE46 AI46 AM46 AQ46 AU46 AY46 BC46 BG46 BK46 BO46 BS46 BW46 CA46 CE46 G50 K50 O50 W50 AA50 AE50 AI50 AM50 AQ50 AU50 AY50 BC50 BG50 BK50 BO50 BS50 BW50 CA50 CE50 G54 K54 O54 W54 AA54 AE54 AI54 AM54 AQ54 AU54 AY54 BC54 BG54 BK54 BO54 BS54 BW54 CA54 CE54 G58 K58 O58 W58 AA58 AE58 AI58 AM58 AQ58 AU58 AY58 BC58 BG58 BK58 BO58 BS58 BW58 CA58 CE58">
    <cfRule type="expression" dxfId="24" priority="91" stopIfTrue="1">
      <formula>AND(E16&gt;1)</formula>
    </cfRule>
  </conditionalFormatting>
  <conditionalFormatting sqref="G15 K15 O15 W15 AA15 AE15 AI15 AM15 AQ15 AU15 AY15 BC15 BG15 BK15 BO15 BS15 BW15 CA15 CE15 G19 K19 O19 W19 AA19 AE19 AI19 AM19 AQ19 AU19 AY19 BC19 BG19 BK19 BO19 BS19 BW19 CA19 CE19 G23 K23 O23 W23 AA23 AE23 AI23 AM23 AQ23 AU23 AY23 BC23 BG23 BK23 BO23 BS23 BW23 CA23 CE23 G27 K27 O27 W27 AA27 AE27 AI27 AM27 AQ27 AU27 AY27 BC27 BG27 BK27 BO27 BS27 BW27 CA27 CE27 G31 K31 O31 W31 AA31 AE31 AI31 AM31 AQ31 AU31 AY31 BC31 BG31 BK31 BO31 BS31 BW31 CA31 CE31 G35 K35 O35 W35 AA35 AE35 AI35 AM35 AQ35 AU35 AY35 BC35 BG35 BK35 BO35 BS35 BW35 CA35 CE35 G39 K39 O39 W39 AA39 AE39 AI39 AM39 AQ39 AU39 AY39 BC39 BG39 BK39 BO39 BS39 BW39 CA39 CE39 G43 K43 O43 W43 AA43 AE43 AI43 AM43 AQ43 AU43 AY43 BC43 BG43 BK43 BO43 BS43 BW43 CA43 CE43 G47 K47 O47 W47 AA47 AE47 AI47 AM47 AQ47 AU47 AY47 BC47 BG47 BK47 BO47 BS47 BW47 CA47 CE47 G51 K51 O51 W51 AA51 AE51 AI51 AM51 AQ51 AU51 AY51 BC51 BG51 BK51 BO51 BS51 BW51 CA51 CE51 G55 K55 O55 W55 AA55 AE55 AI55 AM55 AQ55 AU55 AY55 BC55 BG55 BK55 BO55 BS55 BW55 CA55 CE55 G59 K59 O59 W59 AA59 AE59 AI59 AM59 AQ59 AU59 AY59 BC59 BG59 BK59 BO59 BS59 BW59 CA59 CE59">
    <cfRule type="expression" dxfId="23" priority="89" stopIfTrue="1">
      <formula>AND(E16&gt;3)</formula>
    </cfRule>
  </conditionalFormatting>
  <conditionalFormatting sqref="R14 R18 R22 R26 R30 R34 R38 R42 R46 R50 R54 R58">
    <cfRule type="expression" dxfId="22" priority="60" stopIfTrue="1">
      <formula>AND(Q16&gt;0)</formula>
    </cfRule>
  </conditionalFormatting>
  <conditionalFormatting sqref="R15 R19 R23 R27 R31 R35 R39 R43 R47 R51 R55 R59">
    <cfRule type="expression" dxfId="21" priority="58" stopIfTrue="1">
      <formula>AND(Q16&gt;2)</formula>
    </cfRule>
  </conditionalFormatting>
  <conditionalFormatting sqref="S14 S18 S22 S26 S30 S34 S38 S42 S46 S50 S54 S58">
    <cfRule type="expression" dxfId="20" priority="59" stopIfTrue="1">
      <formula>AND(Q16&gt;1)</formula>
    </cfRule>
  </conditionalFormatting>
  <conditionalFormatting sqref="S15 S19 S23 S27 S31 S35 S39 S43 S47 S51 S55 S59">
    <cfRule type="expression" dxfId="19" priority="57" stopIfTrue="1">
      <formula>AND(Q16&gt;3)</formula>
    </cfRule>
  </conditionalFormatting>
  <conditionalFormatting sqref="V6">
    <cfRule type="expression" dxfId="18" priority="28" stopIfTrue="1">
      <formula>AND(U8&gt;0)</formula>
    </cfRule>
  </conditionalFormatting>
  <conditionalFormatting sqref="V7">
    <cfRule type="expression" dxfId="17" priority="26" stopIfTrue="1">
      <formula>AND(U8&gt;2)</formula>
    </cfRule>
  </conditionalFormatting>
  <conditionalFormatting sqref="W6">
    <cfRule type="expression" dxfId="16" priority="27" stopIfTrue="1">
      <formula>AND(U8&gt;1)</formula>
    </cfRule>
  </conditionalFormatting>
  <conditionalFormatting sqref="W7">
    <cfRule type="expression" dxfId="15" priority="25" stopIfTrue="1">
      <formula>AND(U8&gt;3)</formula>
    </cfRule>
  </conditionalFormatting>
  <conditionalFormatting sqref="AL6">
    <cfRule type="expression" dxfId="14" priority="12" stopIfTrue="1">
      <formula>AND(AK8&gt;0)</formula>
    </cfRule>
  </conditionalFormatting>
  <conditionalFormatting sqref="AL7">
    <cfRule type="expression" dxfId="13" priority="10" stopIfTrue="1">
      <formula>AND(AK8&gt;2)</formula>
    </cfRule>
  </conditionalFormatting>
  <conditionalFormatting sqref="AM6">
    <cfRule type="expression" dxfId="12" priority="11" stopIfTrue="1">
      <formula>AND(AK8&gt;1)</formula>
    </cfRule>
  </conditionalFormatting>
  <conditionalFormatting sqref="AM7">
    <cfRule type="expression" dxfId="11" priority="9" stopIfTrue="1">
      <formula>AND(AK8&gt;3)</formula>
    </cfRule>
  </conditionalFormatting>
  <conditionalFormatting sqref="BB6">
    <cfRule type="expression" dxfId="10" priority="8" stopIfTrue="1">
      <formula>AND(BA8&gt;0)</formula>
    </cfRule>
  </conditionalFormatting>
  <conditionalFormatting sqref="BB7">
    <cfRule type="expression" dxfId="9" priority="6" stopIfTrue="1">
      <formula>AND(BA8&gt;2)</formula>
    </cfRule>
  </conditionalFormatting>
  <conditionalFormatting sqref="BC6">
    <cfRule type="expression" dxfId="8" priority="7" stopIfTrue="1">
      <formula>AND(BA8&gt;1)</formula>
    </cfRule>
  </conditionalFormatting>
  <conditionalFormatting sqref="BC7">
    <cfRule type="expression" dxfId="7" priority="5" stopIfTrue="1">
      <formula>AND(BA8&gt;3)</formula>
    </cfRule>
  </conditionalFormatting>
  <conditionalFormatting sqref="BR6">
    <cfRule type="expression" dxfId="6" priority="4" stopIfTrue="1">
      <formula>AND(BQ8&gt;0)</formula>
    </cfRule>
  </conditionalFormatting>
  <conditionalFormatting sqref="BR7">
    <cfRule type="expression" dxfId="5" priority="2" stopIfTrue="1">
      <formula>AND(BQ8&gt;2)</formula>
    </cfRule>
  </conditionalFormatting>
  <conditionalFormatting sqref="BS6">
    <cfRule type="expression" dxfId="4" priority="3" stopIfTrue="1">
      <formula>AND(BQ8&gt;1)</formula>
    </cfRule>
  </conditionalFormatting>
  <conditionalFormatting sqref="BS7">
    <cfRule type="expression" dxfId="3" priority="1" stopIfTrue="1">
      <formula>AND(BQ8&gt;3)</formula>
    </cfRule>
  </conditionalFormatting>
  <conditionalFormatting sqref="CJ13:CJ60">
    <cfRule type="cellIs" dxfId="2" priority="98" operator="equal">
      <formula>1</formula>
    </cfRule>
    <cfRule type="cellIs" dxfId="1" priority="99" operator="equal">
      <formula>2</formula>
    </cfRule>
    <cfRule type="cellIs" dxfId="0" priority="100" operator="equal">
      <formula>3</formula>
    </cfRule>
  </conditionalFormatting>
  <printOptions horizontalCentered="1" verticalCentered="1"/>
  <pageMargins left="0.70866141732283472" right="0.70866141732283472" top="0.74803149606299213" bottom="0.74803149606299213" header="0.31496062992125984" footer="0.31496062992125984"/>
  <pageSetup paperSize="8" scale="6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83EAF9745DEBB4BA9D907C03643FB7A" ma:contentTypeVersion="7" ma:contentTypeDescription="Crear nuevo documento." ma:contentTypeScope="" ma:versionID="67cf3e2dcdfa59c6f4b171543a1f2c59">
  <xsd:schema xmlns:xsd="http://www.w3.org/2001/XMLSchema" xmlns:xs="http://www.w3.org/2001/XMLSchema" xmlns:p="http://schemas.microsoft.com/office/2006/metadata/properties" xmlns:ns2="3ebc4755-f08e-47c5-ad60-3ea58cd281a4" targetNamespace="http://schemas.microsoft.com/office/2006/metadata/properties" ma:root="true" ma:fieldsID="f1fd1c4375ed3f6c7f769698ee9abbee" ns2:_="">
    <xsd:import namespace="3ebc4755-f08e-47c5-ad60-3ea58cd281a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bc4755-f08e-47c5-ad60-3ea58cd281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43684F-7865-4FAC-84BA-4E65D6BF74E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95343DD-79D7-47FE-AB49-8EF35FB561F5}">
  <ds:schemaRefs>
    <ds:schemaRef ds:uri="http://schemas.microsoft.com/sharepoint/v3/contenttype/forms"/>
  </ds:schemaRefs>
</ds:datastoreItem>
</file>

<file path=customXml/itemProps3.xml><?xml version="1.0" encoding="utf-8"?>
<ds:datastoreItem xmlns:ds="http://schemas.openxmlformats.org/officeDocument/2006/customXml" ds:itemID="{F7B60D95-13F2-4508-93B2-F356542D8C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bc4755-f08e-47c5-ad60-3ea58cd281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4</vt:i4>
      </vt:variant>
    </vt:vector>
  </HeadingPairs>
  <TitlesOfParts>
    <vt:vector size="8" baseType="lpstr">
      <vt:lpstr>Mar26 Matriz trans Metálica T2</vt:lpstr>
      <vt:lpstr>Mar26 Matriz trans Metálica T1 </vt:lpstr>
      <vt:lpstr>Mar25 Matriz trans Metálica</vt:lpstr>
      <vt:lpstr>Sep25 Matriz trans Metálica</vt:lpstr>
      <vt:lpstr>'Mar25 Matriz trans Metálica'!Área_de_impresión</vt:lpstr>
      <vt:lpstr>'Mar26 Matriz trans Metálica T1 '!Área_de_impresión</vt:lpstr>
      <vt:lpstr>'Mar26 Matriz trans Metálica T2'!Área_de_impresión</vt:lpstr>
      <vt:lpstr>'Sep25 Matriz trans Metálica'!Área_de_impresión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Guijarro</dc:creator>
  <cp:keywords/>
  <dc:description/>
  <cp:lastModifiedBy>Gregorio Martinez</cp:lastModifiedBy>
  <cp:revision/>
  <dcterms:created xsi:type="dcterms:W3CDTF">2025-05-22T12:41:29Z</dcterms:created>
  <dcterms:modified xsi:type="dcterms:W3CDTF">2026-04-22T09:54:46Z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0x010100E83EAF9745DEBB4BA9D907C03643FB7A</vt:lpwstr>
  </property>
</Properties>
</file>