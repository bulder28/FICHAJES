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stulzes-my.sharepoint.com/personal/rbowen_stulz_es/Documents/"/>
    </mc:Choice>
  </mc:AlternateContent>
  <xr:revisionPtr revIDLastSave="0" documentId="8_{C74F8D4B-7B74-4969-921E-4FAF807F1838}" xr6:coauthVersionLast="47" xr6:coauthVersionMax="47" xr10:uidLastSave="{00000000-0000-0000-0000-000000000000}"/>
  <bookViews>
    <workbookView xWindow="-120" yWindow="-120" windowWidth="29040" windowHeight="15720" tabRatio="500" firstSheet="12" activeTab="12" xr2:uid="{00000000-000D-0000-FFFF-FFFF00000000}"/>
  </bookViews>
  <sheets>
    <sheet name="Operarios enero 2026" sheetId="12" r:id="rId1"/>
    <sheet name="Dashboard" sheetId="1" r:id="rId2"/>
    <sheet name="Obj. Plantilla" sheetId="13" r:id="rId3"/>
    <sheet name="Personal fabrica" sheetId="2" r:id="rId4"/>
    <sheet name="ETT" sheetId="3" r:id="rId5"/>
    <sheet name="Absentismo" sheetId="11" r:id="rId6"/>
    <sheet name="Linea 1" sheetId="4" r:id="rId7"/>
    <sheet name="Linea 2" sheetId="5" r:id="rId8"/>
    <sheet name="Linea 3" sheetId="6" r:id="rId9"/>
    <sheet name="Linea 4" sheetId="7" r:id="rId10"/>
    <sheet name="Linea 5" sheetId="8" r:id="rId11"/>
    <sheet name="BOX" sheetId="9" r:id="rId12"/>
    <sheet name="Cuadros" sheetId="14" r:id="rId13"/>
    <sheet name="Jefes " sheetId="10" r:id="rId14"/>
  </sheets>
  <definedNames>
    <definedName name="_xlnm._FilterDatabase" localSheetId="11" hidden="1">'Linea 5'!$A$30:$H$30</definedName>
    <definedName name="_xlnm._FilterDatabase" localSheetId="12" hidden="1">Cuadros!$A$4:$I$19</definedName>
    <definedName name="_xlnm._FilterDatabase" localSheetId="0" hidden="1">'Operarios enero 2026'!$A$1:$E$201</definedName>
    <definedName name="_xlnm._FilterDatabase" localSheetId="3" hidden="1">'Personal fabrica'!$A$2:$BI$204</definedName>
    <definedName name="_xlnm._FilterDatabase" localSheetId="5" hidden="1">Absentismo!$A$1:$AF$232</definedName>
    <definedName name="_xlnm._FilterDatabase" localSheetId="6" hidden="1">'Linea 1'!$A$4:$I$34</definedName>
    <definedName name="_xlnm._FilterDatabase" localSheetId="7" hidden="1">'Linea 2'!$A$4:$I$36</definedName>
    <definedName name="_xlnm._FilterDatabase" localSheetId="10" hidden="1">'Linea 5'!$A$4:$I$30</definedName>
    <definedName name="_xlnm._FilterDatabase" localSheetId="9" hidden="1">'Linea 4'!$A$4:$I$26</definedName>
    <definedName name="_xlnm._FilterDatabase" localSheetId="8" hidden="1">'Linea 3'!$A$4:$I$33</definedName>
    <definedName name="_xlnm._FilterDatabase" localSheetId="4" hidden="1">ETT!$A$1:$K$95</definedName>
    <definedName name="_xlnm.Print_Area" localSheetId="3">'Personal fabrica'!$B$2:$BE$162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7" i="1" l="1"/>
  <c r="K38" i="1"/>
  <c r="K39" i="1"/>
  <c r="K40" i="1"/>
  <c r="K41" i="1"/>
  <c r="K42" i="1"/>
  <c r="K43" i="1"/>
  <c r="K36" i="1"/>
  <c r="H36" i="1"/>
  <c r="H39" i="1"/>
  <c r="H40" i="1"/>
  <c r="H41" i="1"/>
  <c r="H42" i="1"/>
  <c r="H43" i="1"/>
  <c r="I38" i="1"/>
  <c r="I39" i="1"/>
  <c r="I40" i="1"/>
  <c r="I41" i="1"/>
  <c r="I42" i="1"/>
  <c r="I43" i="1"/>
  <c r="I36" i="1"/>
  <c r="H37" i="1"/>
  <c r="I37" i="1" s="1"/>
  <c r="A2" i="7"/>
  <c r="E2" i="9" a="1"/>
  <c r="D2" i="9" a="1"/>
  <c r="A2" i="9" a="1"/>
  <c r="C2" i="9" a="1"/>
  <c r="D2" i="14" a="1"/>
  <c r="C2" i="14" a="1"/>
  <c r="A2" i="14" a="1"/>
  <c r="E2" i="14"/>
  <c r="K5" i="14" s="1"/>
  <c r="C2" i="8"/>
  <c r="C152" i="12"/>
  <c r="C153" i="12"/>
  <c r="C154" i="12"/>
  <c r="C155" i="12"/>
  <c r="C82" i="12"/>
  <c r="C83" i="12"/>
  <c r="C84" i="12"/>
  <c r="C85" i="12"/>
  <c r="C165" i="12"/>
  <c r="C164" i="12"/>
  <c r="C163" i="12"/>
  <c r="C162" i="12"/>
  <c r="C161" i="12"/>
  <c r="C160" i="12"/>
  <c r="C159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57" i="12"/>
  <c r="C156" i="12"/>
  <c r="C151" i="12"/>
  <c r="C150" i="12"/>
  <c r="C149" i="12"/>
  <c r="C134" i="12"/>
  <c r="C133" i="12"/>
  <c r="C130" i="12"/>
  <c r="C129" i="12"/>
  <c r="C128" i="12"/>
  <c r="C127" i="12"/>
  <c r="C116" i="12"/>
  <c r="C115" i="12"/>
  <c r="C114" i="12"/>
  <c r="C111" i="12"/>
  <c r="C110" i="12"/>
  <c r="C109" i="12"/>
  <c r="C108" i="12"/>
  <c r="C107" i="12"/>
  <c r="C106" i="12"/>
  <c r="C105" i="12"/>
  <c r="C89" i="12"/>
  <c r="C88" i="12"/>
  <c r="C81" i="12"/>
  <c r="C80" i="12"/>
  <c r="C79" i="12"/>
  <c r="C78" i="12"/>
  <c r="C77" i="12"/>
  <c r="C76" i="12"/>
  <c r="C75" i="12"/>
  <c r="C61" i="12"/>
  <c r="C60" i="12"/>
  <c r="C59" i="12"/>
  <c r="C55" i="12"/>
  <c r="C54" i="12"/>
  <c r="C53" i="12"/>
  <c r="C52" i="12"/>
  <c r="C51" i="12"/>
  <c r="C50" i="12"/>
  <c r="C4" i="12"/>
  <c r="C3" i="12"/>
  <c r="C2" i="12"/>
  <c r="C126" i="12"/>
  <c r="C73" i="12"/>
  <c r="C146" i="12"/>
  <c r="C147" i="12"/>
  <c r="C101" i="12"/>
  <c r="C100" i="12"/>
  <c r="C99" i="12"/>
  <c r="C72" i="12"/>
  <c r="C68" i="12"/>
  <c r="C71" i="12"/>
  <c r="C169" i="12"/>
  <c r="C168" i="12"/>
  <c r="C167" i="12"/>
  <c r="C166" i="12"/>
  <c r="C103" i="12"/>
  <c r="C94" i="12"/>
  <c r="C92" i="12"/>
  <c r="C90" i="12"/>
  <c r="C91" i="12"/>
  <c r="C93" i="12"/>
  <c r="C36" i="12"/>
  <c r="C35" i="12"/>
  <c r="C2" i="5"/>
  <c r="D17" i="10"/>
  <c r="E2" i="8"/>
  <c r="K5" i="8" s="1"/>
  <c r="D2" i="8"/>
  <c r="A2" i="8"/>
  <c r="K2" i="8" s="1"/>
  <c r="E2" i="7"/>
  <c r="D2" i="7"/>
  <c r="E7" i="1" s="1"/>
  <c r="C2" i="7"/>
  <c r="E6" i="1" s="1"/>
  <c r="E2" i="6"/>
  <c r="D8" i="1" s="1"/>
  <c r="D2" i="6"/>
  <c r="D7" i="1" s="1"/>
  <c r="D14" i="1" s="1"/>
  <c r="C2" i="6"/>
  <c r="K3" i="6" s="1"/>
  <c r="A2" i="6"/>
  <c r="D5" i="1" s="1"/>
  <c r="E2" i="5"/>
  <c r="D2" i="5"/>
  <c r="K4" i="5" s="1"/>
  <c r="A2" i="5"/>
  <c r="C5" i="1" s="1"/>
  <c r="E2" i="4"/>
  <c r="D2" i="4"/>
  <c r="C2" i="4"/>
  <c r="B6" i="1" s="1"/>
  <c r="A2" i="4"/>
  <c r="B5" i="1" s="1"/>
  <c r="B13" i="1" s="1"/>
  <c r="B15" i="1" s="1"/>
  <c r="D212" i="2"/>
  <c r="D210" i="2"/>
  <c r="C211" i="2" s="1"/>
  <c r="D123" i="2"/>
  <c r="D91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2" i="2"/>
  <c r="D121" i="2"/>
  <c r="D116" i="2"/>
  <c r="D115" i="2"/>
  <c r="D114" i="2"/>
  <c r="D90" i="2"/>
  <c r="D89" i="2"/>
  <c r="D56" i="2"/>
  <c r="D48" i="2"/>
  <c r="D47" i="2"/>
  <c r="D39" i="2"/>
  <c r="D38" i="2"/>
  <c r="D37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204" i="2"/>
  <c r="D203" i="2"/>
  <c r="D167" i="2"/>
  <c r="D166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5" i="2"/>
  <c r="D28" i="2"/>
  <c r="D36" i="2"/>
  <c r="D113" i="2"/>
  <c r="D46" i="2"/>
  <c r="D112" i="2"/>
  <c r="D45" i="2"/>
  <c r="D44" i="2"/>
  <c r="D111" i="2"/>
  <c r="D35" i="2"/>
  <c r="D43" i="2"/>
  <c r="D34" i="2"/>
  <c r="D120" i="2"/>
  <c r="D92" i="2"/>
  <c r="D119" i="2"/>
  <c r="D42" i="2"/>
  <c r="D33" i="2"/>
  <c r="D118" i="2"/>
  <c r="D27" i="2"/>
  <c r="D117" i="2"/>
  <c r="D32" i="2"/>
  <c r="D31" i="2"/>
  <c r="D41" i="2"/>
  <c r="D54" i="2"/>
  <c r="D53" i="2"/>
  <c r="D26" i="2"/>
  <c r="D52" i="2"/>
  <c r="D51" i="2"/>
  <c r="D40" i="2"/>
  <c r="D50" i="2"/>
  <c r="D49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F1" i="2"/>
  <c r="E1" i="2"/>
  <c r="C6" i="1" l="1"/>
  <c r="C13" i="1" s="1"/>
  <c r="C15" i="1" s="1"/>
  <c r="E8" i="1"/>
  <c r="E14" i="1" s="1"/>
  <c r="K3" i="8"/>
  <c r="K4" i="4"/>
  <c r="B7" i="1"/>
  <c r="K5" i="4"/>
  <c r="B8" i="1"/>
  <c r="F7" i="1"/>
  <c r="F14" i="1" s="1"/>
  <c r="K4" i="8"/>
  <c r="F5" i="1"/>
  <c r="F2" i="7"/>
  <c r="F2" i="4"/>
  <c r="K2" i="6"/>
  <c r="D6" i="1"/>
  <c r="K2" i="7"/>
  <c r="C7" i="1"/>
  <c r="E5" i="1"/>
  <c r="E13" i="1" s="1"/>
  <c r="E15" i="1" s="1"/>
  <c r="K2" i="4"/>
  <c r="K3" i="4"/>
  <c r="K3" i="7"/>
  <c r="K4" i="7"/>
  <c r="K5" i="7"/>
  <c r="F2" i="6"/>
  <c r="K4" i="6"/>
  <c r="F6" i="1"/>
  <c r="F2" i="5"/>
  <c r="K5" i="6"/>
  <c r="F2" i="8"/>
  <c r="K3" i="5"/>
  <c r="C8" i="1"/>
  <c r="B9" i="1"/>
  <c r="B10" i="1" s="1"/>
  <c r="B11" i="1" s="1"/>
  <c r="K2" i="5"/>
  <c r="K5" i="5"/>
  <c r="C14" i="1" l="1"/>
  <c r="B14" i="1"/>
  <c r="D9" i="1"/>
  <c r="D10" i="1" s="1"/>
  <c r="D11" i="1" s="1"/>
  <c r="D12" i="1" s="1"/>
  <c r="D13" i="1"/>
  <c r="D15" i="1" s="1"/>
  <c r="F13" i="1"/>
  <c r="F15" i="1" s="1"/>
  <c r="E9" i="1"/>
  <c r="E10" i="1" s="1"/>
  <c r="E11" i="1" s="1"/>
  <c r="E12" i="1" s="1"/>
  <c r="F9" i="1"/>
  <c r="F10" i="1" s="1"/>
  <c r="B12" i="1"/>
  <c r="C9" i="1"/>
  <c r="C10" i="1" s="1"/>
  <c r="C11" i="1" s="1"/>
  <c r="G5" i="1"/>
  <c r="G8" i="1"/>
  <c r="G7" i="1"/>
  <c r="G14" i="1" s="1"/>
  <c r="G6" i="1"/>
  <c r="G13" i="1" l="1"/>
  <c r="G15" i="1" s="1"/>
  <c r="F11" i="1"/>
  <c r="F12" i="1" s="1"/>
  <c r="C12" i="1"/>
  <c r="G12" i="1" s="1"/>
  <c r="G11" i="1"/>
  <c r="G10" i="1"/>
  <c r="D2" i="14" l="1"/>
  <c r="K4" i="14" s="1"/>
  <c r="I7" i="1" s="1"/>
  <c r="C2" i="14"/>
  <c r="A2" i="14"/>
  <c r="E2" i="9"/>
  <c r="D2" i="9"/>
  <c r="C2" i="9"/>
  <c r="A2" i="9"/>
  <c r="K2" i="9" l="1"/>
  <c r="F2" i="9"/>
  <c r="K2" i="14"/>
  <c r="I5" i="1" s="1"/>
  <c r="F2" i="14"/>
  <c r="K3" i="14"/>
  <c r="I6" i="1" s="1"/>
  <c r="K5" i="9" s="1"/>
  <c r="K4" i="9" s="1"/>
  <c r="K3" i="9" s="1"/>
  <c r="I9" i="1" l="1"/>
  <c r="I10" i="1" s="1"/>
  <c r="I11" i="1" s="1"/>
  <c r="I12" i="1" s="1"/>
  <c r="L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25" authorId="0" shapeId="0" xr:uid="{77D4E1ED-CD08-4571-AA09-C4D9913463CB}">
      <text>
        <r>
          <rPr>
            <sz val="10"/>
            <rFont val="Arial"/>
            <family val="2"/>
          </rPr>
          <t>Raul Alberto Bowen:
+ 2 MECANICOS DE ETT - TURNO OK</t>
        </r>
      </text>
    </comment>
    <comment ref="A150" authorId="0" shapeId="0" xr:uid="{3A688F42-47B8-4BA3-93C0-C6EDD5C03E90}">
      <text>
        <r>
          <rPr>
            <sz val="10"/>
            <rFont val="Arial"/>
            <family val="2"/>
          </rPr>
          <t>Raul Alberto Bowen:
3 OPERARIOS MECANICOS DE ETT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M55" authorId="0" shapeId="0" xr:uid="{00000000-0006-0000-0100-000003000000}">
      <text>
        <r>
          <rPr>
            <sz val="10"/>
            <rFont val="Arial"/>
            <family val="2"/>
          </rPr>
          <t>Raul Alberto Bowen:
Boda dia 21/08/26</t>
        </r>
      </text>
    </comment>
    <comment ref="BD55" authorId="0" shapeId="0" xr:uid="{00000000-0006-0000-0100-000006000000}">
      <text>
        <r>
          <rPr>
            <sz val="10"/>
            <rFont val="Arial"/>
            <family val="2"/>
          </rPr>
          <t>Raul Alberto Bowen:
2 dias en diciembre +3de enero</t>
        </r>
      </text>
    </comment>
    <comment ref="B107" authorId="0" shapeId="0" xr:uid="{00000000-0006-0000-0100-000002000000}">
      <text>
        <r>
          <rPr>
            <sz val="10"/>
            <rFont val="Arial"/>
            <family val="2"/>
          </rPr>
          <t>Raul Alberto Bowen:
+ 2 MECANICOS DE ETT - TURNO OK</t>
        </r>
      </text>
    </comment>
    <comment ref="B119" authorId="0" shapeId="0" xr:uid="{00000000-0006-0000-0100-000001000000}">
      <text>
        <r>
          <rPr>
            <sz val="10"/>
            <rFont val="Arial"/>
            <family val="2"/>
          </rPr>
          <t>Raul Alberto Bowen:
3 OPERARIOS MECANICOS DE ETT</t>
        </r>
      </text>
    </comment>
    <comment ref="AV119" authorId="0" shapeId="0" xr:uid="{00000000-0006-0000-0100-000005000000}">
      <text>
        <r>
          <rPr>
            <sz val="10"/>
            <rFont val="Arial"/>
            <family val="2"/>
          </rPr>
          <t>2D</t>
        </r>
      </text>
    </comment>
    <comment ref="AU167" authorId="0" shapeId="0" xr:uid="{00000000-0006-0000-0100-000004000000}">
      <text>
        <r>
          <rPr>
            <sz val="10"/>
            <rFont val="Arial"/>
            <family val="2"/>
          </rPr>
          <t>Raul Alberto Bowen:
dia 19 de la semana 43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66" authorId="0" shapeId="0" xr:uid="{00000000-0006-0000-0200-000001000000}">
      <text>
        <r>
          <rPr>
            <sz val="10"/>
            <rFont val="Arial"/>
            <family val="2"/>
          </rPr>
          <t>Raúl Bowen:
Turno tarde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tc={562835EF-32B8-4322-B5DE-8435CAD987A0}</author>
    <author>tc={5503154F-DF17-4B3B-9A76-E25747B8E444}</author>
    <author>tc={CC8EDB8F-2AE6-4918-A885-7FD0489FF580}</author>
    <author>tc={26FD67E3-5F99-4C1E-A6D4-E5D1A0B83E20}</author>
    <author>tc={21E76D49-F455-4E01-8D32-EACDB7AEE642}</author>
    <author>tc={5926CAF9-60DE-400F-A04D-8E2BE84CBAEA}</author>
    <author>tc={0DED01F0-BBBA-4FE4-9121-9852C39F2E8C}</author>
    <author>tc={097A8B8B-D251-4785-890E-E497356DF439}</author>
    <author>tc={1654E379-1DA0-4B85-9757-8D33F75EA449}</author>
    <author>tc={18CC440B-61F9-4E4C-9552-31B140DA375C}</author>
    <author>tc={2F559BB3-442C-4CF1-ACAC-4275FBDF23B3}</author>
    <author>tc={EA948787-1515-451C-A4E2-0C9DC1D43BA0}</author>
    <author>tc={63AF45EE-BDA0-451D-91FA-F2DF1CC2C113}</author>
    <author>tc={2FF5C513-FB26-447D-BE2D-31221E5B5BC6}</author>
    <author>tc={405CF43D-6936-4030-8112-93F9B812EDF1}</author>
    <author>tc={D614C8CB-347E-4B3E-BB05-657A9DDDB088}</author>
    <author>tc={7167E9AC-0DB6-4D50-9769-06DCC98B68B1}</author>
    <author>tc={78AE19CE-D9FD-4977-8536-8555E9623D3F}</author>
    <author>tc={5D049D88-3193-4FB3-8736-DD0B7B3F7164}</author>
    <author>tc={E3D0C30B-D39E-4C40-AB29-9638CA8488C7}</author>
    <author>tc={C07C0E2D-15E3-453A-B2DE-4FB9E0CA5059}</author>
    <author>tc={5286A53E-027B-46D5-961E-5BEE36076F35}</author>
    <author>tc={1249AA09-85B2-48AE-B81A-C21D59C305A6}</author>
    <author>tc={61C1E1A8-14B1-4EBA-912F-02A646900253}</author>
    <author>tc={CAEE3B9B-CF84-4813-8B48-8598FE967955}</author>
    <author>tc={6E4FA600-FB12-4DBB-B31C-48A55C253226}</author>
    <author>tc={E4FFDDDC-BBC8-4878-9BD4-D9FA72400777}</author>
    <author>tc={132CDC47-01B6-45FD-82BB-B87746683C3A}</author>
    <author>tc={1B6C2E9D-E45B-414F-8CD1-999A29C8DD27}</author>
    <author>tc={115E60AC-994B-472F-A5E7-DF909996997F}</author>
    <author>tc={605962B3-BC9A-457C-B05C-B0DF29B18246}</author>
    <author>tc={A0C60C96-46DD-402F-BF18-C259A6109A87}</author>
    <author>tc={394E8287-B9D9-4378-8FD6-5305A87EEFDB}</author>
    <author>tc={6D7C8FEC-917A-4D31-B4C6-A637FEDFD250}</author>
    <author>tc={B3FE9FFB-8F4C-419A-B73C-E16C9268654E}</author>
    <author>tc={3F2BA9D4-D291-43B4-BA4B-25CFDBEE47DE}</author>
    <author>tc={131D3586-6AE6-4A9E-B94E-0F92A34B7DFA}</author>
    <author>tc={C752AA55-FDFE-4DAE-B2E8-9788B4C4BEC4}</author>
    <author>tc={0EAC53DC-3907-42F4-BA8B-7C34AEBDDBF0}</author>
    <author>tc={C0C4F760-E95E-44E2-9B8E-49057DB1D624}</author>
    <author>tc={F37D5F94-C33C-4C95-9E46-089F0C9E08CB}</author>
    <author>tc={BA4C4A9D-0D40-41FC-9EFC-4BA469C23664}</author>
    <author>tc={EA09085A-FC41-4ED2-BF02-0244E1D67B9F}</author>
    <author>tc={E3523A1A-2C4B-4569-875A-81BDC6BCEA74}</author>
    <author>tc={58584FF8-6327-4D75-84DC-217207C27273}</author>
    <author>tc={B2BA060B-92D8-4D8D-9CEE-20C7794F73D6}</author>
    <author>tc={A01D1FC7-DD28-46E9-934D-42EAF8563E7C}</author>
    <author>tc={77952FA4-6ACE-4CD6-973E-1EB0247A4A13}</author>
    <author>tc={F638C704-F973-4D92-A104-4F67C6FD4C4E}</author>
    <author>tc={0DE519B2-08EF-46D8-9B0E-FA3DB91B9EDA}</author>
    <author>tc={E233FA63-ADF5-427E-AC28-4857BEF07946}</author>
    <author>tc={48874D85-578E-4300-8FF2-B1227B8580AD}</author>
    <author>tc={64E2A45F-F775-4777-941F-AF1C27EB58AE}</author>
    <author>tc={1633751A-1047-4B3F-90E0-10F7DB592464}</author>
    <author>tc={B3F90707-615F-4CFA-A3B2-3DCC3161D1C0}</author>
    <author>tc={24EF8E6B-3350-4B8B-A87B-AF82717D1020}</author>
    <author>tc={F48085FF-F2CC-4E50-A158-B221DA41774E}</author>
    <author>tc={AA0B3BA8-E83F-4F51-88E4-CCC958AA0375}</author>
    <author>tc={69CD271B-6E5D-4ECA-AEEA-E39D7042E4C9}</author>
    <author>tc={E372BE17-7B44-4499-8EA5-DA4E35404D1E}</author>
    <author>tc={1AFC7FFD-CFD1-4B5D-953D-48BE34669122}</author>
    <author>tc={FFFA30D3-624A-47F4-857F-8EAC00C582E5}</author>
    <author>tc={F231256A-CF80-4603-A8E7-501AACBB7E64}</author>
    <author>tc={DD5B08C0-27D4-4B8A-906B-53D279877AE5}</author>
    <author>tc={FB8C575F-2833-49E2-96A0-8B5F3243584C}</author>
    <author>tc={994629E4-7A58-4EC1-8F8E-CDF598C7BF0E}</author>
    <author>tc={866A5451-C965-40CF-A178-5831593FED7F}</author>
    <author>tc={33F01D80-C730-4537-B175-91140EB8D660}</author>
    <author>tc={5D09C847-6291-49A1-9F29-7F9F8C6F4768}</author>
    <author>tc={58C86F35-4CE8-4799-9EC1-98A4C945737C}</author>
    <author>tc={8924575E-4CAF-4083-89C3-D9F9E580C2FA}</author>
    <author>tc={1F8671E7-6C0B-4445-B6D6-BFC967DCE80C}</author>
    <author>tc={492702C8-3D8B-4C73-9919-1843D722EACC}</author>
    <author>tc={286DF311-3630-48A6-9B35-29520785A5C0}</author>
    <author>tc={F75DC190-3BCA-4671-9189-F0CB7C7A1A7B}</author>
    <author>tc={D49C3127-72CE-47C5-A7CE-300910F016F9}</author>
    <author>tc={E029342C-8F25-4955-A776-6533C48F6AD3}</author>
    <author>tc={7F16439A-4A20-4ECD-86E9-00CCA8D564A6}</author>
    <author>tc={51DA76FB-A242-4AB9-8693-55BEE5CE06D1}</author>
    <author>tc={13325FA8-4801-47B6-A0B7-347BBC9BA363}</author>
    <author>tc={519BC964-9D4E-494B-837C-C25E073C8D3D}</author>
    <author>tc={63374632-FED3-4849-88B5-EE651AAB0B1E}</author>
    <author>tc={D477A798-4A86-412B-8E36-7F019119D727}</author>
    <author>tc={C9106B47-1D06-4514-9717-25BF81B2DE7D}</author>
    <author>tc={57046E20-BBDC-4898-992C-A088CF414E6D}</author>
    <author>tc={24285BE2-F8B6-403B-B677-4BFA54DCDB43}</author>
    <author>tc={2235C5CE-324B-4703-8581-759A283A7088}</author>
    <author>tc={C3269CBB-B367-450F-A0D5-21B1C4F9A18D}</author>
    <author>tc={10C1AAF5-B20C-45F4-AC17-FC6CCC8F8212}</author>
    <author>tc={83D813BA-91C9-4E9F-B241-FCFE2CC91D84}</author>
    <author>tc={669ECB7E-4F0A-4E50-8B1E-FD54E25FA547}</author>
    <author>tc={6CE3A9B6-3A5B-450B-85AC-C94933A6C4A5}</author>
    <author>tc={8B348C02-A1AB-4030-8095-F3FB29279C55}</author>
    <author>tc={C8C17678-5610-498D-8AA7-05C64B567C20}</author>
    <author>tc={627B984D-8F53-4412-96F0-F80D9EC51B64}</author>
    <author>tc={D56F0C82-E614-452F-B130-257E78EE10E5}</author>
    <author>tc={ADDFD3C2-E4BF-48B5-AB74-19C28E8D7394}</author>
    <author>tc={68290EDA-01E9-489B-9BA9-051D35499A42}</author>
    <author>tc={6CC12D86-7550-4061-9280-3E2596B8B126}</author>
    <author>tc={6E4410F2-89BA-4F60-BF65-EE736CAB3910}</author>
    <author>tc={E1467F21-71DA-469F-AE60-555337AB14B7}</author>
    <author>tc={88196E5F-8C84-44D8-90DF-049F80E647CB}</author>
    <author>tc={C42056EB-C3AD-4EC2-BDC5-3E97E4D229B7}</author>
    <author>tc={D3B4E54F-F0B5-4C06-942A-EAF203D540A7}</author>
    <author>tc={98C28C42-E2A6-43B7-8D42-E57A8572946B}</author>
    <author>tc={85AE0715-583F-4DCA-AF3F-5DA0FC550C48}</author>
    <author>tc={FF692677-0354-4CE4-ABA0-0F8D34EED086}</author>
    <author>tc={AF71EF34-879C-43B8-98F1-04204B0BF58B}</author>
    <author>tc={F75041DD-71C1-4316-A459-F6C8FD1140B6}</author>
    <author>tc={A9E0EC93-FB66-4591-AB11-ACFD37745705}</author>
    <author>tc={DC6D2C16-4FD5-43B1-8BB6-4274E8AAD14F}</author>
    <author>tc={2B3FF761-0595-4DE0-9958-F214D571AF3D}</author>
    <author>tc={5205DC04-9030-49DE-8EA9-593ED3DB0616}</author>
    <author>tc={CBFCA658-7368-4327-9AC7-029D07157A59}</author>
    <author>tc={A6EDC45B-41AC-4C3A-ADF5-C0E9475F066B}</author>
    <author>tc={6DD5A292-D060-4F43-AA4D-B4258F840A6A}</author>
    <author>tc={66193A06-3D30-4B9C-BCD2-6E09ED1611DE}</author>
    <author>tc={C7EB4951-1BD3-4018-9106-E4BED6237CC9}</author>
    <author>tc={232A88A2-1364-4D6B-AFEC-3B6609541023}</author>
    <author>tc={15CC64F1-E3BF-4049-8882-CFADE1B697EF}</author>
    <author>tc={321C1EF5-A728-48DE-8912-AC3C881907B3}</author>
    <author>tc={1E289A8A-3046-4000-BC7F-BA4493B764E5}</author>
    <author>tc={11A703FF-5644-424A-93B5-84374BC2BB36}</author>
    <author>tc={BF245923-F64D-4222-BB7D-32C6A8B1B1CD}</author>
    <author>tc={360AE34C-A58C-48C5-92CE-F963E4F977EE}</author>
    <author>tc={331ADCF8-E6D3-4ECF-BAEF-E711BF0A6D83}</author>
    <author>tc={077EDCD9-5E54-4220-BFA1-43B7D787E098}</author>
    <author>tc={AC5C72EA-F2C0-4D8E-ABB3-0E0E6C9C8BA3}</author>
    <author>tc={B0A78C5E-AD69-41AD-A15E-84972650A0F2}</author>
    <author>tc={C9EEC0DF-3F12-401C-A694-63FD984CDC31}</author>
    <author>tc={47D5DF53-55DB-48F7-ADB5-6B52BA300937}</author>
    <author>tc={CFB73CEC-72A3-4755-9BFF-77227075A37E}</author>
    <author>tc={5D6D0EBF-AAAC-4D1B-A3B0-D5F27B0BABF0}</author>
    <author>tc={F45353F3-CF59-4D0A-AD86-D6B43C1BAE43}</author>
    <author>tc={7A8E1DE3-D778-4162-92D6-90F53D853351}</author>
    <author>tc={6D9B3683-5525-4B7C-9A9D-2887D740C973}</author>
    <author>tc={795ACECF-2E28-4475-9E1F-277E331EB52D}</author>
    <author>tc={7BA6DF30-2937-49D2-B81A-AB1E44511913}</author>
    <author>tc={0898A009-BF59-485D-915B-942CB938A1C9}</author>
    <author>tc={831B6287-2E95-4239-B370-BC4F73150B08}</author>
    <author>tc={E8C91FA9-5E71-4504-9FFF-7FBF4054B51E}</author>
    <author>tc={FCDEECFD-A684-4BFD-B30E-6C8E139B436A}</author>
    <author>tc={E677C956-A183-4451-99F6-ABAD12F003CC}</author>
    <author>tc={A6FEC7C1-FB3F-4440-BAEE-8339F4E1D325}</author>
    <author>tc={2764C1F1-A32D-48B3-8A1F-99318C8EE526}</author>
    <author>tc={595A6CB9-1C67-45B0-8231-44F13B70E7A7}</author>
    <author>tc={D7909FC2-7425-469F-B4E2-37BA87D0B40B}</author>
    <author>tc={5B43EDE0-D0C2-42D9-87EB-4656BD906DC6}</author>
    <author>tc={DC439D39-8BF8-497A-957A-BCDE684618F1}</author>
    <author>tc={A4BA4999-B437-43DD-93DB-54ECFBD4704E}</author>
    <author>tc={2EBDABFA-AF9E-48CE-AABF-D004F4D0AA32}</author>
    <author>tc={08E87D65-AD79-4F5E-9AE5-BCC46698DC55}</author>
    <author>tc={947C1968-B181-4BD7-A3E4-9E365DD29F29}</author>
    <author>tc={5822660A-ACD6-45B1-BBAD-3658A3B93ACA}</author>
    <author>tc={17E9E8CE-83ED-4CF6-A514-82F1E6883297}</author>
    <author>tc={B66D65B8-B40B-4153-A018-63771DF58699}</author>
    <author>tc={F3C4E166-D18C-4DA4-859D-940399C40994}</author>
    <author>tc={B3165C46-0EEE-44BC-A210-2E90429FA1AB}</author>
    <author>tc={9A475D6C-82D7-4E6C-A91C-A30E5DB3D929}</author>
    <author>tc={8C00EBE7-10EC-406F-B5CD-41FF2B4C50E1}</author>
    <author>tc={BC393099-27BF-4436-8C4B-407575D99535}</author>
    <author>tc={4FA3FD0B-D4E8-4430-8B4E-73182CDE7FBC}</author>
    <author>tc={ABBA286D-AB14-4251-BB19-9C69BEAB6DDB}</author>
    <author>tc={3A93F5B4-8403-4751-866E-0A5AE312DEF5}</author>
    <author>tc={231D5596-31FB-494B-A445-42C3CCCE1C94}</author>
    <author>tc={2A262AB8-5C3F-435C-BFD3-E9F925B3084F}</author>
    <author>tc={15A0EDA3-7874-4F5E-BCB3-97FBEF5CEADC}</author>
    <author>tc={3DAB45DC-5800-4347-AC6B-0E984C049BAC}</author>
    <author>tc={10EB4F28-6C2B-4600-9E0D-2091FC02C29F}</author>
    <author>tc={2E01795A-5B70-4CDA-9D6E-A85850096202}</author>
    <author>tc={80BA9B3E-C7BF-4CD2-9294-B175E286EFCC}</author>
    <author>tc={C503B4D9-6DCE-4966-97FD-D556B2AF566B}</author>
    <author>tc={961AD85F-95FB-42CE-B820-7DB3FAB066B3}</author>
    <author>tc={0201830B-7937-4224-8FEF-98994D828B31}</author>
    <author>tc={251803DD-052D-4FC1-8A7F-E8192B5DF3D9}</author>
    <author>tc={57848B13-E18F-44BE-A815-2318BE1D5598}</author>
    <author>tc={2627DE79-577D-49B2-B603-9A29A93A742F}</author>
    <author>tc={C40FCE5B-7A2D-4C32-AFDD-E03F7CFB3F3B}</author>
    <author>tc={8E44F703-B2B6-4F3B-9054-C28421192C39}</author>
    <author>tc={0210516A-3201-4CDD-AB86-993B18D7ABA2}</author>
    <author>tc={50D749CA-5183-4395-8B5E-17523BD104DA}</author>
    <author>tc={3ECE2ACD-112D-4681-8204-0550118EDAA1}</author>
    <author>tc={66C1DEB7-BE7F-4526-82A6-F90FFFE45916}</author>
    <author>tc={04D526F9-0984-479E-B929-842190A2CE71}</author>
    <author>tc={93AC6306-B935-4240-B5E8-40FBE40B4FE3}</author>
    <author>tc={75B5A9B5-F0F3-43A6-B69A-68F0B9B6C862}</author>
    <author>tc={EDAAEF60-1535-49EE-923F-714334C71FD6}</author>
    <author>tc={5DDB8541-93A5-43B0-AC5E-23D9802DD6D8}</author>
    <author>tc={2E1CE824-80DD-4094-B805-FEF5B443F991}</author>
    <author>tc={34745658-3A60-4D89-90FB-5911173AE29E}</author>
    <author>tc={022BA33E-F9A4-46FF-AA82-610FA19102A3}</author>
    <author>tc={3BE94894-162E-4DCC-B115-782BC6FBFC1E}</author>
    <author>tc={78B1A8E9-ABFD-4756-B6E5-5BFBCCDB580D}</author>
    <author>tc={5A200AAF-55A9-432F-B202-388A5572139C}</author>
    <author>tc={73444341-8B41-475E-8F21-E15AA8C08C35}</author>
    <author>tc={ED530DB2-BFC4-4B38-B6BA-72734252D1BF}</author>
    <author>tc={71D169E2-6B08-4145-9FB6-C21C09732EC3}</author>
    <author>tc={5387AFC1-CA54-40BA-B956-73DDCB8908FB}</author>
    <author>tc={73E53DD3-7D68-42AF-8946-5140289839E2}</author>
    <author>tc={52D60FCC-CD6D-413D-94E8-9326DD2037D2}</author>
    <author>tc={73BF0A37-DCF6-43B0-84A2-78DD90C8B33B}</author>
    <author>tc={34990837-AFB3-465A-A26D-3D521C6E5F01}</author>
    <author>tc={25944109-89C8-4CFE-A0B5-B1A6CDDFEB31}</author>
    <author>tc={3C307E0C-2E9B-4CCE-B1C8-0EA6591275E6}</author>
    <author>tc={7A8A88EC-C7BD-40D9-9904-5FFD4877CDB1}</author>
    <author>tc={A6322D73-26E1-4F6D-8904-EB2994589F32}</author>
    <author>tc={52E86D74-D667-4EC9-8C34-CE095C1F5AA4}</author>
    <author>tc={DBEC3E6A-E87B-4B63-AEDD-A80CF4E6655C}</author>
    <author>tc={97509491-6E6D-4C37-A440-1397DF3065C5}</author>
    <author>tc={5E64CFE7-566B-4D25-A573-D5DDEA2F07D2}</author>
    <author>tc={F3A713DD-B806-4D6C-AA34-BB846E6E19E5}</author>
    <author>tc={678A7E51-3B1B-47FA-B267-EE7711E935C2}</author>
    <author>tc={FB4BD208-DDB1-4C2D-97E8-CDD0D9519EA9}</author>
    <author>tc={33015167-578E-4BBB-AE51-B11047ADA5D0}</author>
    <author>tc={D89D708F-224A-4A97-BB6D-A5D9C80D0804}</author>
    <author>tc={B155CBC2-3D60-4AC6-911B-887361845F56}</author>
    <author>tc={64C4DA07-5A25-4BBB-A074-89A0326D0B11}</author>
    <author>tc={059A9D25-3530-4134-B86C-015887650E60}</author>
    <author>tc={E17BE564-FE37-4D36-A928-DD76FD1A04F9}</author>
    <author>tc={57515DA3-7EF3-416A-98D9-DE3410132D3A}</author>
    <author>tc={F8D69677-F97A-4D0F-B6F5-CC4CA5A83DC8}</author>
    <author>tc={6AC81161-BFF9-4E25-878C-746A1B7ACD00}</author>
    <author>tc={AE3B3323-FB0D-4932-88D8-74E5070FD86E}</author>
    <author>tc={7B9A5FFD-22B0-42A6-B589-A4CB24ED92A3}</author>
    <author>tc={124999B0-2D99-4BDA-BE30-0B7304D8F3CA}</author>
    <author>tc={046F7995-5A20-4AC8-BE73-7D8471666E84}</author>
    <author>tc={46FFDACE-0676-4CE6-83C4-6821D6AF495F}</author>
    <author>tc={6ECB9328-1D3A-4FE1-871B-24EA829B797C}</author>
    <author>tc={68160D6B-A525-4F6B-9D53-8EE83DADD61C}</author>
    <author>tc={A6FCDCF8-F508-4166-B8A9-D0D3F0ABB3F4}</author>
    <author>tc={F4A5E446-6319-4522-95F5-DA9531CF259C}</author>
    <author>tc={4FA5C084-7C97-43FC-A0B7-1FA80F5BFD92}</author>
    <author>tc={F42A7DB9-57B4-49D8-AF6E-9C1ABCC28EE5}</author>
    <author>tc={868FC413-B737-4D73-96A7-3F0A40923A7A}</author>
    <author>tc={AFC8E949-3D21-4395-9C9E-E0C6969BC628}</author>
    <author>tc={FF80B69F-3AED-4BBB-A52F-2A8C360AC925}</author>
    <author>tc={78BE85FF-B293-4684-B9BA-C3EEFB5C8F0D}</author>
    <author>tc={AA2D56DE-4F32-466C-B91C-A78FBCEB2F69}</author>
    <author>tc={96E8E0F1-A853-4A23-B1C3-4AE0992214EB}</author>
    <author>tc={4C1BC2C7-10CA-40C0-B2EB-2DE4AA7FDDAE}</author>
    <author>tc={66908A6D-1775-4457-8EA0-0FCF2FDA506D}</author>
    <author>tc={91A3FF27-F54B-4584-946E-B2E6C84D529F}</author>
    <author>tc={8CD9BD37-F7AD-4E38-9773-E531688577CA}</author>
    <author>tc={B1BC5F49-A85A-4AA2-8817-7215E64861ED}</author>
    <author>tc={0BAF72A7-0CDA-485F-A104-61F0A5F73A21}</author>
    <author>tc={9E39BFA8-6826-4860-832B-EBF6A729E761}</author>
    <author>tc={9903492B-FD52-48D5-A2C5-ADE7DEBF32FC}</author>
    <author>tc={B9A669D3-9C9D-49F0-9678-A770DBCD4519}</author>
  </authors>
  <commentList>
    <comment ref="E2" authorId="0" shapeId="0" xr:uid="{562835EF-32B8-4322-B5DE-8435CAD987A0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</t>
      </text>
    </comment>
    <comment ref="E3" authorId="1" shapeId="0" xr:uid="{5503154F-DF17-4B3B-9A76-E25747B8E44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F4" authorId="2" shapeId="0" xr:uid="{CC8EDB8F-2AE6-4918-A885-7FD0489FF580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</t>
      </text>
    </comment>
    <comment ref="F5" authorId="3" shapeId="0" xr:uid="{26FD67E3-5F99-4C1E-A6D4-E5D1A0B83E2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F6" authorId="4" shapeId="0" xr:uid="{21E76D49-F455-4E01-8D32-EACDB7AEE6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F7" authorId="5" shapeId="0" xr:uid="{5926CAF9-60DE-400F-A04D-8E2BE84CBAEA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F8" authorId="6" shapeId="0" xr:uid="{0DED01F0-BBBA-4FE4-9121-9852C39F2E8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F9" authorId="7" shapeId="0" xr:uid="{097A8B8B-D251-4785-890E-E497356DF4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Día Libre
</t>
      </text>
    </comment>
    <comment ref="G10" authorId="8" shapeId="0" xr:uid="{1654E379-1DA0-4B85-9757-8D33F75EA4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H10" authorId="9" shapeId="0" xr:uid="{18CC440B-61F9-4E4C-9552-31B140DA375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H11" authorId="10" shapeId="0" xr:uid="{2F559BB3-442C-4CF1-ACAC-4275FBDF23B3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 mordedura de perro</t>
      </text>
    </comment>
    <comment ref="H12" authorId="11" shapeId="0" xr:uid="{EA948787-1515-451C-A4E2-0C9DC1D43BA0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FICHAJE</t>
      </text>
    </comment>
    <comment ref="H13" authorId="12" shapeId="0" xr:uid="{63AF45EE-BDA0-451D-91FA-F2DF1CC2C113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FICHAJE</t>
      </text>
    </comment>
    <comment ref="H14" authorId="13" shapeId="0" xr:uid="{2FF5C513-FB26-447D-BE2D-31221E5B5BC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H15" authorId="14" shapeId="0" xr:uid="{405CF43D-6936-4030-8112-93F9B812E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SIN FICHAJE</t>
      </text>
    </comment>
    <comment ref="H16" authorId="15" shapeId="0" xr:uid="{D614C8CB-347E-4B3E-BB05-657A9DDDB08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K18" authorId="16" shapeId="0" xr:uid="{7167E9AC-0DB6-4D50-9769-06DCC98B68B1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L18" authorId="17" shapeId="0" xr:uid="{78AE19CE-D9FD-4977-8536-8555E9623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M18" authorId="18" shapeId="0" xr:uid="{5D049D88-3193-4FB3-8736-DD0B7B3F7164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N18" authorId="19" shapeId="0" xr:uid="{E3D0C30B-D39E-4C40-AB29-9638CA8488C7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O18" authorId="20" shapeId="0" xr:uid="{C07C0E2D-15E3-453A-B2DE-4FB9E0CA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K19" authorId="21" shapeId="0" xr:uid="{5286A53E-027B-46D5-961E-5BEE36076F35}">
      <text>
        <t>[Threaded comment]
Your version of Excel allows you to read this threaded comment; however, any edits to it will get removed if the file is opened in a newer version of Excel. Learn more: https://go.microsoft.com/fwlink/?linkid=870924
Comment:
    Enfermo</t>
      </text>
    </comment>
    <comment ref="K20" authorId="22" shapeId="0" xr:uid="{1249AA09-85B2-48AE-B81A-C21D59C305A6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L22" authorId="23" shapeId="0" xr:uid="{61C1E1A8-14B1-4EBA-912F-02A646900253}">
      <text>
        <t>[Threaded comment]
Your version of Excel allows you to read this threaded comment; however, any edits to it will get removed if the file is opened in a newer version of Excel. Learn more: https://go.microsoft.com/fwlink/?linkid=870924
Comment:
    Enfermo</t>
      </text>
    </comment>
    <comment ref="M24" authorId="24" shapeId="0" xr:uid="{CAEE3B9B-CF84-4813-8B48-8598FE967955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N24" authorId="25" shapeId="0" xr:uid="{6E4FA600-FB12-4DBB-B31C-48A55C253226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O24" authorId="26" shapeId="0" xr:uid="{E4FFDDDC-BBC8-4878-9BD4-D9FA72400777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P24" authorId="27" shapeId="0" xr:uid="{132CDC47-01B6-45FD-82BB-B87746683C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R24" authorId="28" shapeId="0" xr:uid="{1B6C2E9D-E45B-414F-8CD1-999A29C8DD27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S24" authorId="29" shapeId="0" xr:uid="{115E60AC-994B-472F-A5E7-DF909996997F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T24" authorId="30" shapeId="0" xr:uid="{605962B3-BC9A-457C-B05C-B0DF29B18246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U24" authorId="31" shapeId="0" xr:uid="{A0C60C96-46DD-402F-BF18-C259A6109A87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V24" authorId="32" shapeId="0" xr:uid="{394E8287-B9D9-4378-8FD6-5305A87EEFDB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Y24" authorId="33" shapeId="0" xr:uid="{6D7C8FEC-917A-4D31-B4C6-A637FEDFD250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Z24" authorId="34" shapeId="0" xr:uid="{B3FE9FFB-8F4C-419A-B73C-E16C9268654E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A24" authorId="35" shapeId="0" xr:uid="{3F2BA9D4-D291-43B4-BA4B-25CFDBEE47DE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B24" authorId="36" shapeId="0" xr:uid="{131D3586-6AE6-4A9E-B94E-0F92A34B7DFA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C24" authorId="37" shapeId="0" xr:uid="{C752AA55-FDFE-4DAE-B2E8-9788B4C4BEC4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M25" authorId="38" shapeId="0" xr:uid="{0EAC53DC-3907-42F4-BA8B-7C34AEBDDBF0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Operación Suegro</t>
      </text>
    </comment>
    <comment ref="M26" authorId="39" shapeId="0" xr:uid="{C0C4F760-E95E-44E2-9B8E-49057DB1D6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REPOSO</t>
      </text>
    </comment>
    <comment ref="N27" authorId="40" shapeId="0" xr:uid="{F37D5F94-C33C-4C95-9E46-089F0C9E08CB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Operación Suegro</t>
      </text>
    </comment>
    <comment ref="N28" authorId="41" shapeId="0" xr:uid="{BA4C4A9D-0D40-41FC-9EFC-4BA469C2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Permiso mas tarde</t>
      </text>
    </comment>
    <comment ref="N29" authorId="42" shapeId="0" xr:uid="{EA09085A-FC41-4ED2-BF02-0244E1D67B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N30" authorId="43" shapeId="0" xr:uid="{E3523A1A-2C4B-4569-875A-81BDC6BCEA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N31" authorId="44" shapeId="0" xr:uid="{58584FF8-6327-4D75-84DC-217207C2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N32" authorId="45" shapeId="0" xr:uid="{B2BA060B-92D8-4D8D-9CEE-20C7794F73D6}">
      <text>
        <t>[Threaded comment]
Your version of Excel allows you to read this threaded comment; however, any edits to it will get removed if the file is opened in a newer version of Excel. Learn more: https://go.microsoft.com/fwlink/?linkid=870924
Comment:
    Enfermo</t>
      </text>
    </comment>
    <comment ref="O34" authorId="46" shapeId="0" xr:uid="{A01D1FC7-DD28-46E9-934D-42EAF8563E7C}">
      <text>
        <t>[Threaded comment]
Your version of Excel allows you to read this threaded comment; however, any edits to it will get removed if the file is opened in a newer version of Excel. Learn more: https://go.microsoft.com/fwlink/?linkid=870924
Comment:
    Dia Libre</t>
      </text>
    </comment>
    <comment ref="O35" authorId="47" shapeId="0" xr:uid="{77952FA4-6ACE-4CD6-973E-1EB0247A4A13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Operación Suegro</t>
      </text>
    </comment>
    <comment ref="O36" authorId="48" shapeId="0" xr:uid="{F638C704-F973-4D92-A104-4F67C6FD4C4E}">
      <text>
        <t>[Threaded comment]
Your version of Excel allows you to read this threaded comment; however, any edits to it will get removed if the file is opened in a newer version of Excel. Learn more: https://go.microsoft.com/fwlink/?linkid=870924
Comment:
    Enfermo</t>
      </text>
    </comment>
    <comment ref="O37" authorId="49" shapeId="0" xr:uid="{0DE519B2-08EF-46D8-9B0E-FA3DB91B9EDA}">
      <text>
        <t>[Threaded comment]
Your version of Excel allows you to read this threaded comment; however, any edits to it will get removed if the file is opened in a newer version of Excel. Learn more: https://go.microsoft.com/fwlink/?linkid=870924
Comment:
    Dia Libre</t>
      </text>
    </comment>
    <comment ref="O38" authorId="50" shapeId="0" xr:uid="{E233FA63-ADF5-427E-AC28-4857BEF079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va al medico (8.22)</t>
      </text>
    </comment>
    <comment ref="R38" authorId="51" shapeId="0" xr:uid="{48874D85-578E-4300-8FF2-B1227B8580AD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O39" authorId="52" shapeId="0" xr:uid="{64E2A45F-F775-4777-941F-AF1C27EB58AE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O40" authorId="53" shapeId="0" xr:uid="{1633751A-1047-4B3F-90E0-10F7DB592464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O41" authorId="54" shapeId="0" xr:uid="{B3F90707-615F-4CFA-A3B2-3DCC3161D1C0}">
      <text>
        <t>[Threaded comment]
Your version of Excel allows you to read this threaded comment; however, any edits to it will get removed if the file is opened in a newer version of Excel. Learn more: https://go.microsoft.com/fwlink/?linkid=870924
Comment:
    Dia Libre</t>
      </text>
    </comment>
    <comment ref="O42" authorId="55" shapeId="0" xr:uid="{24EF8E6B-3350-4B8B-A87B-AF82717D1020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O43" authorId="56" shapeId="0" xr:uid="{F48085FF-F2CC-4E50-A158-B221DA41774E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R44" authorId="57" shapeId="0" xr:uid="{AA0B3BA8-E83F-4F51-88E4-CCC958AA0375}">
      <text>
        <t>[Threaded comment]
Your version of Excel allows you to read this threaded comment; however, any edits to it will get removed if the file is opened in a newer version of Excel. Learn more: https://go.microsoft.com/fwlink/?linkid=870924
Comment:
    Dia Libre</t>
      </text>
    </comment>
    <comment ref="R45" authorId="58" shapeId="0" xr:uid="{69CD271B-6E5D-4ECA-AEEA-E39D7042E4C9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S45" authorId="59" shapeId="0" xr:uid="{E372BE17-7B44-4499-8EA5-DA4E35404D1E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S46" authorId="60" shapeId="0" xr:uid="{1AFC7FFD-CFD1-4B5D-953D-48BE346691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ha llegado</t>
      </text>
    </comment>
    <comment ref="T48" authorId="61" shapeId="0" xr:uid="{FFFA30D3-624A-47F4-857F-8EAC00C58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U49" authorId="62" shapeId="0" xr:uid="{F231256A-CF80-4603-A8E7-501AACBB7E6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V49" authorId="63" shapeId="0" xr:uid="{DD5B08C0-27D4-4B8A-906B-53D279877AE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Z49" authorId="64" shapeId="0" xr:uid="{FB8C575F-2833-49E2-96A0-8B5F3243584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A49" authorId="65" shapeId="0" xr:uid="{994629E4-7A58-4EC1-8F8E-CDF598C7BF0E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B49" authorId="66" shapeId="0" xr:uid="{866A5451-C965-40CF-A178-5831593FED7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C49" authorId="67" shapeId="0" xr:uid="{33F01D80-C730-4537-B175-91140EB8D66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U50" authorId="68" shapeId="0" xr:uid="{5D09C847-6291-49A1-9F29-7F9F8C6F476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V50" authorId="69" shapeId="0" xr:uid="{58C86F35-4CE8-4799-9EC1-98A4C94573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U51" authorId="70" shapeId="0" xr:uid="{8924575E-4CAF-4083-89C3-D9F9E580C2F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V51" authorId="71" shapeId="0" xr:uid="{1F8671E7-6C0B-4445-B6D6-BFC967DCE80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G51" authorId="72" shapeId="0" xr:uid="{492702C8-3D8B-4C73-9919-1843D722EAC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M51" authorId="73" shapeId="0" xr:uid="{286DF311-3630-48A6-9B35-29520785A5C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U52" authorId="74" shapeId="0" xr:uid="{F75DC190-3BCA-4671-9189-F0CB7C7A1A7B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U53" authorId="75" shapeId="0" xr:uid="{D49C3127-72CE-47C5-A7CE-300910F016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Reunion Cole</t>
      </text>
    </comment>
    <comment ref="U54" authorId="76" shapeId="0" xr:uid="{E029342C-8F25-4955-A776-6533C48F6AD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Accidente Baja</t>
      </text>
    </comment>
    <comment ref="V54" authorId="77" shapeId="0" xr:uid="{7F16439A-4A20-4ECD-86E9-00CCA8D564A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Accidente Baja</t>
      </text>
    </comment>
    <comment ref="V55" authorId="78" shapeId="0" xr:uid="{51DA76FB-A242-4AB9-8693-55BEE5CE06D1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V56" authorId="79" shapeId="0" xr:uid="{13325FA8-4801-47B6-A0B7-347BBC9BA363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Operación Familiar</t>
      </text>
    </comment>
    <comment ref="V57" authorId="80" shapeId="0" xr:uid="{519BC964-9D4E-494B-837C-C25E073C8D3D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Y58" authorId="81" shapeId="0" xr:uid="{63374632-FED3-4849-88B5-EE651AAB0B1E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A60" authorId="82" shapeId="0" xr:uid="{D477A798-4A86-412B-8E36-7F019119D727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B60" authorId="83" shapeId="0" xr:uid="{C9106B47-1D06-4514-9717-25BF81B2DE7D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Y66" authorId="84" shapeId="0" xr:uid="{57046E20-BBDC-4898-992C-A088CF414E6D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Y67" authorId="85" shapeId="0" xr:uid="{24285BE2-F8B6-403B-B677-4BFA54DCDB43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Y68" authorId="86" shapeId="0" xr:uid="{2235C5CE-324B-4703-8581-759A283A7088}">
      <text>
        <t>[Threaded comment]
Your version of Excel allows you to read this threaded comment; however, any edits to it will get removed if the file is opened in a newer version of Excel. Learn more: https://go.microsoft.com/fwlink/?linkid=870924
Comment:
    Mas tarde por medico</t>
      </text>
    </comment>
    <comment ref="AA76" authorId="87" shapeId="0" xr:uid="{C3269CBB-B367-450F-A0D5-21B1C4F9A18D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B78" authorId="88" shapeId="0" xr:uid="{10C1AAF5-B20C-45F4-AC17-FC6CCC8F8212}">
      <text>
        <t>[Threaded comment]
Your version of Excel allows you to read this threaded comment; however, any edits to it will get removed if the file is opened in a newer version of Excel. Learn more: https://go.microsoft.com/fwlink/?linkid=870924
Comment:
    LLega 07:05</t>
      </text>
    </comment>
    <comment ref="AF81" authorId="89" shapeId="0" xr:uid="{83D813BA-91C9-4E9F-B241-FCFE2CC91D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G81" authorId="90" shapeId="0" xr:uid="{669ECB7E-4F0A-4E50-8B1E-FD54E25FA547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H81" authorId="91" shapeId="0" xr:uid="{6CE3A9B6-3A5B-450B-85AC-C94933A6C4A5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F84" authorId="92" shapeId="0" xr:uid="{8B348C02-A1AB-4030-8095-F3FB29279C55}">
      <text>
        <t>[Threaded comment]
Your version of Excel allows you to read this threaded comment; however, any edits to it will get removed if the file is opened in a newer version of Excel. Learn more: https://go.microsoft.com/fwlink/?linkid=870924
Comment:
    Familiar enfermo</t>
      </text>
    </comment>
    <comment ref="AG84" authorId="93" shapeId="0" xr:uid="{C8C17678-5610-498D-8AA7-05C64B567C20}">
      <text>
        <t>[Threaded comment]
Your version of Excel allows you to read this threaded comment; however, any edits to it will get removed if the file is opened in a newer version of Excel. Learn more: https://go.microsoft.com/fwlink/?linkid=870924
Comment:
    Familiar enfermo</t>
      </text>
    </comment>
    <comment ref="AH84" authorId="94" shapeId="0" xr:uid="{627B984D-8F53-4412-96F0-F80D9EC51B64}">
      <text>
        <t>[Threaded comment]
Your version of Excel allows you to read this threaded comment; however, any edits to it will get removed if the file is opened in a newer version of Excel. Learn more: https://go.microsoft.com/fwlink/?linkid=870924
Comment:
    Familiar enfermo</t>
      </text>
    </comment>
    <comment ref="AM84" authorId="95" shapeId="0" xr:uid="{D56F0C82-E614-452F-B130-257E78EE10E5}">
      <text>
        <t>[Threaded comment]
Your version of Excel allows you to read this threaded comment; however, any edits to it will get removed if the file is opened in a newer version of Excel. Learn more: https://go.microsoft.com/fwlink/?linkid=870924
Comment:
    Familiar enfermo</t>
      </text>
    </comment>
    <comment ref="AF85" authorId="96" shapeId="0" xr:uid="{ADDFD3C2-E4BF-48B5-AB74-19C28E8D7394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G85" authorId="97" shapeId="0" xr:uid="{68290EDA-01E9-489B-9BA9-051D3549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H85" authorId="98" shapeId="0" xr:uid="{6CC12D86-7550-4061-9280-3E2596B8B126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M85" authorId="99" shapeId="0" xr:uid="{6E4410F2-89BA-4F60-BF65-EE736CA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Baja</t>
      </text>
    </comment>
    <comment ref="AF86" authorId="100" shapeId="0" xr:uid="{E1467F21-71DA-469F-AE60-555337AB14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G86" authorId="101" shapeId="0" xr:uid="{88196E5F-8C84-44D8-90DF-049F80E647CB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H86" authorId="102" shapeId="0" xr:uid="{C42056EB-C3AD-4EC2-BDC5-3E97E4D229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F87" authorId="103" shapeId="0" xr:uid="{D3B4E54F-F0B5-4C06-942A-EAF203D540A7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G93" authorId="104" shapeId="0" xr:uid="{98C28C42-E2A6-43B7-8D42-E57A857294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Accidente</t>
      </text>
    </comment>
    <comment ref="AH93" authorId="105" shapeId="0" xr:uid="{85AE0715-583F-4DCA-AF3F-5DA0FC550C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Accidente</t>
      </text>
    </comment>
    <comment ref="AG96" authorId="106" shapeId="0" xr:uid="{FF692677-0354-4CE4-ABA0-0F8D34EED08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marcha a las 16:00</t>
      </text>
    </comment>
    <comment ref="AM100" authorId="107" shapeId="0" xr:uid="{AF71EF34-879C-43B8-98F1-04204B0BF58B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N113" authorId="108" shapeId="0" xr:uid="{F75041DD-71C1-4316-A459-F6C8FD114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O113" authorId="109" shapeId="0" xr:uid="{A9E0EC93-FB66-4591-AB11-ACFD37745705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P113" authorId="110" shapeId="0" xr:uid="{DC6D2C16-4FD5-43B1-8BB6-4274E8AAD14F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Q113" authorId="111" shapeId="0" xr:uid="{2B3FF761-0595-4DE0-9958-F214D571AF3D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T113" authorId="112" shapeId="0" xr:uid="{5205DC04-9030-49DE-8EA9-593ED3DB0616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U113" authorId="113" shapeId="0" xr:uid="{CBFCA658-7368-4327-9AC7-029D07157A5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N127" authorId="114" shapeId="0" xr:uid="{A6EDC45B-41AC-4C3A-ADF5-C0E9475F06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Reconocimiento llega 17:00</t>
      </text>
    </comment>
    <comment ref="AO133" authorId="115" shapeId="0" xr:uid="{6DD5A292-D060-4F43-AA4D-B4258F840A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Accidente </t>
      </text>
    </comment>
    <comment ref="AP134" authorId="116" shapeId="0" xr:uid="{66193A06-3D30-4B9C-BCD2-6E09ED1611DE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P135" authorId="117" shapeId="0" xr:uid="{C7EB4951-1BD3-4018-9106-E4BED6237CC9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P136" authorId="118" shapeId="0" xr:uid="{232A88A2-1364-4D6B-AFEC-3B6609541023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Q137" authorId="119" shapeId="0" xr:uid="{15CC64F1-E3BF-4049-8882-CFADE1B697EF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T148" authorId="120" shapeId="0" xr:uid="{321C1EF5-A728-48DE-8912-AC3C881907B3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U153" authorId="121" shapeId="0" xr:uid="{1E289A8A-3046-4000-BC7F-BA4493B764E5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U154" authorId="122" shapeId="0" xr:uid="{11A703FF-5644-424A-93B5-84374BC2BB36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AV164" authorId="123" shapeId="0" xr:uid="{BF245923-F64D-4222-BB7D-32C6A8B1B1CD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W164" authorId="124" shapeId="0" xr:uid="{360AE34C-A58C-48C5-92CE-F963E4F97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X164" authorId="125" shapeId="0" xr:uid="{331ADCF8-E6D3-4ECF-BAEF-E711BF0A6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A164" authorId="126" shapeId="0" xr:uid="{077EDCD9-5E54-4220-BFA1-43B7D787E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B164" authorId="127" shapeId="0" xr:uid="{AC5C72EA-F2C0-4D8E-ABB3-0E0E6C9C8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C164" authorId="128" shapeId="0" xr:uid="{B0A78C5E-AD69-41AD-A15E-84972650A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D164" authorId="129" shapeId="0" xr:uid="{C9EEC0DF-3F12-401C-A694-63FD984CDC31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E164" authorId="130" shapeId="0" xr:uid="{47D5DF53-55DB-48F7-ADB5-6B52BA300937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H164" authorId="131" shapeId="0" xr:uid="{CFB73CEC-72A3-4755-9BFF-77227075A37E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I164" authorId="132" shapeId="0" xr:uid="{5D6D0EBF-AAAC-4D1B-A3B0-D5F27B0BABF0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J164" authorId="133" shapeId="0" xr:uid="{F45353F3-CF59-4D0A-AD86-D6B43C1BAE4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V165" authorId="134" shapeId="0" xr:uid="{7A8E1DE3-D778-4162-92D6-90F53D853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W165" authorId="135" shapeId="0" xr:uid="{6D9B3683-5525-4B7C-9A9D-2887D740C97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X165" authorId="136" shapeId="0" xr:uid="{795ACECF-2E28-4475-9E1F-277E331EB5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D165" authorId="137" shapeId="0" xr:uid="{7BA6DF30-2937-49D2-B81A-AB1E445119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E165" authorId="138" shapeId="0" xr:uid="{0898A009-BF59-485D-915B-942CB938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I165" authorId="139" shapeId="0" xr:uid="{831B6287-2E95-4239-B370-BC4F73150B0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W166" authorId="140" shapeId="0" xr:uid="{E8C91FA9-5E71-4504-9FFF-7FBF4054B51E}">
      <text>
        <t>[Threaded comment]
Your version of Excel allows you to read this threaded comment; however, any edits to it will get removed if the file is opened in a newer version of Excel. Learn more: https://go.microsoft.com/fwlink/?linkid=870924
Comment:
    Bancos</t>
      </text>
    </comment>
    <comment ref="BA168" authorId="141" shapeId="0" xr:uid="{FCDEECFD-A684-4BFD-B30E-6C8E139B436A}">
      <text>
        <t>[Threaded comment]
Your version of Excel allows you to read this threaded comment; however, any edits to it will get removed if the file is opened in a newer version of Excel. Learn more: https://go.microsoft.com/fwlink/?linkid=870924
Comment:
    Murió suegro</t>
      </text>
    </comment>
    <comment ref="BB168" authorId="142" shapeId="0" xr:uid="{E677C956-A183-4451-99F6-ABAD12F003CC}">
      <text>
        <t>[Threaded comment]
Your version of Excel allows you to read this threaded comment; however, any edits to it will get removed if the file is opened in a newer version of Excel. Learn more: https://go.microsoft.com/fwlink/?linkid=870924
Comment:
    Murió suegro</t>
      </text>
    </comment>
    <comment ref="BE170" authorId="143" shapeId="0" xr:uid="{A6FEC7C1-FB3F-4440-BAEE-8339F4E1D3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Operacion familiar</t>
      </text>
    </comment>
    <comment ref="BD172" authorId="144" shapeId="0" xr:uid="{2764C1F1-A32D-48B3-8A1F-99318C8EE526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</t>
      </text>
    </comment>
    <comment ref="BI172" authorId="145" shapeId="0" xr:uid="{595A6CB9-1C67-45B0-8231-44F13B70E7A7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 07:15</t>
      </text>
    </comment>
    <comment ref="BD173" authorId="146" shapeId="0" xr:uid="{D7909FC2-7425-469F-B4E2-37BA87D0B40B}">
      <text>
        <t>[Threaded comment]
Your version of Excel allows you to read this threaded comment; however, any edits to it will get removed if the file is opened in a newer version of Excel. Learn more: https://go.microsoft.com/fwlink/?linkid=870924
Comment:
    Se va a la mutua tirón espalda
Reply:
    Vuelve a las 18:40</t>
      </text>
    </comment>
    <comment ref="BI173" authorId="147" shapeId="0" xr:uid="{5B43EDE0-D0C2-42D9-87EB-4656BD906DC6}">
      <text>
        <t>[Threaded comment]
Your version of Excel allows you to read this threaded comment; however, any edits to it will get removed if the file is opened in a newer version of Excel. Learn more: https://go.microsoft.com/fwlink/?linkid=870924
Comment:
    De 09:30 a 17:30</t>
      </text>
    </comment>
    <comment ref="BI175" authorId="148" shapeId="0" xr:uid="{DC439D39-8BF8-497A-957A-BCDE684618F1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
Reply:
    Baja</t>
      </text>
    </comment>
    <comment ref="BJ175" authorId="149" shapeId="0" xr:uid="{A4BA4999-B437-43DD-93DB-54ECFBD4704E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Medico
Reply:
    Baja</t>
      </text>
    </comment>
    <comment ref="AV177" authorId="150" shapeId="0" xr:uid="{2EBDABFA-AF9E-48CE-AABF-D004F4D0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W177" authorId="151" shapeId="0" xr:uid="{08E87D65-AD79-4F5E-9AE5-BCC46698DC55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X177" authorId="152" shapeId="0" xr:uid="{947C1968-B181-4BD7-A3E4-9E365DD29F2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A177" authorId="153" shapeId="0" xr:uid="{5822660A-ACD6-45B1-BBAD-3658A3B93ACA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B177" authorId="154" shapeId="0" xr:uid="{17E9E8CE-83ED-4CF6-A514-82F1E6883297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C177" authorId="155" shapeId="0" xr:uid="{B66D65B8-B40B-4153-A018-63771DF5869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D177" authorId="156" shapeId="0" xr:uid="{F3C4E166-D18C-4DA4-859D-940399C40994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E177" authorId="157" shapeId="0" xr:uid="{B3165C46-0EEE-44BC-A210-2E90429FA1AB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H177" authorId="158" shapeId="0" xr:uid="{9A475D6C-82D7-4E6C-A91C-A30E5DB3D929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BI177" authorId="159" shapeId="0" xr:uid="{8C00EBE7-10EC-406F-B5CD-41FF2B4C50E1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CENTER</t>
      </text>
    </comment>
    <comment ref="AV178" authorId="160" shapeId="0" xr:uid="{BC393099-27BF-4436-8C4B-407575D9953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X178" authorId="161" shapeId="0" xr:uid="{4FA3FD0B-D4E8-4430-8B4E-73182CDE7FB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B178" authorId="162" shapeId="0" xr:uid="{ABBA286D-AB14-4251-BB19-9C69BEAB6D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D178" authorId="163" shapeId="0" xr:uid="{3A93F5B4-8403-4751-866E-0A5AE312DE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E178" authorId="164" shapeId="0" xr:uid="{231D5596-31FB-494B-A445-42C3CCCE1C9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I178" authorId="165" shapeId="0" xr:uid="{2A262AB8-5C3F-435C-BFD3-E9F925B3084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W179" authorId="166" shapeId="0" xr:uid="{15A0EDA3-7874-4F5E-BCB3-97FBEF5CEADC}">
      <text>
        <t>[Threaded comment]
Your version of Excel allows you to read this threaded comment; however, any edits to it will get removed if the file is opened in a newer version of Excel. Learn more: https://go.microsoft.com/fwlink/?linkid=870924
Comment:
    Dia Libre</t>
      </text>
    </comment>
    <comment ref="AV180" authorId="167" shapeId="0" xr:uid="{3DAB45DC-5800-4347-AC6B-0E984C049BA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fue a las 11:00 Medico</t>
      </text>
    </comment>
    <comment ref="BA182" authorId="168" shapeId="0" xr:uid="{10EB4F28-6C2B-4600-9E0D-2091FC02C29F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E183" authorId="169" shapeId="0" xr:uid="{2E01795A-5B70-4CDA-9D6E-A85850096202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H184" authorId="170" shapeId="0" xr:uid="{80BA9B3E-C7BF-4CD2-9294-B175E286EFCC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E186" authorId="171" shapeId="0" xr:uid="{C503B4D9-6DCE-4966-97FD-D556B2AF566B}">
      <text>
        <t>[Threaded comment]
Your version of Excel allows you to read this threaded comment; however, any edits to it will get removed if the file is opened in a newer version of Excel. Learn more: https://go.microsoft.com/fwlink/?linkid=870924
Comment:
    Llega a la 16:48</t>
      </text>
    </comment>
    <comment ref="AV194" authorId="172" shapeId="0" xr:uid="{961AD85F-95FB-42CE-B820-7DB3FAB066B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W194" authorId="173" shapeId="0" xr:uid="{0201830B-7937-4224-8FEF-98994D828B3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X194" authorId="174" shapeId="0" xr:uid="{251803DD-052D-4FC1-8A7F-E8192B5DF3D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D194" authorId="175" shapeId="0" xr:uid="{57848B13-E18F-44BE-A815-2318BE1D559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E194" authorId="176" shapeId="0" xr:uid="{2627DE79-577D-49B2-B603-9A29A93A742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I194" authorId="177" shapeId="0" xr:uid="{C40FCE5B-7A2D-4C32-AFDD-E03F7CFB3F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W195" authorId="178" shapeId="0" xr:uid="{8E44F703-B2B6-4F3B-9054-C28421192C3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va a las 18:00</t>
      </text>
    </comment>
    <comment ref="AW197" authorId="179" shapeId="0" xr:uid="{0210516A-3201-4CDD-AB86-993B18D7AB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va a las 12:00</t>
      </text>
    </comment>
    <comment ref="BA198" authorId="180" shapeId="0" xr:uid="{50D749CA-5183-4395-8B5E-17523BD104DA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B198" authorId="181" shapeId="0" xr:uid="{3ECE2ACD-112D-4681-8204-0550118EDA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C198" authorId="182" shapeId="0" xr:uid="{66C1DEB7-BE7F-4526-82A6-F90FFFE459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D198" authorId="183" shapeId="0" xr:uid="{04D526F9-0984-479E-B929-842190A2CE7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E198" authorId="184" shapeId="0" xr:uid="{93AC6306-B935-4240-B5E8-40FBE40B4FE3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A199" authorId="185" shapeId="0" xr:uid="{75B5A9B5-F0F3-43A6-B69A-68F0B9B6C862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B200" authorId="186" shapeId="0" xr:uid="{EDAAEF60-1535-49EE-923F-714334C71F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C200" authorId="187" shapeId="0" xr:uid="{5DDB8541-93A5-43B0-AC5E-23D9802DD6D8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D200" authorId="188" shapeId="0" xr:uid="{2E1CE824-80DD-4094-B805-FEF5B443F99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E200" authorId="189" shapeId="0" xr:uid="{34745658-3A60-4D89-90FB-5911173AE2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V202" authorId="190" shapeId="0" xr:uid="{022BA33E-F9A4-46FF-AA82-610FA1910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W202" authorId="191" shapeId="0" xr:uid="{3BE94894-162E-4DCC-B115-782BC6FBFC1E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X202" authorId="192" shapeId="0" xr:uid="{78B1A8E9-ABFD-4756-B6E5-5BFBCCDB5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A202" authorId="193" shapeId="0" xr:uid="{5A200AAF-55A9-432F-B202-388A5572139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B202" authorId="194" shapeId="0" xr:uid="{73444341-8B41-475E-8F21-E15AA8C08C35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C202" authorId="195" shapeId="0" xr:uid="{ED530DB2-BFC4-4B38-B6BA-72734252D1BF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D202" authorId="196" shapeId="0" xr:uid="{71D169E2-6B08-4145-9FB6-C21C09732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E202" authorId="197" shapeId="0" xr:uid="{5387AFC1-CA54-40BA-B956-73DDCB890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H202" authorId="198" shapeId="0" xr:uid="{73E53DD3-7D68-42AF-8946-5140289839E2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I202" authorId="199" shapeId="0" xr:uid="{52D60FCC-CD6D-413D-94E8-9326DD2037D2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J202" authorId="200" shapeId="0" xr:uid="{73BF0A37-DCF6-43B0-84A2-78DD90C8B33B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X206" authorId="201" shapeId="0" xr:uid="{34990837-AFB3-465A-A26D-3D521C6E5F01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A208" authorId="202" shapeId="0" xr:uid="{25944109-89C8-4CFE-A0B5-B1A6CDDFEB31}">
      <text>
        <t>[Threaded comment]
Your version of Excel allows you to read this threaded comment; however, any edits to it will get removed if the file is opened in a newer version of Excel. Learn more: https://go.microsoft.com/fwlink/?linkid=870924
Comment:
    Examen conducir</t>
      </text>
    </comment>
    <comment ref="BA209" authorId="203" shapeId="0" xr:uid="{3C307E0C-2E9B-4CCE-B1C8-0EA6591275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Revisión vista</t>
      </text>
    </comment>
    <comment ref="BB209" authorId="204" shapeId="0" xr:uid="{7A8A88EC-C7BD-40D9-9904-5FFD4877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Revisión vista</t>
      </text>
    </comment>
    <comment ref="BE211" authorId="205" shapeId="0" xr:uid="{A6322D73-26E1-4F6D-8904-EB2994589F32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H212" authorId="206" shapeId="0" xr:uid="{52E86D74-D667-4EC9-8C34-CE095C1F5A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I212" authorId="207" shapeId="0" xr:uid="{DBEC3E6A-E87B-4B63-AEDD-A80CF4E665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J212" authorId="208" shapeId="0" xr:uid="{97509491-6E6D-4C37-A440-1397DF306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V213" authorId="209" shapeId="0" xr:uid="{5E64CFE7-566B-4D25-A573-D5DDEA2F07D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W213" authorId="210" shapeId="0" xr:uid="{F3A713DD-B806-4D6C-AA34-BB846E6E19E5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X213" authorId="211" shapeId="0" xr:uid="{678A7E51-3B1B-47FA-B267-EE7711E935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A213" authorId="212" shapeId="0" xr:uid="{FB4BD208-DDB1-4C2D-97E8-CDD0D9519EA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B213" authorId="213" shapeId="0" xr:uid="{33015167-578E-4BBB-AE51-B11047ADA5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C213" authorId="214" shapeId="0" xr:uid="{D89D708F-224A-4A97-BB6D-A5D9C80D080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D213" authorId="215" shapeId="0" xr:uid="{B155CBC2-3D60-4AC6-911B-887361845F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E213" authorId="216" shapeId="0" xr:uid="{64C4DA07-5A25-4BBB-A074-89A0326D0B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H213" authorId="217" shapeId="0" xr:uid="{059A9D25-3530-4134-B86C-015887650E6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I213" authorId="218" shapeId="0" xr:uid="{E17BE564-FE37-4D36-A928-DD76FD1A04F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BJ213" authorId="219" shapeId="0" xr:uid="{57515DA3-7EF3-416A-98D9-DE3410132D3A}">
      <text>
        <t>[Threaded comment]
Your version of Excel allows you to read this threaded comment; however, any edits to it will get removed if the file is opened in a newer version of Excel. Learn more: https://go.microsoft.com/fwlink/?linkid=870924
Comment:
    Comite</t>
      </text>
    </comment>
    <comment ref="AV215" authorId="220" shapeId="0" xr:uid="{F8D69677-F97A-4D0F-B6F5-CC4CA5A83DC8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W215" authorId="221" shapeId="0" xr:uid="{6AC81161-BFF9-4E25-878C-746A1B7ACD00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X215" authorId="222" shapeId="0" xr:uid="{AE3B3323-FB0D-4932-88D8-74E5070FD86E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A215" authorId="223" shapeId="0" xr:uid="{7B9A5FFD-22B0-42A6-B589-A4CB24ED9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B215" authorId="224" shapeId="0" xr:uid="{124999B0-2D99-4BDA-BE30-0B7304D8F3CA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C215" authorId="225" shapeId="0" xr:uid="{046F7995-5A20-4AC8-BE73-7D8471666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D215" authorId="226" shapeId="0" xr:uid="{46FFDACE-0676-4CE6-83C4-6821D6AF4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E215" authorId="227" shapeId="0" xr:uid="{6ECB9328-1D3A-4FE1-871B-24EA829B797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H215" authorId="228" shapeId="0" xr:uid="{68160D6B-A525-4F6B-9D53-8EE83DADD61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I215" authorId="229" shapeId="0" xr:uid="{A6FCDCF8-F508-4166-B8A9-D0D3F0ABB3F4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BJ215" authorId="230" shapeId="0" xr:uid="{F4A5E446-6319-4522-95F5-DA9531CF2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Paternidad</t>
      </text>
    </comment>
    <comment ref="AV216" authorId="231" shapeId="0" xr:uid="{4FA5C084-7C97-43FC-A0B7-1FA80F5BFD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W216" authorId="232" shapeId="0" xr:uid="{F42A7DB9-57B4-49D8-AF6E-9C1ABCC28E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X216" authorId="233" shapeId="0" xr:uid="{868FC413-B737-4D73-96A7-3F0A40923A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A216" authorId="234" shapeId="0" xr:uid="{AFC8E949-3D21-4395-9C9E-E0C6969BC628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A220" authorId="235" shapeId="0" xr:uid="{FF80B69F-3AED-4BBB-A52F-2A8C360AC925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A221" authorId="236" shapeId="0" xr:uid="{78BE85FF-B293-4684-B9BA-C3EEFB5C8F0D}">
      <text>
        <t>[Threaded comment]
Your version of Excel allows you to read this threaded comment; however, any edits to it will get removed if the file is opened in a newer version of Excel. Learn more: https://go.microsoft.com/fwlink/?linkid=870924
Comment:
    Enfermo</t>
      </text>
    </comment>
    <comment ref="BD223" authorId="237" shapeId="0" xr:uid="{AA2D56DE-4F32-466C-B91C-A78FBCEB2F69}">
      <text>
        <t>[Threaded comment]
Your version of Excel allows you to read this threaded comment; however, any edits to it will get removed if the file is opened in a newer version of Excel. Learn more: https://go.microsoft.com/fwlink/?linkid=870924
Comment:
    Se marcha a las 15:45</t>
      </text>
    </comment>
    <comment ref="BE224" authorId="238" shapeId="0" xr:uid="{96E8E0F1-A853-4A23-B1C3-4AE0992214EB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H225" authorId="239" shapeId="0" xr:uid="{4C1BC2C7-10CA-40C0-B2EB-2DE4AA7FDDAE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H226" authorId="240" shapeId="0" xr:uid="{66908A6D-1775-4457-8EA0-0FCF2FDA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H227" authorId="241" shapeId="0" xr:uid="{91A3FF27-F54B-4584-946E-B2E6C84D529F}">
      <text>
        <t>[Threaded comment]
Your version of Excel allows you to read this threaded comment; however, any edits to it will get removed if the file is opened in a newer version of Excel. Learn more: https://go.microsoft.com/fwlink/?linkid=870924
Comment:
    Se va a las 12:00</t>
      </text>
    </comment>
    <comment ref="AV229" authorId="242" shapeId="0" xr:uid="{8CD9BD37-F7AD-4E38-9773-E531688577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W229" authorId="243" shapeId="0" xr:uid="{B1BC5F49-A85A-4AA2-8817-7215E64861ED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AX229" authorId="244" shapeId="0" xr:uid="{0BAF72A7-0CDA-485F-A104-61F0A5F73A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A229" authorId="245" shapeId="0" xr:uid="{9E39BFA8-6826-4860-832B-EBF6A729E761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Vacaciones</t>
      </text>
    </comment>
    <comment ref="BA232" authorId="246" shapeId="0" xr:uid="{9903492B-FD52-48D5-A2C5-ADE7DEBF32FC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  <comment ref="BH233" authorId="247" shapeId="0" xr:uid="{B9A669D3-9C9D-49F0-9678-A770DBCD4519}">
      <text>
        <t>[Threaded comment]
Your version of Excel allows you to read this threaded comment; however, any edits to it will get removed if the file is opened in a newer version of Excel. Learn more: https://go.microsoft.com/fwlink/?linkid=870924
Comment:
    Día Libre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M15" authorId="0" shapeId="0" xr:uid="{00000000-0006-0000-0500-000001000000}">
      <text>
        <r>
          <rPr>
            <sz val="10"/>
            <rFont val="Arial"/>
            <family val="2"/>
          </rPr>
          <t>Raul Alberto Bowen:
Boda dia 21/08/26</t>
        </r>
      </text>
    </comment>
    <comment ref="BD15" authorId="0" shapeId="0" xr:uid="{00000000-0006-0000-0500-000002000000}">
      <text>
        <r>
          <rPr>
            <sz val="10"/>
            <rFont val="Arial"/>
            <family val="2"/>
          </rPr>
          <t>Raul Alberto Bowen:
2 dias en diciembre +3de enero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V10" authorId="0" shapeId="0" xr:uid="{00000000-0006-0000-0700-000001000000}">
      <text>
        <r>
          <rPr>
            <sz val="10"/>
            <rFont val="Arial"/>
            <family val="2"/>
          </rPr>
          <t>2D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V11" authorId="0" shapeId="0" xr:uid="{947C118D-5E91-4EE5-8670-20312004D78F}">
      <text>
        <r>
          <rPr>
            <sz val="10"/>
            <rFont val="Arial"/>
            <family val="2"/>
          </rPr>
          <t>2D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V11" authorId="0" shapeId="0" xr:uid="{011EA116-BA48-41AD-9CF7-C5205A4445D1}">
      <text>
        <r>
          <rPr>
            <sz val="10"/>
            <rFont val="Arial"/>
            <family val="2"/>
          </rPr>
          <t>2D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<sst xmlns="http://schemas.openxmlformats.org/spreadsheetml/2006/main" count="4436" uniqueCount="1020">
  <si>
    <t>Nombre</t>
  </si>
  <si>
    <t>Departamento</t>
  </si>
  <si>
    <t>Check</t>
  </si>
  <si>
    <t>Turno</t>
  </si>
  <si>
    <t>Linea</t>
  </si>
  <si>
    <t>Luis Moreno Arenas</t>
  </si>
  <si>
    <t>Producción</t>
  </si>
  <si>
    <t>T2</t>
  </si>
  <si>
    <t>BOX1</t>
  </si>
  <si>
    <t>Luis Bellon Hernandez</t>
  </si>
  <si>
    <t>Marcos Monroy Prieto</t>
  </si>
  <si>
    <t xml:space="preserve">Producción </t>
  </si>
  <si>
    <t>SÁNCHEZ TORREJÓN, AARÓN</t>
  </si>
  <si>
    <t>OK</t>
  </si>
  <si>
    <t>PINTO, FÉLIX</t>
  </si>
  <si>
    <t>Miguel Torrejon Hernandez</t>
  </si>
  <si>
    <t>Producción - Mecanizado</t>
  </si>
  <si>
    <t>S01</t>
  </si>
  <si>
    <t>GOYO</t>
  </si>
  <si>
    <t>Alejandro Perez Ruiz</t>
  </si>
  <si>
    <t>Antonio Navarro Corral</t>
  </si>
  <si>
    <t>Daniel Donas Rodriguez</t>
  </si>
  <si>
    <t>Gonzalo Gonzalez De La Fuente</t>
  </si>
  <si>
    <t>Ivan Ramos Juarez</t>
  </si>
  <si>
    <t>Oliver Garcia Sanchez</t>
  </si>
  <si>
    <t>Pablo Villayandre Esteban</t>
  </si>
  <si>
    <t>Alberto Moreno Gonzalez</t>
  </si>
  <si>
    <t>Antonio Luque Pulido</t>
  </si>
  <si>
    <t>Bernardo Gonzalez Parra</t>
  </si>
  <si>
    <t>Carlos Vazquez Perez</t>
  </si>
  <si>
    <t>Eduardo Real</t>
  </si>
  <si>
    <t>Eloy Vera Navarro</t>
  </si>
  <si>
    <t>Felix Estevez</t>
  </si>
  <si>
    <t>Gustavo Pavon Puertas</t>
  </si>
  <si>
    <t>Ivan Martin Carmona</t>
  </si>
  <si>
    <t>John Freddy Aricapa Guevara</t>
  </si>
  <si>
    <t>Jonathan Aguilera Gallego</t>
  </si>
  <si>
    <t>Jose Luis Garcia Sotelo</t>
  </si>
  <si>
    <t>Jose Puebla Espinosa</t>
  </si>
  <si>
    <t>Miguel Angel Flores Ruiz</t>
  </si>
  <si>
    <t>Nuria Naranjo</t>
  </si>
  <si>
    <t>Pablo Jose Fernandez Pellitero</t>
  </si>
  <si>
    <t>Rafael Navarro Maestro Muñoz</t>
  </si>
  <si>
    <t>Ronny Cuevo Torrez</t>
  </si>
  <si>
    <t>Jessica Cespedes Rosales</t>
  </si>
  <si>
    <t>Producción - Mecanizado - Excedencia</t>
  </si>
  <si>
    <r>
      <rPr>
        <b/>
        <sz val="11"/>
        <color rgb="FF000000"/>
        <rFont val="Aptos Narrow"/>
      </rPr>
      <t xml:space="preserve">Alberto </t>
    </r>
    <r>
      <rPr>
        <sz val="11"/>
        <color rgb="FF000000"/>
        <rFont val="Aptos Narrow"/>
      </rPr>
      <t>Rodriguez Rodriguez</t>
    </r>
  </si>
  <si>
    <t>T1</t>
  </si>
  <si>
    <t>L1</t>
  </si>
  <si>
    <t>Angel Pascual Higueras</t>
  </si>
  <si>
    <t>David Fernandez Marina (COMITE)</t>
  </si>
  <si>
    <r>
      <rPr>
        <b/>
        <sz val="11"/>
        <color rgb="FF000000"/>
        <rFont val="Aptos Narrow"/>
      </rPr>
      <t>José Antonio</t>
    </r>
    <r>
      <rPr>
        <sz val="11"/>
        <color rgb="FF000000"/>
        <rFont val="Aptos Narrow"/>
      </rPr>
      <t xml:space="preserve"> Pichardo Espina</t>
    </r>
  </si>
  <si>
    <r>
      <rPr>
        <b/>
        <sz val="11"/>
        <color rgb="FF000000"/>
        <rFont val="Aptos Narrow"/>
      </rPr>
      <t xml:space="preserve">Juan Mauricio </t>
    </r>
    <r>
      <rPr>
        <sz val="11"/>
        <color rgb="FF000000"/>
        <rFont val="Aptos Narrow"/>
      </rPr>
      <t>Vicente Martin</t>
    </r>
  </si>
  <si>
    <r>
      <rPr>
        <b/>
        <sz val="11"/>
        <color rgb="FF000000"/>
        <rFont val="Aptos Narrow"/>
      </rPr>
      <t xml:space="preserve">JERMAIN MANUEL </t>
    </r>
    <r>
      <rPr>
        <sz val="11"/>
        <color rgb="FF000000"/>
        <rFont val="Aptos Narrow"/>
      </rPr>
      <t xml:space="preserve"> OPORTE CALDERON, </t>
    </r>
  </si>
  <si>
    <t>ETT</t>
  </si>
  <si>
    <r>
      <rPr>
        <b/>
        <sz val="11"/>
        <color rgb="FF000000"/>
        <rFont val="Aptos Narrow"/>
      </rPr>
      <t>RICARDO</t>
    </r>
    <r>
      <rPr>
        <sz val="11"/>
        <color rgb="FF000000"/>
        <rFont val="Aptos Narrow"/>
      </rPr>
      <t xml:space="preserve"> PRIETO GRANADOS, </t>
    </r>
  </si>
  <si>
    <t>Rafael Baños</t>
  </si>
  <si>
    <r>
      <rPr>
        <b/>
        <sz val="11"/>
        <color rgb="FF000000"/>
        <rFont val="Aptos Narrow"/>
      </rPr>
      <t xml:space="preserve">Samuel </t>
    </r>
    <r>
      <rPr>
        <sz val="11"/>
        <color rgb="FF000000"/>
        <rFont val="Aptos Narrow"/>
      </rPr>
      <t>Dorado Ubeda</t>
    </r>
  </si>
  <si>
    <r>
      <rPr>
        <b/>
        <sz val="11"/>
        <color rgb="FF000000"/>
        <rFont val="Aptos Narrow"/>
      </rPr>
      <t>Adrian</t>
    </r>
    <r>
      <rPr>
        <sz val="11"/>
        <color rgb="FF000000"/>
        <rFont val="Aptos Narrow"/>
      </rPr>
      <t xml:space="preserve"> Garcia Gutierrez</t>
    </r>
  </si>
  <si>
    <t>Producción - Electricidad</t>
  </si>
  <si>
    <r>
      <rPr>
        <b/>
        <sz val="11"/>
        <color rgb="FF000000"/>
        <rFont val="Aptos Narrow"/>
      </rPr>
      <t>Alexis Jesus</t>
    </r>
    <r>
      <rPr>
        <sz val="11"/>
        <color rgb="FF000000"/>
        <rFont val="Aptos Narrow"/>
      </rPr>
      <t xml:space="preserve"> Real Hernandez</t>
    </r>
  </si>
  <si>
    <r>
      <rPr>
        <b/>
        <sz val="11"/>
        <color rgb="FF000000"/>
        <rFont val="Aptos Narrow"/>
      </rPr>
      <t xml:space="preserve">Fernando </t>
    </r>
    <r>
      <rPr>
        <sz val="11"/>
        <color rgb="FF000000"/>
        <rFont val="Aptos Narrow"/>
      </rPr>
      <t>Jimenez Lopez</t>
    </r>
  </si>
  <si>
    <r>
      <rPr>
        <b/>
        <sz val="11"/>
        <color rgb="FF000000"/>
        <rFont val="Aptos Narrow"/>
      </rPr>
      <t>Francisco Javier</t>
    </r>
    <r>
      <rPr>
        <sz val="11"/>
        <color rgb="FF000000"/>
        <rFont val="Aptos Narrow"/>
      </rPr>
      <t xml:space="preserve"> Ruiz Garcia</t>
    </r>
  </si>
  <si>
    <r>
      <rPr>
        <b/>
        <sz val="11"/>
        <color rgb="FF000000"/>
        <rFont val="Aptos Narrow"/>
      </rPr>
      <t>Jose Luis</t>
    </r>
    <r>
      <rPr>
        <sz val="11"/>
        <color rgb="FF000000"/>
        <rFont val="Aptos Narrow"/>
      </rPr>
      <t xml:space="preserve"> Rodriguez Jarillo</t>
    </r>
  </si>
  <si>
    <r>
      <rPr>
        <b/>
        <sz val="11"/>
        <color rgb="FF000000"/>
        <rFont val="Aptos Narrow"/>
      </rPr>
      <t>Rodrigo</t>
    </r>
    <r>
      <rPr>
        <sz val="11"/>
        <color rgb="FF000000"/>
        <rFont val="Aptos Narrow"/>
      </rPr>
      <t xml:space="preserve"> Da Silva Medeisos</t>
    </r>
  </si>
  <si>
    <t xml:space="preserve">Producción - Electricidad </t>
  </si>
  <si>
    <t>Cristian Gomez Marin</t>
  </si>
  <si>
    <t>Producción/baja</t>
  </si>
  <si>
    <t>BAJA</t>
  </si>
  <si>
    <r>
      <rPr>
        <b/>
        <sz val="11"/>
        <color rgb="FF000000"/>
        <rFont val="Aptos Narrow"/>
      </rPr>
      <t>Miguel Angel</t>
    </r>
    <r>
      <rPr>
        <sz val="11"/>
        <color rgb="FF000000"/>
        <rFont val="Aptos Narrow"/>
      </rPr>
      <t xml:space="preserve"> Conejo Garcia</t>
    </r>
  </si>
  <si>
    <r>
      <rPr>
        <b/>
        <sz val="11"/>
        <color rgb="FF000000"/>
        <rFont val="Aptos Narrow"/>
      </rPr>
      <t>Victor Manuel</t>
    </r>
    <r>
      <rPr>
        <sz val="11"/>
        <color rgb="FF000000"/>
        <rFont val="Aptos Narrow"/>
      </rPr>
      <t xml:space="preserve"> Gallego Prieto</t>
    </r>
  </si>
  <si>
    <r>
      <rPr>
        <b/>
        <sz val="11"/>
        <color rgb="FF000000"/>
        <rFont val="Aptos Narrow"/>
      </rPr>
      <t xml:space="preserve">Angel </t>
    </r>
    <r>
      <rPr>
        <sz val="11"/>
        <color rgb="FF000000"/>
        <rFont val="Aptos Narrow"/>
      </rPr>
      <t>Blazquez Fernandez</t>
    </r>
  </si>
  <si>
    <t>Antonio de Pablo</t>
  </si>
  <si>
    <r>
      <rPr>
        <b/>
        <sz val="11"/>
        <color rgb="FF000000"/>
        <rFont val="Aptos Narrow"/>
      </rPr>
      <t xml:space="preserve">Francisco Javier </t>
    </r>
    <r>
      <rPr>
        <sz val="11"/>
        <color rgb="FF000000"/>
        <rFont val="Aptos Narrow"/>
      </rPr>
      <t>Abad García</t>
    </r>
  </si>
  <si>
    <r>
      <rPr>
        <b/>
        <sz val="11"/>
        <color rgb="FF000000"/>
        <rFont val="Aptos Narrow"/>
      </rPr>
      <t xml:space="preserve">Diego </t>
    </r>
    <r>
      <rPr>
        <sz val="11"/>
        <color rgb="FF000000"/>
        <rFont val="Aptos Narrow"/>
      </rPr>
      <t>Antonio Panasiti</t>
    </r>
  </si>
  <si>
    <r>
      <rPr>
        <sz val="11"/>
        <color rgb="FF000000"/>
        <rFont val="Aptos Narrow"/>
      </rPr>
      <t xml:space="preserve"> </t>
    </r>
    <r>
      <rPr>
        <b/>
        <sz val="11"/>
        <color rgb="FF000000"/>
        <rFont val="Aptos Narrow"/>
      </rPr>
      <t>HERNAN ALEJANDRO</t>
    </r>
    <r>
      <rPr>
        <sz val="11"/>
        <color rgb="FF000000"/>
        <rFont val="Aptos Narrow"/>
      </rPr>
      <t xml:space="preserve"> VARE LA RIVA </t>
    </r>
  </si>
  <si>
    <r>
      <rPr>
        <b/>
        <sz val="11"/>
        <color rgb="FF000000"/>
        <rFont val="Aptos Narrow"/>
      </rPr>
      <t>ENRIQUE</t>
    </r>
    <r>
      <rPr>
        <sz val="11"/>
        <color rgb="FF000000"/>
        <rFont val="Aptos Narrow"/>
      </rPr>
      <t xml:space="preserve"> ALISTE DIAZ, </t>
    </r>
  </si>
  <si>
    <r>
      <rPr>
        <b/>
        <sz val="11"/>
        <color rgb="FF000000"/>
        <rFont val="Aptos Narrow"/>
      </rPr>
      <t>ARANZAZU</t>
    </r>
    <r>
      <rPr>
        <sz val="11"/>
        <color rgb="FF000000"/>
        <rFont val="Aptos Narrow"/>
      </rPr>
      <t xml:space="preserve"> VAZQUEZ TORREJON, </t>
    </r>
  </si>
  <si>
    <r>
      <rPr>
        <b/>
        <sz val="11"/>
        <color rgb="FF000000"/>
        <rFont val="Aptos Narrow"/>
      </rPr>
      <t xml:space="preserve">Francisco </t>
    </r>
    <r>
      <rPr>
        <sz val="11"/>
        <color rgb="FF000000"/>
        <rFont val="Aptos Narrow"/>
      </rPr>
      <t>Luque Villoldo</t>
    </r>
  </si>
  <si>
    <r>
      <rPr>
        <b/>
        <sz val="11"/>
        <color rgb="FF000000"/>
        <rFont val="Aptos Narrow"/>
      </rPr>
      <t>Lourdes</t>
    </r>
    <r>
      <rPr>
        <sz val="11"/>
        <color rgb="FF000000"/>
        <rFont val="Aptos Narrow"/>
      </rPr>
      <t xml:space="preserve"> Rodriguez-Palancas Ramirez</t>
    </r>
  </si>
  <si>
    <r>
      <rPr>
        <b/>
        <sz val="11"/>
        <color rgb="FF000000"/>
        <rFont val="Aptos Narrow"/>
      </rPr>
      <t xml:space="preserve">Raul  </t>
    </r>
    <r>
      <rPr>
        <sz val="11"/>
        <color rgb="FF000000"/>
        <rFont val="Aptos Narrow"/>
      </rPr>
      <t>Olmo Bastante</t>
    </r>
  </si>
  <si>
    <r>
      <rPr>
        <sz val="11"/>
        <color rgb="FF000000"/>
        <rFont val="Aptos Narrow"/>
      </rPr>
      <t xml:space="preserve"> I</t>
    </r>
    <r>
      <rPr>
        <b/>
        <sz val="11"/>
        <color rgb="FF000000"/>
        <rFont val="Aptos Narrow"/>
      </rPr>
      <t>SMAEL JOSE</t>
    </r>
    <r>
      <rPr>
        <sz val="11"/>
        <color rgb="FF000000"/>
        <rFont val="Aptos Narrow"/>
      </rPr>
      <t xml:space="preserve"> CHAVES LEMETRE,</t>
    </r>
  </si>
  <si>
    <t>Carlos García</t>
  </si>
  <si>
    <t>L2</t>
  </si>
  <si>
    <r>
      <rPr>
        <b/>
        <sz val="11"/>
        <color rgb="FF000000"/>
        <rFont val="Aptos Narrow"/>
      </rPr>
      <t>DENIS RAZVAN</t>
    </r>
    <r>
      <rPr>
        <sz val="11"/>
        <color rgb="FF000000"/>
        <rFont val="Aptos Narrow"/>
      </rPr>
      <t xml:space="preserve">  DINU POP, </t>
    </r>
  </si>
  <si>
    <r>
      <rPr>
        <b/>
        <sz val="11"/>
        <color rgb="FF000000"/>
        <rFont val="Aptos Narrow"/>
      </rPr>
      <t>Juan Felix</t>
    </r>
    <r>
      <rPr>
        <sz val="11"/>
        <color rgb="FF000000"/>
        <rFont val="Aptos Narrow"/>
      </rPr>
      <t xml:space="preserve"> Saez Vara</t>
    </r>
  </si>
  <si>
    <r>
      <rPr>
        <b/>
        <sz val="11"/>
        <color rgb="FF000000"/>
        <rFont val="Aptos Narrow"/>
      </rPr>
      <t>Maria Jesus</t>
    </r>
    <r>
      <rPr>
        <sz val="11"/>
        <color rgb="FF000000"/>
        <rFont val="Aptos Narrow"/>
      </rPr>
      <t xml:space="preserve"> Perales Cervera</t>
    </r>
  </si>
  <si>
    <r>
      <rPr>
        <b/>
        <sz val="11"/>
        <color rgb="FF000000"/>
        <rFont val="Aptos Narrow"/>
      </rPr>
      <t>Moises</t>
    </r>
    <r>
      <rPr>
        <sz val="11"/>
        <color rgb="FF000000"/>
        <rFont val="Aptos Narrow"/>
      </rPr>
      <t xml:space="preserve"> Rodriguez Del Barrio</t>
    </r>
  </si>
  <si>
    <t>TEST</t>
  </si>
  <si>
    <r>
      <rPr>
        <b/>
        <sz val="11"/>
        <color rgb="FF000000"/>
        <rFont val="Aptos Narrow"/>
      </rPr>
      <t>Blanca Amelia</t>
    </r>
    <r>
      <rPr>
        <sz val="11"/>
        <color rgb="FF000000"/>
        <rFont val="Aptos Narrow"/>
      </rPr>
      <t xml:space="preserve"> Marques Jabato</t>
    </r>
  </si>
  <si>
    <r>
      <rPr>
        <b/>
        <sz val="11"/>
        <color rgb="FF000000"/>
        <rFont val="Aptos Narrow"/>
      </rPr>
      <t>David</t>
    </r>
    <r>
      <rPr>
        <sz val="11"/>
        <color rgb="FF000000"/>
        <rFont val="Aptos Narrow"/>
      </rPr>
      <t xml:space="preserve"> Martin</t>
    </r>
  </si>
  <si>
    <r>
      <rPr>
        <b/>
        <sz val="11"/>
        <color rgb="FF000000"/>
        <rFont val="Aptos Narrow"/>
      </rPr>
      <t>DAVID</t>
    </r>
    <r>
      <rPr>
        <sz val="11"/>
        <color rgb="FF000000"/>
        <rFont val="Aptos Narrow"/>
      </rPr>
      <t xml:space="preserve">  HERNANDEZ LOPEZ-BALTASAR, </t>
    </r>
  </si>
  <si>
    <t>David</t>
  </si>
  <si>
    <r>
      <rPr>
        <b/>
        <sz val="11"/>
        <color rgb="FF000000"/>
        <rFont val="Aptos Narrow"/>
      </rPr>
      <t>Luis Enrique</t>
    </r>
    <r>
      <rPr>
        <sz val="11"/>
        <color rgb="FF000000"/>
        <rFont val="Aptos Narrow"/>
      </rPr>
      <t xml:space="preserve"> Guanilo Esqueche</t>
    </r>
  </si>
  <si>
    <r>
      <rPr>
        <b/>
        <sz val="11"/>
        <color rgb="FF000000"/>
        <rFont val="Aptos Narrow"/>
      </rPr>
      <t xml:space="preserve">Valentin </t>
    </r>
    <r>
      <rPr>
        <sz val="11"/>
        <color rgb="FF000000"/>
        <rFont val="Aptos Narrow"/>
      </rPr>
      <t>Nieto Trujillo</t>
    </r>
  </si>
  <si>
    <r>
      <rPr>
        <b/>
        <sz val="11"/>
        <color rgb="FF000000"/>
        <rFont val="Aptos Narrow"/>
      </rPr>
      <t xml:space="preserve">Victor Manuel </t>
    </r>
    <r>
      <rPr>
        <sz val="11"/>
        <color rgb="FF000000"/>
        <rFont val="Aptos Narrow"/>
      </rPr>
      <t>Moreno Cruz</t>
    </r>
  </si>
  <si>
    <t>Rosa María Palacios Haro</t>
  </si>
  <si>
    <r>
      <rPr>
        <b/>
        <sz val="11"/>
        <color rgb="FF000000"/>
        <rFont val="Aptos Narrow"/>
      </rPr>
      <t xml:space="preserve">Alberto </t>
    </r>
    <r>
      <rPr>
        <sz val="11"/>
        <color rgb="FF000000"/>
        <rFont val="Aptos Narrow"/>
      </rPr>
      <t>Fernandez Marina</t>
    </r>
  </si>
  <si>
    <r>
      <rPr>
        <b/>
        <sz val="11"/>
        <color rgb="FF000000"/>
        <rFont val="Aptos Narrow"/>
      </rPr>
      <t>Angel Luis</t>
    </r>
    <r>
      <rPr>
        <sz val="11"/>
        <color rgb="FF000000"/>
        <rFont val="Aptos Narrow"/>
      </rPr>
      <t xml:space="preserve"> Guerrero Pantoja</t>
    </r>
  </si>
  <si>
    <r>
      <rPr>
        <b/>
        <sz val="11"/>
        <color rgb="FF000000"/>
        <rFont val="Aptos Narrow"/>
      </rPr>
      <t>Ismael</t>
    </r>
    <r>
      <rPr>
        <sz val="11"/>
        <color rgb="FF000000"/>
        <rFont val="Aptos Narrow"/>
      </rPr>
      <t xml:space="preserve"> Lozano Torrejón</t>
    </r>
  </si>
  <si>
    <r>
      <rPr>
        <b/>
        <sz val="11"/>
        <color rgb="FF000000"/>
        <rFont val="Aptos Narrow"/>
      </rPr>
      <t>Samuel</t>
    </r>
    <r>
      <rPr>
        <sz val="11"/>
        <color rgb="FF000000"/>
        <rFont val="Aptos Narrow"/>
      </rPr>
      <t xml:space="preserve"> Cordon Moreno</t>
    </r>
  </si>
  <si>
    <t>Sergio Garcia</t>
  </si>
  <si>
    <r>
      <rPr>
        <b/>
        <sz val="11"/>
        <color rgb="FF000000"/>
        <rFont val="Aptos Narrow"/>
      </rPr>
      <t>Sergio</t>
    </r>
    <r>
      <rPr>
        <sz val="11"/>
        <color rgb="FF000000"/>
        <rFont val="Aptos Narrow"/>
      </rPr>
      <t xml:space="preserve"> Lobon Perales</t>
    </r>
  </si>
  <si>
    <r>
      <rPr>
        <b/>
        <sz val="11"/>
        <color rgb="FF000000"/>
        <rFont val="Aptos Narrow"/>
      </rPr>
      <t>Veselin</t>
    </r>
    <r>
      <rPr>
        <sz val="11"/>
        <color rgb="FF000000"/>
        <rFont val="Aptos Narrow"/>
      </rPr>
      <t xml:space="preserve"> Bintov Yonchev</t>
    </r>
  </si>
  <si>
    <r>
      <rPr>
        <b/>
        <sz val="11"/>
        <color rgb="FF000000"/>
        <rFont val="Aptos Narrow"/>
      </rPr>
      <t>DANIEL</t>
    </r>
    <r>
      <rPr>
        <sz val="11"/>
        <color rgb="FF000000"/>
        <rFont val="Aptos Narrow"/>
      </rPr>
      <t xml:space="preserve">  ASENSIO LUENGO, </t>
    </r>
  </si>
  <si>
    <r>
      <rPr>
        <b/>
        <sz val="11"/>
        <color rgb="FF000000"/>
        <rFont val="Aptos Narrow"/>
      </rPr>
      <t>PEDRO</t>
    </r>
    <r>
      <rPr>
        <sz val="11"/>
        <color rgb="FF000000"/>
        <rFont val="Aptos Narrow"/>
      </rPr>
      <t xml:space="preserve">  FERNANDEZ LAGARTERA</t>
    </r>
  </si>
  <si>
    <r>
      <rPr>
        <b/>
        <sz val="11"/>
        <color rgb="FF000000"/>
        <rFont val="Aptos Narrow"/>
      </rPr>
      <t>MARTIN</t>
    </r>
    <r>
      <rPr>
        <sz val="11"/>
        <color rgb="FF000000"/>
        <rFont val="Aptos Narrow"/>
      </rPr>
      <t xml:space="preserve"> GARCIA SILGADO, </t>
    </r>
  </si>
  <si>
    <r>
      <rPr>
        <b/>
        <sz val="11"/>
        <color rgb="FF000000"/>
        <rFont val="Aptos Narrow"/>
      </rPr>
      <t>CHRISTIAN</t>
    </r>
    <r>
      <rPr>
        <sz val="11"/>
        <color rgb="FF000000"/>
        <rFont val="Aptos Narrow"/>
      </rPr>
      <t xml:space="preserve"> GÓMEZ VICOU, </t>
    </r>
  </si>
  <si>
    <t>CATALINA LOARCE, CESAR</t>
  </si>
  <si>
    <t>Juan Antonio</t>
  </si>
  <si>
    <r>
      <rPr>
        <sz val="11"/>
        <color rgb="FF000000"/>
        <rFont val="Aptos Narrow"/>
      </rPr>
      <t xml:space="preserve"> </t>
    </r>
    <r>
      <rPr>
        <b/>
        <sz val="11"/>
        <color rgb="FF000000"/>
        <rFont val="Aptos Narrow"/>
      </rPr>
      <t>MARIO</t>
    </r>
    <r>
      <rPr>
        <sz val="11"/>
        <color rgb="FF000000"/>
        <rFont val="Aptos Narrow"/>
      </rPr>
      <t xml:space="preserve"> LOPEZ DE LA FUENTE DOMINGUEZ</t>
    </r>
  </si>
  <si>
    <r>
      <rPr>
        <b/>
        <sz val="11"/>
        <color rgb="FF000000"/>
        <rFont val="Aptos Narrow"/>
      </rPr>
      <t>Juan Antonio</t>
    </r>
    <r>
      <rPr>
        <sz val="11"/>
        <color rgb="FF000000"/>
        <rFont val="Aptos Narrow"/>
      </rPr>
      <t xml:space="preserve"> Torrejón</t>
    </r>
  </si>
  <si>
    <r>
      <rPr>
        <b/>
        <sz val="11"/>
        <color rgb="FF000000"/>
        <rFont val="Aptos Narrow"/>
      </rPr>
      <t>Raul</t>
    </r>
    <r>
      <rPr>
        <sz val="11"/>
        <color rgb="FF000000"/>
        <rFont val="Aptos Narrow"/>
      </rPr>
      <t xml:space="preserve"> Hernando Gonzalez</t>
    </r>
  </si>
  <si>
    <t>Cesar Antonio Aparicio Leon</t>
  </si>
  <si>
    <t>L3</t>
  </si>
  <si>
    <r>
      <rPr>
        <b/>
        <sz val="11"/>
        <color rgb="FF000000"/>
        <rFont val="Aptos Narrow"/>
      </rPr>
      <t xml:space="preserve">Ivan </t>
    </r>
    <r>
      <rPr>
        <sz val="11"/>
        <color rgb="FF000000"/>
        <rFont val="Aptos Narrow"/>
      </rPr>
      <t>Sanchez Carmena</t>
    </r>
  </si>
  <si>
    <t>Javier Blanco</t>
  </si>
  <si>
    <r>
      <rPr>
        <b/>
        <sz val="11"/>
        <color rgb="FF000000"/>
        <rFont val="Aptos Narrow"/>
      </rPr>
      <t>Mateo</t>
    </r>
    <r>
      <rPr>
        <sz val="11"/>
        <color rgb="FF000000"/>
        <rFont val="Aptos Narrow"/>
      </rPr>
      <t xml:space="preserve"> Jimenez Jurado</t>
    </r>
  </si>
  <si>
    <r>
      <rPr>
        <b/>
        <sz val="11"/>
        <color rgb="FF000000"/>
        <rFont val="Aptos Narrow"/>
      </rPr>
      <t xml:space="preserve">Raul </t>
    </r>
    <r>
      <rPr>
        <sz val="11"/>
        <color rgb="FF000000"/>
        <rFont val="Aptos Narrow"/>
      </rPr>
      <t>Puebla Espinosa</t>
    </r>
  </si>
  <si>
    <r>
      <rPr>
        <b/>
        <sz val="11"/>
        <color rgb="FF000000"/>
        <rFont val="Aptos"/>
      </rPr>
      <t xml:space="preserve"> DANIEL </t>
    </r>
    <r>
      <rPr>
        <sz val="11"/>
        <color rgb="FF000000"/>
        <rFont val="Aptos"/>
      </rPr>
      <t>CERRADA CANALES,</t>
    </r>
  </si>
  <si>
    <t>Javier</t>
  </si>
  <si>
    <r>
      <rPr>
        <sz val="11"/>
        <color rgb="FF000000"/>
        <rFont val="Aptos"/>
      </rPr>
      <t xml:space="preserve"> </t>
    </r>
    <r>
      <rPr>
        <b/>
        <sz val="11"/>
        <color rgb="FF000000"/>
        <rFont val="Aptos"/>
      </rPr>
      <t>ANGEL</t>
    </r>
    <r>
      <rPr>
        <sz val="11"/>
        <color rgb="FF000000"/>
        <rFont val="Aptos"/>
      </rPr>
      <t xml:space="preserve"> DE LLAMES RODRÍGUEZ</t>
    </r>
  </si>
  <si>
    <r>
      <rPr>
        <b/>
        <sz val="11"/>
        <color rgb="FF000000"/>
        <rFont val="Aptos"/>
      </rPr>
      <t>RAÚL</t>
    </r>
    <r>
      <rPr>
        <sz val="11"/>
        <color rgb="FF000000"/>
        <rFont val="Aptos"/>
      </rPr>
      <t xml:space="preserve"> MELCHOR FERNÁNDEZ, </t>
    </r>
  </si>
  <si>
    <r>
      <rPr>
        <b/>
        <sz val="11"/>
        <color rgb="FF000000"/>
        <rFont val="Aptos"/>
      </rPr>
      <t>FRANCISCO JAVIER</t>
    </r>
    <r>
      <rPr>
        <sz val="11"/>
        <color rgb="FF000000"/>
        <rFont val="Aptos"/>
      </rPr>
      <t xml:space="preserve"> RODRIGUEZ REYES, </t>
    </r>
  </si>
  <si>
    <r>
      <rPr>
        <b/>
        <sz val="11"/>
        <color rgb="FF000000"/>
        <rFont val="Aptos Narrow"/>
      </rPr>
      <t>Christian</t>
    </r>
    <r>
      <rPr>
        <sz val="11"/>
        <color rgb="FF000000"/>
        <rFont val="Aptos Narrow"/>
      </rPr>
      <t xml:space="preserve"> Juanes Cardona</t>
    </r>
  </si>
  <si>
    <r>
      <rPr>
        <b/>
        <sz val="11"/>
        <color rgb="FF000000"/>
        <rFont val="Aptos Narrow"/>
      </rPr>
      <t>Cristian</t>
    </r>
    <r>
      <rPr>
        <sz val="11"/>
        <color rgb="FF000000"/>
        <rFont val="Aptos Narrow"/>
      </rPr>
      <t xml:space="preserve"> Rodriguez Jimenez</t>
    </r>
  </si>
  <si>
    <r>
      <rPr>
        <b/>
        <sz val="11"/>
        <color rgb="FF000000"/>
        <rFont val="Aptos Narrow"/>
      </rPr>
      <t>Daniel</t>
    </r>
    <r>
      <rPr>
        <sz val="11"/>
        <color rgb="FF000000"/>
        <rFont val="Aptos Narrow"/>
      </rPr>
      <t xml:space="preserve"> Barroso De Roa</t>
    </r>
  </si>
  <si>
    <t>Alberto Hernandez Bargueño</t>
  </si>
  <si>
    <t>Raul Valentin Cerdeño</t>
  </si>
  <si>
    <t>Producción EXCEDENCIA</t>
  </si>
  <si>
    <t>Jorge Villarreal Mateo</t>
  </si>
  <si>
    <r>
      <rPr>
        <b/>
        <sz val="11"/>
        <color rgb="FF000000"/>
        <rFont val="Aptos Narrow"/>
      </rPr>
      <t xml:space="preserve">Ivan </t>
    </r>
    <r>
      <rPr>
        <sz val="11"/>
        <color rgb="FF000000"/>
        <rFont val="Aptos Narrow"/>
      </rPr>
      <t>Ferrer Fernandez</t>
    </r>
  </si>
  <si>
    <t>Jorge Garcia Crespo</t>
  </si>
  <si>
    <r>
      <rPr>
        <b/>
        <sz val="11"/>
        <color rgb="FF000000"/>
        <rFont val="Aptos Narrow"/>
      </rPr>
      <t>Ricardo</t>
    </r>
    <r>
      <rPr>
        <sz val="11"/>
        <color rgb="FF000000"/>
        <rFont val="Aptos Narrow"/>
      </rPr>
      <t xml:space="preserve"> Nuñez Caballero</t>
    </r>
  </si>
  <si>
    <r>
      <rPr>
        <b/>
        <sz val="11"/>
        <color rgb="FF000000"/>
        <rFont val="Aptos Narrow"/>
      </rPr>
      <t>Sonia</t>
    </r>
    <r>
      <rPr>
        <sz val="11"/>
        <color rgb="FF000000"/>
        <rFont val="Aptos Narrow"/>
      </rPr>
      <t xml:space="preserve"> Lopez Montero Moreno</t>
    </r>
  </si>
  <si>
    <r>
      <rPr>
        <b/>
        <sz val="11"/>
        <color rgb="FF000000"/>
        <rFont val="Aptos Narrow"/>
      </rPr>
      <t>Alvaro</t>
    </r>
    <r>
      <rPr>
        <sz val="11"/>
        <color rgb="FF000000"/>
        <rFont val="Aptos Narrow"/>
      </rPr>
      <t xml:space="preserve"> Corpas Ramiro</t>
    </r>
  </si>
  <si>
    <r>
      <rPr>
        <b/>
        <sz val="11"/>
        <color rgb="FF000000"/>
        <rFont val="Aptos Narrow"/>
      </rPr>
      <t>Jesus Javier</t>
    </r>
    <r>
      <rPr>
        <sz val="11"/>
        <color rgb="FF000000"/>
        <rFont val="Aptos Narrow"/>
      </rPr>
      <t xml:space="preserve"> Rodriguez Orduñez</t>
    </r>
  </si>
  <si>
    <r>
      <rPr>
        <b/>
        <sz val="11"/>
        <color rgb="FF000000"/>
        <rFont val="Aptos Narrow"/>
      </rPr>
      <t xml:space="preserve">Andres Felipe </t>
    </r>
    <r>
      <rPr>
        <sz val="11"/>
        <color rgb="FF000000"/>
        <rFont val="Aptos Narrow"/>
      </rPr>
      <t>Castaño García</t>
    </r>
  </si>
  <si>
    <r>
      <rPr>
        <b/>
        <sz val="11"/>
        <color rgb="FF000000"/>
        <rFont val="Aptos"/>
      </rPr>
      <t>ADRIAN</t>
    </r>
    <r>
      <rPr>
        <sz val="11"/>
        <color rgb="FF000000"/>
        <rFont val="Aptos"/>
      </rPr>
      <t xml:space="preserve"> DE PABLO LEAL, </t>
    </r>
  </si>
  <si>
    <t>Jorge</t>
  </si>
  <si>
    <r>
      <rPr>
        <b/>
        <sz val="11"/>
        <color rgb="FF000000"/>
        <rFont val="Aptos"/>
      </rPr>
      <t>MARCELO</t>
    </r>
    <r>
      <rPr>
        <sz val="11"/>
        <color rgb="FF000000"/>
        <rFont val="Aptos"/>
      </rPr>
      <t xml:space="preserve"> MORILLO </t>
    </r>
  </si>
  <si>
    <r>
      <rPr>
        <b/>
        <sz val="11"/>
        <color rgb="FF000000"/>
        <rFont val="Aptos Narrow"/>
      </rPr>
      <t>Angel</t>
    </r>
    <r>
      <rPr>
        <sz val="11"/>
        <color rgb="FF000000"/>
        <rFont val="Aptos Narrow"/>
      </rPr>
      <t xml:space="preserve"> Benaigues</t>
    </r>
  </si>
  <si>
    <t>Francisco José Pascual</t>
  </si>
  <si>
    <r>
      <rPr>
        <b/>
        <sz val="11"/>
        <color rgb="FF000000"/>
        <rFont val="Aptos Narrow"/>
      </rPr>
      <t>Juan Jose</t>
    </r>
    <r>
      <rPr>
        <sz val="11"/>
        <color rgb="FF000000"/>
        <rFont val="Aptos Narrow"/>
      </rPr>
      <t xml:space="preserve"> Ruiz Martinez</t>
    </r>
  </si>
  <si>
    <t>Jorge Fernandez Ramirez</t>
  </si>
  <si>
    <r>
      <rPr>
        <b/>
        <sz val="11"/>
        <color rgb="FF000000"/>
        <rFont val="Aptos Narrow"/>
      </rPr>
      <t>ROBERTO</t>
    </r>
    <r>
      <rPr>
        <sz val="11"/>
        <color rgb="FF000000"/>
        <rFont val="Aptos Narrow"/>
      </rPr>
      <t xml:space="preserve"> GONZALEZ DEL VALLE, </t>
    </r>
  </si>
  <si>
    <t>L4</t>
  </si>
  <si>
    <r>
      <rPr>
        <b/>
        <sz val="11"/>
        <color rgb="FF000000"/>
        <rFont val="Aptos Narrow"/>
      </rPr>
      <t>Javier</t>
    </r>
    <r>
      <rPr>
        <sz val="11"/>
        <color rgb="FF000000"/>
        <rFont val="Aptos Narrow"/>
      </rPr>
      <t xml:space="preserve"> Ureña Portero</t>
    </r>
  </si>
  <si>
    <r>
      <rPr>
        <b/>
        <sz val="11"/>
        <color rgb="FF000000"/>
        <rFont val="Aptos Narrow"/>
      </rPr>
      <t>NAIARA</t>
    </r>
    <r>
      <rPr>
        <sz val="11"/>
        <color rgb="FF000000"/>
        <rFont val="Aptos Narrow"/>
      </rPr>
      <t xml:space="preserve"> QUINTANA GONZALEZ, </t>
    </r>
  </si>
  <si>
    <r>
      <rPr>
        <b/>
        <sz val="11"/>
        <color rgb="FF000000"/>
        <rFont val="Aptos Narrow"/>
      </rPr>
      <t>Sandra</t>
    </r>
    <r>
      <rPr>
        <sz val="11"/>
        <color rgb="FF000000"/>
        <rFont val="Aptos Narrow"/>
      </rPr>
      <t xml:space="preserve"> Mateo Garcia</t>
    </r>
  </si>
  <si>
    <r>
      <rPr>
        <b/>
        <sz val="11"/>
        <color rgb="FF000000"/>
        <rFont val="Aptos Narrow"/>
      </rPr>
      <t xml:space="preserve">Tarik </t>
    </r>
    <r>
      <rPr>
        <sz val="11"/>
        <color rgb="FF000000"/>
        <rFont val="Aptos Narrow"/>
      </rPr>
      <t>Ouhabi</t>
    </r>
  </si>
  <si>
    <r>
      <rPr>
        <b/>
        <sz val="11"/>
        <color rgb="FF000000"/>
        <rFont val="Aptos Narrow"/>
      </rPr>
      <t>Águeda</t>
    </r>
    <r>
      <rPr>
        <sz val="11"/>
        <color rgb="FF000000"/>
        <rFont val="Aptos Narrow"/>
      </rPr>
      <t xml:space="preserve"> Cintado Jimenez</t>
    </r>
  </si>
  <si>
    <r>
      <rPr>
        <b/>
        <sz val="11"/>
        <color rgb="FF000000"/>
        <rFont val="Aptos Narrow"/>
      </rPr>
      <t>Alberto</t>
    </r>
    <r>
      <rPr>
        <sz val="11"/>
        <color rgb="FF000000"/>
        <rFont val="Aptos Narrow"/>
      </rPr>
      <t xml:space="preserve"> Herrando Garcia</t>
    </r>
  </si>
  <si>
    <r>
      <rPr>
        <b/>
        <sz val="11"/>
        <color rgb="FF000000"/>
        <rFont val="Aptos Narrow"/>
      </rPr>
      <t>David</t>
    </r>
    <r>
      <rPr>
        <sz val="11"/>
        <color rgb="FF000000"/>
        <rFont val="Aptos Narrow"/>
      </rPr>
      <t xml:space="preserve"> Santurde</t>
    </r>
  </si>
  <si>
    <t>Francisco Javier Leon Padilla</t>
  </si>
  <si>
    <t>Producción - Electricidad - Baja</t>
  </si>
  <si>
    <r>
      <rPr>
        <b/>
        <sz val="11"/>
        <color rgb="FF000000"/>
        <rFont val="Aptos Narrow"/>
      </rPr>
      <t>Alejandro</t>
    </r>
    <r>
      <rPr>
        <sz val="11"/>
        <color rgb="FF000000"/>
        <rFont val="Aptos Narrow"/>
      </rPr>
      <t xml:space="preserve"> Martin Garcia</t>
    </r>
  </si>
  <si>
    <t>Luís Miguel Hernandez</t>
  </si>
  <si>
    <r>
      <rPr>
        <b/>
        <sz val="11"/>
        <color rgb="FF000000"/>
        <rFont val="Aptos Narrow"/>
      </rPr>
      <t>Paulo Jorge</t>
    </r>
    <r>
      <rPr>
        <sz val="11"/>
        <color rgb="FF000000"/>
        <rFont val="Aptos Narrow"/>
      </rPr>
      <t xml:space="preserve"> Nunes María</t>
    </r>
  </si>
  <si>
    <r>
      <rPr>
        <b/>
        <sz val="11"/>
        <color rgb="FF000000"/>
        <rFont val="Aptos Narrow"/>
      </rPr>
      <t>Victor</t>
    </r>
    <r>
      <rPr>
        <sz val="11"/>
        <color rgb="FF000000"/>
        <rFont val="Aptos Narrow"/>
      </rPr>
      <t xml:space="preserve"> Romero Gonzalez</t>
    </r>
  </si>
  <si>
    <r>
      <rPr>
        <b/>
        <sz val="11"/>
        <color rgb="FF000000"/>
        <rFont val="Aptos Narrow"/>
      </rPr>
      <t xml:space="preserve">Regino </t>
    </r>
    <r>
      <rPr>
        <sz val="11"/>
        <color rgb="FF000000"/>
        <rFont val="Aptos Narrow"/>
      </rPr>
      <t>Rodríguez Berlinches</t>
    </r>
  </si>
  <si>
    <r>
      <rPr>
        <b/>
        <sz val="11"/>
        <color rgb="FF000000"/>
        <rFont val="Aptos Narrow"/>
      </rPr>
      <t xml:space="preserve">Ángel </t>
    </r>
    <r>
      <rPr>
        <sz val="11"/>
        <color rgb="FF000000"/>
        <rFont val="Aptos Narrow"/>
      </rPr>
      <t>González García</t>
    </r>
  </si>
  <si>
    <r>
      <rPr>
        <b/>
        <sz val="11"/>
        <color rgb="FF000000"/>
        <rFont val="Aptos Narrow"/>
      </rPr>
      <t>Angel</t>
    </r>
    <r>
      <rPr>
        <sz val="11"/>
        <color rgb="FF000000"/>
        <rFont val="Aptos Narrow"/>
      </rPr>
      <t xml:space="preserve"> Arenas Buiza</t>
    </r>
  </si>
  <si>
    <r>
      <rPr>
        <b/>
        <sz val="11"/>
        <color rgb="FF000000"/>
        <rFont val="Aptos Narrow"/>
      </rPr>
      <t xml:space="preserve">Westley </t>
    </r>
    <r>
      <rPr>
        <sz val="11"/>
        <color rgb="FF000000"/>
        <rFont val="Aptos Narrow"/>
      </rPr>
      <t>Chamorro Garcia</t>
    </r>
  </si>
  <si>
    <t>CEDILLO GRANDE, RODRIGO</t>
  </si>
  <si>
    <t>Luismi</t>
  </si>
  <si>
    <t>Antonio Alfredo Romero</t>
  </si>
  <si>
    <t>L5</t>
  </si>
  <si>
    <r>
      <rPr>
        <b/>
        <sz val="11"/>
        <color rgb="FF000000"/>
        <rFont val="Aptos Narrow"/>
      </rPr>
      <t xml:space="preserve">JHON STIVEN </t>
    </r>
    <r>
      <rPr>
        <sz val="11"/>
        <color rgb="FF000000"/>
        <rFont val="Aptos Narrow"/>
      </rPr>
      <t xml:space="preserve">BETANCUR CASTRO, </t>
    </r>
  </si>
  <si>
    <r>
      <rPr>
        <sz val="11"/>
        <color rgb="FF000000"/>
        <rFont val="Aptos Narrow"/>
      </rPr>
      <t xml:space="preserve"> </t>
    </r>
    <r>
      <rPr>
        <b/>
        <sz val="11"/>
        <color rgb="FF000000"/>
        <rFont val="Aptos Narrow"/>
      </rPr>
      <t xml:space="preserve">NELSON ANDRES </t>
    </r>
    <r>
      <rPr>
        <sz val="11"/>
        <color rgb="FF000000"/>
        <rFont val="Aptos Narrow"/>
      </rPr>
      <t>CASTELLANOS RODRIGUEZ,</t>
    </r>
  </si>
  <si>
    <r>
      <rPr>
        <b/>
        <sz val="11"/>
        <color rgb="FF000000"/>
        <rFont val="Aptos Narrow"/>
      </rPr>
      <t>AISHA</t>
    </r>
    <r>
      <rPr>
        <sz val="11"/>
        <color rgb="FF000000"/>
        <rFont val="Aptos Narrow"/>
      </rPr>
      <t xml:space="preserve"> DORADO DEL CERRO, </t>
    </r>
  </si>
  <si>
    <r>
      <rPr>
        <b/>
        <sz val="11"/>
        <color rgb="FF000000"/>
        <rFont val="Aptos Narrow"/>
      </rPr>
      <t>Francisco M.</t>
    </r>
    <r>
      <rPr>
        <sz val="11"/>
        <color rgb="FF000000"/>
        <rFont val="Aptos Narrow"/>
      </rPr>
      <t xml:space="preserve"> De Los Santos Marquez</t>
    </r>
  </si>
  <si>
    <r>
      <rPr>
        <b/>
        <sz val="11"/>
        <color rgb="FF000000"/>
        <rFont val="Aptos Narrow"/>
      </rPr>
      <t xml:space="preserve">ISMAEL </t>
    </r>
    <r>
      <rPr>
        <sz val="11"/>
        <color rgb="FF000000"/>
        <rFont val="Aptos Narrow"/>
      </rPr>
      <t xml:space="preserve">GONZALEZ ROBLES, </t>
    </r>
  </si>
  <si>
    <r>
      <rPr>
        <b/>
        <sz val="11"/>
        <color rgb="FF000000"/>
        <rFont val="Aptos Narrow"/>
      </rPr>
      <t xml:space="preserve">Ismael </t>
    </r>
    <r>
      <rPr>
        <sz val="11"/>
        <color rgb="FF000000"/>
        <rFont val="Aptos Narrow"/>
      </rPr>
      <t>Blanco Martin</t>
    </r>
  </si>
  <si>
    <r>
      <rPr>
        <b/>
        <sz val="11"/>
        <color rgb="FF000000"/>
        <rFont val="Aptos Narrow"/>
      </rPr>
      <t>José Jaime</t>
    </r>
    <r>
      <rPr>
        <sz val="11"/>
        <color rgb="FF000000"/>
        <rFont val="Aptos Narrow"/>
      </rPr>
      <t xml:space="preserve"> Bentacourt Cardona</t>
    </r>
  </si>
  <si>
    <r>
      <rPr>
        <b/>
        <sz val="11"/>
        <color rgb="FF000000"/>
        <rFont val="Aptos Narrow"/>
      </rPr>
      <t>David</t>
    </r>
    <r>
      <rPr>
        <sz val="11"/>
        <color rgb="FF000000"/>
        <rFont val="Aptos Narrow"/>
      </rPr>
      <t xml:space="preserve"> Manzanero Ocaña</t>
    </r>
  </si>
  <si>
    <r>
      <rPr>
        <b/>
        <sz val="11"/>
        <color rgb="FF000000"/>
        <rFont val="Aptos Narrow"/>
      </rPr>
      <t>José Luis</t>
    </r>
    <r>
      <rPr>
        <sz val="11"/>
        <color rgb="FF000000"/>
        <rFont val="Aptos Narrow"/>
      </rPr>
      <t xml:space="preserve"> Sanchez Murillo</t>
    </r>
  </si>
  <si>
    <t>Baja</t>
  </si>
  <si>
    <r>
      <rPr>
        <b/>
        <sz val="11"/>
        <color rgb="FF000000"/>
        <rFont val="Aptos Narrow"/>
      </rPr>
      <t>Kevin Alexander</t>
    </r>
    <r>
      <rPr>
        <sz val="11"/>
        <color rgb="FF000000"/>
        <rFont val="Aptos Narrow"/>
      </rPr>
      <t xml:space="preserve"> Gordillo Guerrero</t>
    </r>
  </si>
  <si>
    <r>
      <rPr>
        <b/>
        <sz val="11"/>
        <color rgb="FF000000"/>
        <rFont val="Aptos Narrow"/>
      </rPr>
      <t xml:space="preserve">Ricardo </t>
    </r>
    <r>
      <rPr>
        <sz val="11"/>
        <color rgb="FF000000"/>
        <rFont val="Aptos Narrow"/>
      </rPr>
      <t>Aragones López</t>
    </r>
  </si>
  <si>
    <t>Carlos Garcia Guerra</t>
  </si>
  <si>
    <r>
      <rPr>
        <b/>
        <sz val="11"/>
        <color rgb="FF000000"/>
        <rFont val="Aptos Narrow"/>
      </rPr>
      <t>Esteban</t>
    </r>
    <r>
      <rPr>
        <sz val="11"/>
        <color rgb="FF000000"/>
        <rFont val="Aptos Narrow"/>
      </rPr>
      <t xml:space="preserve"> Martin Jimenez</t>
    </r>
  </si>
  <si>
    <t>Oscar Andres Jara</t>
  </si>
  <si>
    <r>
      <rPr>
        <b/>
        <sz val="11"/>
        <color rgb="FF000000"/>
        <rFont val="Aptos Narrow"/>
      </rPr>
      <t xml:space="preserve">Pedro Pablo </t>
    </r>
    <r>
      <rPr>
        <sz val="11"/>
        <color rgb="FF000000"/>
        <rFont val="Aptos Narrow"/>
      </rPr>
      <t>Sanchez Cenamor</t>
    </r>
  </si>
  <si>
    <r>
      <rPr>
        <b/>
        <sz val="11"/>
        <color rgb="FF000000"/>
        <rFont val="Aptos Narrow"/>
      </rPr>
      <t xml:space="preserve">SEBASTIAN </t>
    </r>
    <r>
      <rPr>
        <sz val="11"/>
        <color rgb="FF000000"/>
        <rFont val="Aptos Narrow"/>
      </rPr>
      <t xml:space="preserve"> MARTINEZ JAIME, </t>
    </r>
  </si>
  <si>
    <r>
      <rPr>
        <b/>
        <sz val="11"/>
        <color rgb="FF000000"/>
        <rFont val="Aptos Narrow"/>
      </rPr>
      <t>JUAN ANTONIO</t>
    </r>
    <r>
      <rPr>
        <sz val="11"/>
        <color rgb="FF000000"/>
        <rFont val="Aptos Narrow"/>
      </rPr>
      <t xml:space="preserve"> PUEBLA PINILLOS, </t>
    </r>
  </si>
  <si>
    <r>
      <rPr>
        <b/>
        <sz val="11"/>
        <color rgb="FF000000"/>
        <rFont val="Aptos Narrow"/>
      </rPr>
      <t>JULIAN</t>
    </r>
    <r>
      <rPr>
        <sz val="11"/>
        <color rgb="FF000000"/>
        <rFont val="Aptos Narrow"/>
      </rPr>
      <t xml:space="preserve"> APARICIO, </t>
    </r>
  </si>
  <si>
    <r>
      <rPr>
        <b/>
        <sz val="11"/>
        <color rgb="FF000000"/>
        <rFont val="Aptos Narrow"/>
      </rPr>
      <t xml:space="preserve"> DANIEL</t>
    </r>
    <r>
      <rPr>
        <sz val="11"/>
        <color rgb="FF000000"/>
        <rFont val="Aptos Narrow"/>
      </rPr>
      <t xml:space="preserve"> SANZ MELERO,</t>
    </r>
  </si>
  <si>
    <r>
      <rPr>
        <b/>
        <sz val="11"/>
        <color rgb="FF000000"/>
        <rFont val="Aptos Narrow"/>
      </rPr>
      <t>Christian</t>
    </r>
    <r>
      <rPr>
        <sz val="11"/>
        <color rgb="FF000000"/>
        <rFont val="Aptos Narrow"/>
      </rPr>
      <t xml:space="preserve"> Moyano Morcillo</t>
    </r>
  </si>
  <si>
    <r>
      <rPr>
        <b/>
        <sz val="11"/>
        <color rgb="FF000000"/>
        <rFont val="Aptos Narrow"/>
      </rPr>
      <t>Jose María</t>
    </r>
    <r>
      <rPr>
        <sz val="11"/>
        <color rgb="FF000000"/>
        <rFont val="Aptos Narrow"/>
      </rPr>
      <t xml:space="preserve"> Paniagua Sanchez</t>
    </r>
  </si>
  <si>
    <t>Mariano Villa Nicolas</t>
  </si>
  <si>
    <t>Raul Burgos</t>
  </si>
  <si>
    <t>Producción - Test Final</t>
  </si>
  <si>
    <t>PEDRO E.</t>
  </si>
  <si>
    <t>Francisco José Nieto Perez</t>
  </si>
  <si>
    <t>Juan Camilo Quimbayo Pérez</t>
  </si>
  <si>
    <t>Marco Camara Amor</t>
  </si>
  <si>
    <t>Marcos Guijarro</t>
  </si>
  <si>
    <t>Monica Pascual Gomez</t>
  </si>
  <si>
    <t>Rubén Quintana Benitez</t>
  </si>
  <si>
    <r>
      <rPr>
        <b/>
        <sz val="11"/>
        <color rgb="FF000000"/>
        <rFont val="Aptos Narrow"/>
      </rPr>
      <t>Alba</t>
    </r>
    <r>
      <rPr>
        <sz val="11"/>
        <color rgb="FF000000"/>
        <rFont val="Aptos Narrow"/>
      </rPr>
      <t xml:space="preserve"> Ayala Arroyo</t>
    </r>
  </si>
  <si>
    <t>Producción - Cuadros Eléctricos</t>
  </si>
  <si>
    <t>S05</t>
  </si>
  <si>
    <r>
      <rPr>
        <b/>
        <sz val="11"/>
        <color rgb="FF000000"/>
        <rFont val="Aptos Narrow"/>
      </rPr>
      <t>Juan Manuel</t>
    </r>
    <r>
      <rPr>
        <sz val="11"/>
        <color rgb="FF000000"/>
        <rFont val="Aptos Narrow"/>
      </rPr>
      <t xml:space="preserve"> Rodriguez Talavera</t>
    </r>
  </si>
  <si>
    <r>
      <rPr>
        <b/>
        <sz val="11"/>
        <color rgb="FF000000"/>
        <rFont val="Aptos Narrow"/>
      </rPr>
      <t xml:space="preserve">Luis Enrique </t>
    </r>
    <r>
      <rPr>
        <sz val="11"/>
        <color rgb="FF000000"/>
        <rFont val="Aptos Narrow"/>
      </rPr>
      <t>Casas Ramirez</t>
    </r>
  </si>
  <si>
    <r>
      <rPr>
        <b/>
        <sz val="11"/>
        <color rgb="FF000000"/>
        <rFont val="Aptos Narrow"/>
      </rPr>
      <t>Marisabel</t>
    </r>
    <r>
      <rPr>
        <sz val="11"/>
        <color rgb="FF000000"/>
        <rFont val="Aptos Narrow"/>
      </rPr>
      <t xml:space="preserve"> De Sousa</t>
    </r>
  </si>
  <si>
    <r>
      <rPr>
        <b/>
        <sz val="11"/>
        <color rgb="FF000000"/>
        <rFont val="Aptos Narrow"/>
      </rPr>
      <t>Alfredo</t>
    </r>
    <r>
      <rPr>
        <sz val="11"/>
        <color rgb="FF000000"/>
        <rFont val="Aptos Narrow"/>
      </rPr>
      <t xml:space="preserve"> Palomo López</t>
    </r>
  </si>
  <si>
    <r>
      <rPr>
        <b/>
        <sz val="11"/>
        <color rgb="FF000000"/>
        <rFont val="Aptos Narrow"/>
      </rPr>
      <t>Jorge</t>
    </r>
    <r>
      <rPr>
        <sz val="11"/>
        <color rgb="FF000000"/>
        <rFont val="Aptos Narrow"/>
      </rPr>
      <t xml:space="preserve"> Romero Enamorado</t>
    </r>
  </si>
  <si>
    <r>
      <rPr>
        <b/>
        <sz val="11"/>
        <color rgb="FF000000"/>
        <rFont val="Aptos Narrow"/>
      </rPr>
      <t>Jose Luis</t>
    </r>
    <r>
      <rPr>
        <sz val="11"/>
        <color rgb="FF000000"/>
        <rFont val="Aptos Narrow"/>
      </rPr>
      <t xml:space="preserve"> Vega</t>
    </r>
  </si>
  <si>
    <r>
      <rPr>
        <b/>
        <sz val="11"/>
        <color rgb="FF000000"/>
        <rFont val="Aptos Narrow"/>
      </rPr>
      <t>Lidia</t>
    </r>
    <r>
      <rPr>
        <sz val="11"/>
        <color rgb="FF000000"/>
        <rFont val="Aptos Narrow"/>
      </rPr>
      <t xml:space="preserve"> Sarti Navarro</t>
    </r>
  </si>
  <si>
    <t>Aitor Benito Figueroa</t>
  </si>
  <si>
    <t>Producción - Baterías</t>
  </si>
  <si>
    <t>S03</t>
  </si>
  <si>
    <t>SONIA</t>
  </si>
  <si>
    <t>Alvaro Garcia Ruz</t>
  </si>
  <si>
    <t>Andreina G. Paladines Gonzalez</t>
  </si>
  <si>
    <t>Antonio Bayon Gomez</t>
  </si>
  <si>
    <t>Antonio Rodriguez Jimenez</t>
  </si>
  <si>
    <t>Antonio Saelices Zaragoza</t>
  </si>
  <si>
    <t>David Medina Montes</t>
  </si>
  <si>
    <t>Diakaridia Sangare Diakite</t>
  </si>
  <si>
    <t>Diona Cosmina Florea</t>
  </si>
  <si>
    <t>Eugenio Alfonso Rodrigo Santiago</t>
  </si>
  <si>
    <t>Francisco Gomez Hernando</t>
  </si>
  <si>
    <t>Gregorio Daniel Lopez Morales</t>
  </si>
  <si>
    <t>Ivan Martinez Del Villar</t>
  </si>
  <si>
    <t>Ivan Vacas Marin</t>
  </si>
  <si>
    <t>Jesus Garcia Aguado</t>
  </si>
  <si>
    <t>Jesus Rodriguez Martinez</t>
  </si>
  <si>
    <t>Juan Antonio Hervas Mialdea</t>
  </si>
  <si>
    <t>Juan Carlos Aranda Saguar</t>
  </si>
  <si>
    <t>Juan Carlos Garcia Lopez</t>
  </si>
  <si>
    <t>Juan Manuel Estepa Guerrero</t>
  </si>
  <si>
    <t>Juan Pedro Vico Gomez</t>
  </si>
  <si>
    <t>Khalid Boukria</t>
  </si>
  <si>
    <t>Marcelo Luengo Perona</t>
  </si>
  <si>
    <t>Nerea Guerra Morales</t>
  </si>
  <si>
    <t>Roberto Puente Tordera</t>
  </si>
  <si>
    <t>Sergio Jimenez Almodovar</t>
  </si>
  <si>
    <t>Sonia Morales Turrero</t>
  </si>
  <si>
    <t>Victor Moreno Portero</t>
  </si>
  <si>
    <t>DASHBOARD — OPERARIOS POR LÍNEA</t>
  </si>
  <si>
    <t>Observaciones</t>
  </si>
  <si>
    <t>Tabla resumen de conteos por línea y categoría</t>
  </si>
  <si>
    <t>Línea 2</t>
  </si>
  <si>
    <t>Métrica</t>
  </si>
  <si>
    <t>Línea 1</t>
  </si>
  <si>
    <t>Línea 3</t>
  </si>
  <si>
    <t>Línea 4</t>
  </si>
  <si>
    <t>Línea 5</t>
  </si>
  <si>
    <t>Suma operarios</t>
  </si>
  <si>
    <t>Cuadros</t>
  </si>
  <si>
    <t>Necesidad en cuadros</t>
  </si>
  <si>
    <t>ITT PHASE 2</t>
  </si>
  <si>
    <t>Elec T1</t>
  </si>
  <si>
    <t>Horas negativas</t>
  </si>
  <si>
    <t>NRT096 EAF PHASE 2</t>
  </si>
  <si>
    <t>Elec T2</t>
  </si>
  <si>
    <t>KLON3 KAO</t>
  </si>
  <si>
    <t>Prod T1</t>
  </si>
  <si>
    <t>Elec T3</t>
  </si>
  <si>
    <t>Project Stack IT DC2</t>
  </si>
  <si>
    <t>Prod T2</t>
  </si>
  <si>
    <t>Horas turno</t>
  </si>
  <si>
    <t>Dia</t>
  </si>
  <si>
    <t>Horas semana</t>
  </si>
  <si>
    <t>Semana</t>
  </si>
  <si>
    <t>Horas mes</t>
  </si>
  <si>
    <t>Mes</t>
  </si>
  <si>
    <t>Horas Elec. dia</t>
  </si>
  <si>
    <t>Horas Mec. dia</t>
  </si>
  <si>
    <t>Horas Elec. Sem.</t>
  </si>
  <si>
    <t>BOX</t>
  </si>
  <si>
    <t>Absentismo</t>
  </si>
  <si>
    <t>Horas</t>
  </si>
  <si>
    <t>S5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</si>
  <si>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</si>
  <si>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</si>
  <si>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</si>
  <si>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</si>
  <si>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</si>
  <si>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</si>
  <si>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</si>
  <si>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</si>
  <si>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1) OBJETIVO DE PLANTILLA POR LÍNEA</t>
  </si>
  <si>
    <t>Parte mecánica:</t>
  </si>
  <si>
    <t>- 9 operarios mecánicos fijos</t>
  </si>
  <si>
    <t>- 2 operarios mecánicos en formación</t>
  </si>
  <si>
    <t>- 1 jefe de equipo mecánico</t>
  </si>
  <si>
    <t>Parte eléctrica:</t>
  </si>
  <si>
    <t>- 4 operarios eléctricos fijos</t>
  </si>
  <si>
    <t>- 1 operario eléctrico en formación</t>
  </si>
  <si>
    <t>Estructura de mando:</t>
  </si>
  <si>
    <t>- El jefe de equipo (mecánico) y todos los operarios dependen del jefe de área.</t>
  </si>
  <si>
    <t>- Los jefes de equipos (mecanicos) computan como operarios.</t>
  </si>
  <si>
    <t>2) CÓMPUTO DE LOS OPERARIOS EN FORMACIÓN</t>
  </si>
  <si>
    <t>- Durante los primer mes, los operarios en formación (mecánicos y eléctricos) computan al 30% de su tiempo</t>
  </si>
  <si>
    <t>- A partir del mes 3, pasan a computar al 100%.</t>
  </si>
  <si>
    <t>FTE efectivo por línea:</t>
  </si>
  <si>
    <t>- Mecánica: 9 + (2 × 0,30) = 9,6 FTE + jefe de equipo</t>
  </si>
  <si>
    <t>- Eléctrica: 4 + (1 × 0,30) = 4,3 FTE</t>
  </si>
  <si>
    <t>José Antonio Pichardo Espina</t>
  </si>
  <si>
    <t>Alberto Rodriguez Rodriguez</t>
  </si>
  <si>
    <t>David Fernandez Marina</t>
  </si>
  <si>
    <t>Juan Mauricio Vicente Martin</t>
  </si>
  <si>
    <t>Samuel Dorado Ubeda</t>
  </si>
  <si>
    <t>Maria Jesus Perales Cervera</t>
  </si>
  <si>
    <t>Moises Rodriguez Del Barrio</t>
  </si>
  <si>
    <t>Juan Felix Saez Vara</t>
  </si>
  <si>
    <t>Mateo Jimenez Jurado</t>
  </si>
  <si>
    <t>Ivan Sanchez Carmena</t>
  </si>
  <si>
    <t>Raul Puebla Espinosa</t>
  </si>
  <si>
    <t>Sandra Mateo Garcia</t>
  </si>
  <si>
    <t>Tarik Ouhabi</t>
  </si>
  <si>
    <t>Francisco M. De Los Santos Marquez</t>
  </si>
  <si>
    <t>Ismael Blanco Martin</t>
  </si>
  <si>
    <t>José Jaime Bentacourt Cardona</t>
  </si>
  <si>
    <t>Miguel Angel Conejo Garcia</t>
  </si>
  <si>
    <t>Victor Manuel Gallego Prieto</t>
  </si>
  <si>
    <t>Angel Blazquez Fernandez</t>
  </si>
  <si>
    <t>Francisco Javier Abad García</t>
  </si>
  <si>
    <t>Diego Antonio Panasiti</t>
  </si>
  <si>
    <t>Francisco Luque Villoldo</t>
  </si>
  <si>
    <t>Lourdes Rodriguez-Palancas Ramirez</t>
  </si>
  <si>
    <t>Raul  Olmo Bastante</t>
  </si>
  <si>
    <t>Alberto Fernandez Marina</t>
  </si>
  <si>
    <t>Angel Luis Guerrero Pantoja</t>
  </si>
  <si>
    <t>Ismael Lozano Torrejón</t>
  </si>
  <si>
    <t>Samuel Cordon Moreno</t>
  </si>
  <si>
    <t>Sergio Lobon Perales</t>
  </si>
  <si>
    <t>Veselin Bintov Yonchev</t>
  </si>
  <si>
    <t>Juan Antonio Torrejón</t>
  </si>
  <si>
    <t>Raul Hernando Gonzalez</t>
  </si>
  <si>
    <t>Ivan Ferrer Fernandez</t>
  </si>
  <si>
    <t>Ricardo Nuñez Caballero</t>
  </si>
  <si>
    <t>Sonia Lopez Montero Moreno</t>
  </si>
  <si>
    <t>Alvaro Corpas Ramiro</t>
  </si>
  <si>
    <t>Jesus Javier Rodriguez Orduñez</t>
  </si>
  <si>
    <t>Andres Felipe Castaño García</t>
  </si>
  <si>
    <t>Angel Benaigues</t>
  </si>
  <si>
    <t>Alba Ayala Arroyo</t>
  </si>
  <si>
    <t>Juan Manuel Rodriguez Talavera</t>
  </si>
  <si>
    <t>Luis Enrique Casas Ramirez</t>
  </si>
  <si>
    <t>Marisabel De Sousa</t>
  </si>
  <si>
    <t>Juan Jose Ruiz Martinez</t>
  </si>
  <si>
    <t>Alejandro Martin Garcia</t>
  </si>
  <si>
    <t>Adrian Garcia Gutierrez</t>
  </si>
  <si>
    <t>Alexis Jesus Real Hernandez</t>
  </si>
  <si>
    <t>Fernando Jimenez Lopez</t>
  </si>
  <si>
    <t>Francisco Javier Ruiz Garcia</t>
  </si>
  <si>
    <t>Jose Luis Rodriguez Jarillo</t>
  </si>
  <si>
    <t>David Martin</t>
  </si>
  <si>
    <t>Luis Enrique Guanilo Esqueche</t>
  </si>
  <si>
    <t>Blanca Amelia Marques Jabato</t>
  </si>
  <si>
    <t>Valentin Nieto Trujillo</t>
  </si>
  <si>
    <t>Christian Juanes Cardona</t>
  </si>
  <si>
    <t>Cristian Rodriguez Jimenez</t>
  </si>
  <si>
    <t>Daniel Barroso De Roa</t>
  </si>
  <si>
    <t>Águeda Cintado Jimenez</t>
  </si>
  <si>
    <t>Alberto Herrando Garcia</t>
  </si>
  <si>
    <t>David Santurde</t>
  </si>
  <si>
    <t>Ricardo Aragones López</t>
  </si>
  <si>
    <t>José Luis Sanchez Murillo</t>
  </si>
  <si>
    <t>Kevin Alexander Gordillo Guerrero</t>
  </si>
  <si>
    <t>Paulo Jorge Nunes María</t>
  </si>
  <si>
    <t>Victor Romero Gonzalez</t>
  </si>
  <si>
    <t>Angel Arenas Buiza</t>
  </si>
  <si>
    <t>Luis Miguel Hernandez</t>
  </si>
  <si>
    <t>Westley Chamorro Garcia</t>
  </si>
  <si>
    <t>Esteban Martin Jimenez</t>
  </si>
  <si>
    <t>Pedro Pablo Sanchez Cenamor</t>
  </si>
  <si>
    <t>Christian Moyano Morcillo</t>
  </si>
  <si>
    <t>Jose María Paniagua Sanchez</t>
  </si>
  <si>
    <t>Rodrigo Da Silva Medeisos</t>
  </si>
  <si>
    <t>Victor Manuel Moreno Cruz</t>
  </si>
  <si>
    <t>Producción - Electricidad - BAJA</t>
  </si>
  <si>
    <t>Javier Ureña Portero</t>
  </si>
  <si>
    <t>Alfredo Palomo López</t>
  </si>
  <si>
    <t>Jorge Romero Enamorado</t>
  </si>
  <si>
    <t>CHAVES LEMETRE, ISMAEL JOSE</t>
  </si>
  <si>
    <t>Antonio</t>
  </si>
  <si>
    <t>OPORTE CALDERON, JERMAIN MANUEL</t>
  </si>
  <si>
    <t>Rafa</t>
  </si>
  <si>
    <t>PRIETO GRANADOS, RICARDO</t>
  </si>
  <si>
    <t>VARE LA RIVA, HERNAN ALEJANDRO</t>
  </si>
  <si>
    <t>ALISTE DIAZ, ENRIQUE</t>
  </si>
  <si>
    <t>VAZQUEZ TORREJON, ARANZAZU</t>
  </si>
  <si>
    <t>ASENSIO LUENGO, DANIEL</t>
  </si>
  <si>
    <t>Sergio</t>
  </si>
  <si>
    <t>DINU POP, DENIS RAZVAN</t>
  </si>
  <si>
    <t>Carlos</t>
  </si>
  <si>
    <t>FERNANDEZ LAGARTERA, PEDRO</t>
  </si>
  <si>
    <t>GARCIA SILGADO, MARTIN</t>
  </si>
  <si>
    <t>GÓMEZ VICOU, CHRISTIAN</t>
  </si>
  <si>
    <t>HERNANDEZ LOPEZ-BALTASAR, DAVID</t>
  </si>
  <si>
    <t>LOPEZ, MARIO</t>
  </si>
  <si>
    <t>DE LLAMES RODRÍGUEZ, ANGEL</t>
  </si>
  <si>
    <t>RODRIGUEZ REYES, FRANCISCO JAVIER</t>
  </si>
  <si>
    <t>DE PABLO LEAL, ADRIAN</t>
  </si>
  <si>
    <t>MORILLO MARCELO</t>
  </si>
  <si>
    <t>CERRADA CANALES, DANIEL</t>
  </si>
  <si>
    <t>MELCHOR FERNÁNDEZ, RAÚL</t>
  </si>
  <si>
    <t>GONZALEZ DEL VALLE, ROBERTO</t>
  </si>
  <si>
    <t>QUINTANA GONZALEZ, NAIARA</t>
  </si>
  <si>
    <t>Regino Rodríguez Berlinches</t>
  </si>
  <si>
    <t>Ángel González García</t>
  </si>
  <si>
    <t>SANZ MELERO, DANIEL</t>
  </si>
  <si>
    <t>Oscar</t>
  </si>
  <si>
    <t>GONZALEZ ROBLES, ISMAEL</t>
  </si>
  <si>
    <t>BETANCUR CASTRO, JHON STIVEN</t>
  </si>
  <si>
    <t>CASTELLANOS RODRIGUEZ, NELSON ANDRES</t>
  </si>
  <si>
    <t>DORADO DEL CERRO, AISHA</t>
  </si>
  <si>
    <t>MARTINEZ JAIME, SEBASTIAN</t>
  </si>
  <si>
    <t>PUEBLA PINILLOS, JUAN ANTONIO</t>
  </si>
  <si>
    <t>APARICIO, JULIAN</t>
  </si>
  <si>
    <t>David Manzanero Ocaña</t>
  </si>
  <si>
    <t>Jose Luis Vega</t>
  </si>
  <si>
    <t>Lidia Sarti Navarro</t>
  </si>
  <si>
    <t>HUGO</t>
  </si>
  <si>
    <t>Empleado</t>
  </si>
  <si>
    <t>Empresa</t>
  </si>
  <si>
    <t>Cost</t>
  </si>
  <si>
    <t>Sección</t>
  </si>
  <si>
    <t>Fecha Inicio</t>
  </si>
  <si>
    <t>Columna1</t>
  </si>
  <si>
    <t>Columna2</t>
  </si>
  <si>
    <t>Columna3</t>
  </si>
  <si>
    <t>TURNO</t>
  </si>
  <si>
    <t>Aura</t>
  </si>
  <si>
    <t>Direct</t>
  </si>
  <si>
    <t>Mechanical</t>
  </si>
  <si>
    <t>Mecanico</t>
  </si>
  <si>
    <t xml:space="preserve">ANTONIO </t>
  </si>
  <si>
    <t>TURNO 1</t>
  </si>
  <si>
    <t>EuroFirms</t>
  </si>
  <si>
    <t>Electrical</t>
  </si>
  <si>
    <t>Electrico</t>
  </si>
  <si>
    <t>SONIA S03</t>
  </si>
  <si>
    <t>GOYO S01</t>
  </si>
  <si>
    <t>TURNO 2</t>
  </si>
  <si>
    <t>ANTONIO A.</t>
  </si>
  <si>
    <t>CAMPOS MARTÍN, NAYARA</t>
  </si>
  <si>
    <t>Alicia Aparicio</t>
  </si>
  <si>
    <t>CARLOS</t>
  </si>
  <si>
    <t>JUAREZ ANDY</t>
  </si>
  <si>
    <t>NGANDU KABONGO, SANDERS</t>
  </si>
  <si>
    <t>PÁLAMO BOJE, ÁLVARO FELIPE</t>
  </si>
  <si>
    <t>VARGAS GUTIERREZ, HUGO</t>
  </si>
  <si>
    <t>IZQUIERDO, DAVID</t>
  </si>
  <si>
    <t>MORENO RISCO, JUAN LUIS</t>
  </si>
  <si>
    <t>E-Panel</t>
  </si>
  <si>
    <t>CARMELO</t>
  </si>
  <si>
    <t>SOLERA BRICIO, IARA</t>
  </si>
  <si>
    <t>STULZ Tecnivel</t>
  </si>
  <si>
    <t>FRANCO DELGADO, OMAR FERNANDO</t>
  </si>
  <si>
    <t>IVAN FERNANDEZ ESPINOSA</t>
  </si>
  <si>
    <t>GONZALEZ, FRANK</t>
  </si>
  <si>
    <t>CESE</t>
  </si>
  <si>
    <t>ESTRADA ACEVEDO, JHON FERNANDO</t>
  </si>
  <si>
    <r>
      <rPr>
        <sz val="11"/>
        <color rgb="FF000000"/>
        <rFont val="Aptos Narrow"/>
      </rPr>
      <t xml:space="preserve">KASMI, FAYSAL  </t>
    </r>
    <r>
      <rPr>
        <b/>
        <sz val="11"/>
        <color rgb="FF000000"/>
        <rFont val="Aptos Narrow"/>
      </rPr>
      <t>NO SEINCORPORA AUN</t>
    </r>
  </si>
  <si>
    <t>AGUADO CABALLERO, LUCIA</t>
  </si>
  <si>
    <t>DAVID</t>
  </si>
  <si>
    <t>APARICIO ORTEGA VILLAIZAN, ALEJANDRO</t>
  </si>
  <si>
    <t>GONZALEZ RIOS, FRANK STIBEN</t>
  </si>
  <si>
    <t>NICULA, STEFAN</t>
  </si>
  <si>
    <t>TAPIAS FRANCO, DANIELA</t>
  </si>
  <si>
    <t>SILVIU CONSTANTIN, IOSIF</t>
  </si>
  <si>
    <t>TRIVIÑO GUERRERO, LUCIA</t>
  </si>
  <si>
    <t>FEDERICO</t>
  </si>
  <si>
    <t>VASQUEZ ORTEGA, JUAN JOSE</t>
  </si>
  <si>
    <t>VILLANUEVA OLMEDO, Mª DOLORES</t>
  </si>
  <si>
    <t>FRAN</t>
  </si>
  <si>
    <t>GOETE, TARIEL</t>
  </si>
  <si>
    <t>SheetMetal</t>
  </si>
  <si>
    <t>CNC</t>
  </si>
  <si>
    <t>Mecanizado</t>
  </si>
  <si>
    <t>GOMEZ VOICU, GABRIEL</t>
  </si>
  <si>
    <t>Corte</t>
  </si>
  <si>
    <t>HERNANDEZ TELLO, JOSE MARIA</t>
  </si>
  <si>
    <t>BERMEJO BRAVO, RAUL</t>
  </si>
  <si>
    <t>CARMENA ESTÉVEZ, RICARDO</t>
  </si>
  <si>
    <t>DIAZ MARTIN, EDUARDO</t>
  </si>
  <si>
    <t>Pintura</t>
  </si>
  <si>
    <t>Rollan, DIEGO</t>
  </si>
  <si>
    <t>HERMIDA MANZANEQUE, ROBERTO</t>
  </si>
  <si>
    <t>Panelado</t>
  </si>
  <si>
    <t>DEL CASTILLO EGIDO, MARCOS</t>
  </si>
  <si>
    <t>MARTIN ESPINOSA, ALEJANDRO</t>
  </si>
  <si>
    <t>ROLLAN GUTIERREZ, DIEGO</t>
  </si>
  <si>
    <t>Goyo</t>
  </si>
  <si>
    <t>JAVIER</t>
  </si>
  <si>
    <t>GALAN CARRASCO, DAVID</t>
  </si>
  <si>
    <t>TALAVAN, JUAN JOSE</t>
  </si>
  <si>
    <t>SAEZ CONDE, HUGO</t>
  </si>
  <si>
    <t>JORGE</t>
  </si>
  <si>
    <t>MANZANERO OCAÑA, DAVID</t>
  </si>
  <si>
    <t>JOSE LUIS</t>
  </si>
  <si>
    <t>VALDIVIESO ANTON, ANA CELIA</t>
  </si>
  <si>
    <t>CRISTIAN SARDAN, ROBERT</t>
  </si>
  <si>
    <t>JUAN ANTONIO</t>
  </si>
  <si>
    <t>OÑATE NUÑEZ, SANTIAGO</t>
  </si>
  <si>
    <t>LUISMI</t>
  </si>
  <si>
    <t>González García, ANGEL</t>
  </si>
  <si>
    <t>EL BOUKURI, ANAS</t>
  </si>
  <si>
    <t>RODRIGUEZ BERLINCHES, REGINO</t>
  </si>
  <si>
    <t>J</t>
  </si>
  <si>
    <t>GONZALEZ GARCIA, ANGEL</t>
  </si>
  <si>
    <t>OSCAR</t>
  </si>
  <si>
    <t>LOPEZ DE LA FUENTE DOMINGUEZ, MARIO</t>
  </si>
  <si>
    <t>Test final</t>
  </si>
  <si>
    <t>PEDRO</t>
  </si>
  <si>
    <t>RAFA</t>
  </si>
  <si>
    <t>SERGIO</t>
  </si>
  <si>
    <t>CUADROS S05</t>
  </si>
  <si>
    <t>BAJAS</t>
  </si>
  <si>
    <t>VALLEJO DIAZ, PAULA</t>
  </si>
  <si>
    <t xml:space="preserve">L2 </t>
  </si>
  <si>
    <t>LOPEZ ANDIA, MARTIN</t>
  </si>
  <si>
    <t>Coils</t>
  </si>
  <si>
    <t>Bateria</t>
  </si>
  <si>
    <t>NNAMANI, CELESTINE</t>
  </si>
  <si>
    <t>GONZALEZ BOLRON, JUAN CARLOS</t>
  </si>
  <si>
    <t>MARTIN QUIROS, DAVID</t>
  </si>
  <si>
    <t>RUIZ DE LA ORDEN, MARCO ANTONIO</t>
  </si>
  <si>
    <t>DE LA LLAVE RODRÍGUEZ-TORIBIO, ENRIQUE</t>
  </si>
  <si>
    <t>GOMEZ CANO, Mª DEL MAR</t>
  </si>
  <si>
    <t>LOPEZ OLMEDO, IVÁN</t>
  </si>
  <si>
    <t>LOPEZ-ROMERO ARRISCADO, TAMARA</t>
  </si>
  <si>
    <t>SANCHEZ MADRIGAL, JAVIER</t>
  </si>
  <si>
    <t>SANZ SANCHEZ, MIGUEL</t>
  </si>
  <si>
    <t>SCHLOSSER, NIOMAR LEANDRO</t>
  </si>
  <si>
    <t>SEPULVEDA JIMENEZ, DANIEL</t>
  </si>
  <si>
    <t>VILLA MENA, ANTONIA</t>
  </si>
  <si>
    <t>BERRUEZO, RUBÉN</t>
  </si>
  <si>
    <t>FERNANDEZ ROJAS, JOSE MANUEL</t>
  </si>
  <si>
    <t>CUENDA FERNÁNDEZ, ALEJANDRO</t>
  </si>
  <si>
    <t>MORAN, FRANCISCO ANDRES</t>
  </si>
  <si>
    <t>No incorporado</t>
  </si>
  <si>
    <t>NUNES MARIA, PAULO JORGE</t>
  </si>
  <si>
    <t>VICTOR MANUEL MORENO CRUZ</t>
  </si>
  <si>
    <t>PEDRO P. SANCHEZ CENAMOR</t>
  </si>
  <si>
    <t>FERNANDO JIMENEZ LOPEZ</t>
  </si>
  <si>
    <t>JOSE LUIS RODRIGUEZ JARILLO</t>
  </si>
  <si>
    <t>DANIEL BARROSO DE ROA</t>
  </si>
  <si>
    <t>JAVIER UREÑA PORTERO</t>
  </si>
  <si>
    <t>GARCIA GUERRA, CARLOS</t>
  </si>
  <si>
    <t>RODRIGUEZ RODRIGUEZ, ALBERTO</t>
  </si>
  <si>
    <t xml:space="preserve">OPORTE CALDERON, JERMAIN MANUEL </t>
  </si>
  <si>
    <t>JIMENEZ LOPEZ , FERNANDO</t>
  </si>
  <si>
    <t>JUANES CARMONA, CHRISTIAN</t>
  </si>
  <si>
    <t>BARROSO DE ROA, DANIEL</t>
  </si>
  <si>
    <t>JAVIER BLANCO</t>
  </si>
  <si>
    <t xml:space="preserve">CASTELLANOS RODRIGUEZ, NELSON ANDRES  </t>
  </si>
  <si>
    <r>
      <rPr>
        <sz val="11"/>
        <color rgb="FF000000"/>
        <rFont val="Aptos Narrow"/>
        <scheme val="minor"/>
      </rPr>
      <t>CHAMARRO GARCIA,  WESTLEY</t>
    </r>
    <r>
      <rPr>
        <sz val="11"/>
        <color rgb="FF00B050"/>
        <rFont val="Aptos Narrow"/>
        <scheme val="minor"/>
      </rPr>
      <t xml:space="preserve"> </t>
    </r>
  </si>
  <si>
    <t>CORDON MORENO SAMIUEL</t>
  </si>
  <si>
    <t>PRIETO GRANADOS RICARDO</t>
  </si>
  <si>
    <t>ALEJANDRO MARTIN GARCIA</t>
  </si>
  <si>
    <t>REAL HERNANDEZ, ALEXIS JESUS</t>
  </si>
  <si>
    <t>MORENO CRUZ, VICTOR MANUEL</t>
  </si>
  <si>
    <t>ANGEL BLAZQUEZ FERNANDEZ</t>
  </si>
  <si>
    <t>PICHARDO ESPINA , JOSE ANTONIO</t>
  </si>
  <si>
    <t xml:space="preserve">DA SILVA MEDEISOS, RODRIGO  </t>
  </si>
  <si>
    <t>NIETO TRUJILLO, VALENTIN</t>
  </si>
  <si>
    <t>HERRANDO GARCIA, ALBERTO</t>
  </si>
  <si>
    <t>GONZALEZ ROBLES ISMAEL</t>
  </si>
  <si>
    <r>
      <rPr>
        <sz val="11"/>
        <rFont val="Aptos Narrow"/>
        <family val="2"/>
        <charset val="1"/>
      </rPr>
      <t>GONZALEZ ROBLES, ISMAEL</t>
    </r>
    <r>
      <rPr>
        <b/>
        <sz val="11"/>
        <rFont val="Aptos Narrow"/>
        <family val="2"/>
        <charset val="1"/>
      </rPr>
      <t xml:space="preserve"> </t>
    </r>
  </si>
  <si>
    <r>
      <rPr>
        <sz val="11"/>
        <rFont val="Aptos Narrow"/>
        <family val="2"/>
        <charset val="1"/>
      </rPr>
      <t xml:space="preserve">GONZALEZ ROBLES, ISMAEL </t>
    </r>
  </si>
  <si>
    <t xml:space="preserve">BALQUEZ FERNANDEZ, ANGEL  </t>
  </si>
  <si>
    <t xml:space="preserve">ABAD GARCIA, FRANCISCO JAVIER </t>
  </si>
  <si>
    <t>DE PABLO, ANTONIO</t>
  </si>
  <si>
    <t>BINTOV YOCHEV, VESELIN</t>
  </si>
  <si>
    <t xml:space="preserve">ASENSIO LUENGO, DANIEL </t>
  </si>
  <si>
    <t>RODRIGUEZ BERLINCHES,  REGINO</t>
  </si>
  <si>
    <t>Mª JESUS PERALES CERVERA</t>
  </si>
  <si>
    <r>
      <rPr>
        <sz val="11"/>
        <color rgb="FF000000"/>
        <rFont val="Aptos Narrow"/>
      </rPr>
      <t xml:space="preserve">JIMENEZ LOPEZ , FERNANDO </t>
    </r>
  </si>
  <si>
    <t>BENTACOURT CARDONA, JOSE JAIME</t>
  </si>
  <si>
    <t>MARTIN JIMENEZ, ESTEBAN</t>
  </si>
  <si>
    <t>OUHABI, TARIK</t>
  </si>
  <si>
    <t xml:space="preserve">PRIETO GRANADOS, RICARDO  </t>
  </si>
  <si>
    <t>APARICIO LEON, CESAR ANTONIO</t>
  </si>
  <si>
    <r>
      <rPr>
        <sz val="11"/>
        <color rgb="FF000000"/>
        <rFont val="Aptos Narrow"/>
      </rPr>
      <t>RODRIGUEZ JARILLO, JOSE LUIS   PROT</t>
    </r>
  </si>
  <si>
    <r>
      <rPr>
        <sz val="11"/>
        <color rgb="FF000000"/>
        <rFont val="Aptos Narrow"/>
      </rPr>
      <t>HERNANDEZ BARGUEÑO, ALBERTO   PROT.</t>
    </r>
  </si>
  <si>
    <r>
      <rPr>
        <sz val="11"/>
        <color rgb="FF000000"/>
        <rFont val="Aptos Narrow"/>
      </rPr>
      <t>SAEZ VARA, JUAN FELIX  PROT.</t>
    </r>
  </si>
  <si>
    <r>
      <rPr>
        <sz val="11"/>
        <color rgb="FF000000"/>
        <rFont val="Aptos Narrow"/>
      </rPr>
      <t>BETANCUR CASTRO, JHON STIVEN  PROT</t>
    </r>
  </si>
  <si>
    <t>LOZANO TORREJON, ISMAEL</t>
  </si>
  <si>
    <t>NUÑEZ CABALLERO,  RICARDO</t>
  </si>
  <si>
    <t>LOPEZ MONTERO MORENO,  SONIA</t>
  </si>
  <si>
    <t>PANASITI, DIEGO ANTONIO</t>
  </si>
  <si>
    <t>GONZALEZ ROBLES, ISMAEL  PROT</t>
  </si>
  <si>
    <t>MATEO GARCIA, SANDRA</t>
  </si>
  <si>
    <t>TORREJON SANZ,  JUAN ANTONIO  PROT</t>
  </si>
  <si>
    <t>HERNANDO GONZALEZ, RAUL  PROT</t>
  </si>
  <si>
    <t>SARDAN, ROBERT CRISTIAN PROT</t>
  </si>
  <si>
    <r>
      <rPr>
        <sz val="11"/>
        <color rgb="FF000000"/>
        <rFont val="Aptos Narrow"/>
      </rPr>
      <t>OÑATE NUÑEZ, SANTIAGO</t>
    </r>
    <r>
      <rPr>
        <sz val="11"/>
        <color rgb="FF00B050"/>
        <rFont val="Aptos Narrow"/>
      </rPr>
      <t xml:space="preserve">  </t>
    </r>
    <r>
      <rPr>
        <sz val="11"/>
        <color rgb="FF000000"/>
        <rFont val="Aptos Narrow"/>
      </rPr>
      <t xml:space="preserve">  PROT</t>
    </r>
  </si>
  <si>
    <t>BELLON HERNANDEZ, LUIS</t>
  </si>
  <si>
    <t>DE LLAMES RODRÍGUEZ, ANGEL  Tarde</t>
  </si>
  <si>
    <t xml:space="preserve">ALISTE DIAZ, ENRIQUE  </t>
  </si>
  <si>
    <t>ROMERO GONZALEZ,  VICTOR</t>
  </si>
  <si>
    <t xml:space="preserve">SANCHEZ PANIAGUA,  JOSE MARIA  </t>
  </si>
  <si>
    <t>CASTAÑO GARCIA,  ANDRES FELIPE</t>
  </si>
  <si>
    <t>CORPAS RAMIRO,  ALVARO</t>
  </si>
  <si>
    <t>MORENO ARENAS, LUIS</t>
  </si>
  <si>
    <t>SARTI NAVARRO, LIDIA</t>
  </si>
  <si>
    <t>SOLERA RISCO, IARA</t>
  </si>
  <si>
    <t>GARCIA GUTIERREZ, ADRIAN</t>
  </si>
  <si>
    <t>Faysal Kasmi</t>
  </si>
  <si>
    <t>VICENTE MARTIN, JUAN MAURICIO</t>
  </si>
  <si>
    <t>DELOS SANTOS MARQUEZ, FRANCISCO M.</t>
  </si>
  <si>
    <t xml:space="preserve">GARCIA GUTIERREZ, ADRIAN </t>
  </si>
  <si>
    <r>
      <rPr>
        <sz val="11"/>
        <color rgb="FF000000"/>
        <rFont val="Aptos Narrow"/>
      </rPr>
      <t>JIMENEZ LOPEZ , FERNANDO</t>
    </r>
    <r>
      <rPr>
        <b/>
        <sz val="11"/>
        <color rgb="FF000000"/>
        <rFont val="Aptos Narrow"/>
      </rPr>
      <t xml:space="preserve"> </t>
    </r>
  </si>
  <si>
    <r>
      <rPr>
        <sz val="11"/>
        <color rgb="FF000000"/>
        <rFont val="Aptos Narrow"/>
      </rPr>
      <t xml:space="preserve">UREÑA PORTERO, JAVIER    </t>
    </r>
  </si>
  <si>
    <r>
      <rPr>
        <sz val="11"/>
        <rFont val="Aptos Narrow"/>
        <family val="2"/>
        <charset val="1"/>
      </rPr>
      <t xml:space="preserve">DORADO DEL CERRO, AISHA </t>
    </r>
  </si>
  <si>
    <t>MORENO CRUZ, VICTOR MANUEL  T1</t>
  </si>
  <si>
    <t>VICENTE MARTIN, JUAN MAURICIO T1</t>
  </si>
  <si>
    <t>PASCUAL HIGUERAS, ANGEL T1</t>
  </si>
  <si>
    <r>
      <rPr>
        <sz val="11"/>
        <color rgb="FF000000"/>
        <rFont val="Aptos Narrow"/>
      </rPr>
      <t>RODRIGUEZ JARILLO, JOSE LUIS</t>
    </r>
    <r>
      <rPr>
        <b/>
        <sz val="11"/>
        <color rgb="FF000000"/>
        <rFont val="Aptos Narrow"/>
      </rPr>
      <t xml:space="preserve">  </t>
    </r>
  </si>
  <si>
    <r>
      <rPr>
        <sz val="11"/>
        <color rgb="FF000000"/>
        <rFont val="Aptos Narrow"/>
      </rPr>
      <t xml:space="preserve">RODRIGUEZ JARILLO, JOSE LUIS  </t>
    </r>
  </si>
  <si>
    <t>RODRIGUEZ JARILLO, JOSE LUIS  T1</t>
  </si>
  <si>
    <t>FERNANDEZ MARINA,  DAVID T1</t>
  </si>
  <si>
    <t>GOMEZ MARIN, CRISTIAN T1</t>
  </si>
  <si>
    <t>PALACIOS HARO, ROSA MARIA  T1</t>
  </si>
  <si>
    <t>RODRIGUEZ DEL BARRIO, MOISES   T1</t>
  </si>
  <si>
    <t>FERNANDEZ MARINA, ALBERTO (SOLO TARDE)</t>
  </si>
  <si>
    <t>VILLARREAL MATEO, JORGE  T1</t>
  </si>
  <si>
    <t>FERNANDEZ RAMIREZ,  JORGE  T2</t>
  </si>
  <si>
    <t xml:space="preserve">FERNANDEZ RAMIREZ,  JORGE  </t>
  </si>
  <si>
    <t>UREÑA PORTERO, JAVIER    T1</t>
  </si>
  <si>
    <t>NUÑEZ CABALLERO,  RICARDO T2</t>
  </si>
  <si>
    <t xml:space="preserve">NUÑEZ CABALLERO,  RICARDO </t>
  </si>
  <si>
    <t>CINTADO JIMENEZ, AGUEDA  T1</t>
  </si>
  <si>
    <t>LEON PADILLO, FRANCISCO JAVIER  T1</t>
  </si>
  <si>
    <t>GONZALEZ RIOS, FRANK STIBEN   T1</t>
  </si>
  <si>
    <t>SANCHEZ MURILLO, JOSE LUIS  T1</t>
  </si>
  <si>
    <t xml:space="preserve">EL BOUKURI, ANAS </t>
  </si>
  <si>
    <t>APARICIO ORTEGA VILLAIZAN, ALEJANDRO  T2</t>
  </si>
  <si>
    <t>VILLA NICOLAS,  MARIANO T2</t>
  </si>
  <si>
    <t>SOLERA RISCO, IARA  T2</t>
  </si>
  <si>
    <t>KASMI, FAYSAL  T2</t>
  </si>
  <si>
    <t>VAZQUEZ TORREJON, ARANZAZU  T2</t>
  </si>
  <si>
    <t>SANCHEZ CARMENA, IVAN</t>
  </si>
  <si>
    <t xml:space="preserve">CERRADA CANALES, DANIEL  </t>
  </si>
  <si>
    <t>JOSE LUIS VEGA HERNÁNDEZ</t>
  </si>
  <si>
    <t>JIMENEZ JURADO, MATEO</t>
  </si>
  <si>
    <r>
      <rPr>
        <sz val="11"/>
        <color rgb="FF000000"/>
        <rFont val="Aptos Narrow"/>
      </rPr>
      <t xml:space="preserve">BARROSO DE ROA, DANIEL   </t>
    </r>
  </si>
  <si>
    <t xml:space="preserve">PANASITI, DIEGO ANTONIO      </t>
  </si>
  <si>
    <t xml:space="preserve">LUQUE VILLOLDO, FRANCISCO   </t>
  </si>
  <si>
    <t>RUIZ MARTINEZ, JUAN JOSE</t>
  </si>
  <si>
    <t xml:space="preserve">MARTIN JIMENEZ, ESTEBAN </t>
  </si>
  <si>
    <t>CONEJO GARCIA,  MIGUEL ANGEL</t>
  </si>
  <si>
    <t xml:space="preserve">MOYANO MORCILLO, CHRISTIAN  </t>
  </si>
  <si>
    <t>HERNANDEZ, LUIS MIGUEL</t>
  </si>
  <si>
    <t>JUAN MANUEL RODRÍGUEZ TALAVERA</t>
  </si>
  <si>
    <t>CINTADO JIMENEZ, AGUEDA</t>
  </si>
  <si>
    <t xml:space="preserve">TORREJON SANZ,  JUAN ANTONIO </t>
  </si>
  <si>
    <t>BENAIGUES MENA, ANGEL</t>
  </si>
  <si>
    <r>
      <rPr>
        <sz val="11"/>
        <color rgb="FF000000"/>
        <rFont val="Aptos Narrow"/>
      </rPr>
      <t>DA SILVA MEDEIROS, RODRIGO   ?</t>
    </r>
  </si>
  <si>
    <r>
      <rPr>
        <sz val="11"/>
        <color rgb="FF000000"/>
        <rFont val="Aptos Narrow"/>
      </rPr>
      <t>GALAN CABELLO , DAVID ?</t>
    </r>
  </si>
  <si>
    <r>
      <rPr>
        <sz val="11"/>
        <color rgb="FF000000"/>
        <rFont val="Aptos Narrow"/>
      </rPr>
      <t>HERNANDEZ BARGUEÑO, ALBERTO   ?</t>
    </r>
  </si>
  <si>
    <t>LEON PADILLO, FRANCISCO JAVIER</t>
  </si>
  <si>
    <r>
      <rPr>
        <sz val="11"/>
        <color rgb="FF000000"/>
        <rFont val="Aptos Narrow"/>
      </rPr>
      <t>ARAGONES LOPEZ, RICARDO  ?</t>
    </r>
  </si>
  <si>
    <t xml:space="preserve">RODRIGUEZ JARILLO, JOSE LUIS  </t>
  </si>
  <si>
    <t>RODRIGUEZ JARILLO, JOSE LUIS  (T2)</t>
  </si>
  <si>
    <t xml:space="preserve">FERNANDEZ MARINA,  DAVID </t>
  </si>
  <si>
    <t>FERNANDEZ MARINA,  DAVID  (T2)</t>
  </si>
  <si>
    <t xml:space="preserve">GOMEZ MARIN, CRISTIAN </t>
  </si>
  <si>
    <t xml:space="preserve">DA SILVA MEDEIROS, RODRIGO  </t>
  </si>
  <si>
    <t xml:space="preserve">JIMENEZ LOPEZ , FERNANDO   </t>
  </si>
  <si>
    <t xml:space="preserve">VARE LA RIVA, HERNAN ALEJANDRO   </t>
  </si>
  <si>
    <t xml:space="preserve">DORADO UBEDA , SAMUEL  </t>
  </si>
  <si>
    <r>
      <rPr>
        <sz val="11"/>
        <rFont val="Aptos Narrow"/>
        <family val="2"/>
        <charset val="1"/>
      </rPr>
      <t xml:space="preserve">PRIETO GRANADOS, RICARDO  </t>
    </r>
  </si>
  <si>
    <t>PASCUAL HIGUERAS, ANGEL</t>
  </si>
  <si>
    <t xml:space="preserve">VAZQUEZ TORREJON, ARANZAZU  </t>
  </si>
  <si>
    <t xml:space="preserve">CHAVES LEMETRE, ISMAEL JOSE   </t>
  </si>
  <si>
    <r>
      <rPr>
        <sz val="11"/>
        <color rgb="FF000000"/>
        <rFont val="Aptos Narrow"/>
      </rPr>
      <t xml:space="preserve">GARCIA GUTIERREZ, ADRIAN  </t>
    </r>
  </si>
  <si>
    <t xml:space="preserve">PALACIOS HARO, ROSA MARIA  </t>
  </si>
  <si>
    <t xml:space="preserve">RODRIGUEZ DEL BARRIO, MOISES  </t>
  </si>
  <si>
    <t xml:space="preserve">MORENO CRUZ, VICTOR MANUEL  </t>
  </si>
  <si>
    <t xml:space="preserve">HERNANDO GONZALEZ, RAUL </t>
  </si>
  <si>
    <t>MARQUES JABATO, BLANCA AMALIA</t>
  </si>
  <si>
    <t>MARTIN QUINTERO, DAVID</t>
  </si>
  <si>
    <t xml:space="preserve">GUANILLO ESQUECHE, LUIS ENRIQUE </t>
  </si>
  <si>
    <t>CORDON MORENO, SAMUEL</t>
  </si>
  <si>
    <t xml:space="preserve">NIETO TRUJILLO, VALENTIN </t>
  </si>
  <si>
    <t xml:space="preserve">RODRIGUZ JIMENEZ, CRISTIAN  </t>
  </si>
  <si>
    <t xml:space="preserve">VILLARREAL MATEO, JORGE </t>
  </si>
  <si>
    <r>
      <rPr>
        <sz val="11"/>
        <color rgb="FF000000"/>
        <rFont val="Aptos Narrow"/>
      </rPr>
      <t>DE LLAMES RODRÍGUEZ, ANGEL</t>
    </r>
    <r>
      <rPr>
        <b/>
        <sz val="11"/>
        <color rgb="FF000000"/>
        <rFont val="Aptos Narrow"/>
      </rPr>
      <t xml:space="preserve">  </t>
    </r>
  </si>
  <si>
    <r>
      <rPr>
        <sz val="11"/>
        <color rgb="FF000000"/>
        <rFont val="Aptos Narrow"/>
      </rPr>
      <t xml:space="preserve">HERNANDEZ BARGUEÑO, ALBERTO   </t>
    </r>
  </si>
  <si>
    <t>MORILLO ERAZO, MARCELO  JAVIER</t>
  </si>
  <si>
    <t xml:space="preserve">JUANES CARMONA, CHRISTIAN  </t>
  </si>
  <si>
    <r>
      <rPr>
        <sz val="11"/>
        <color rgb="FF000000"/>
        <rFont val="Aptos Narrow"/>
        <scheme val="minor"/>
      </rPr>
      <t xml:space="preserve">BENAIGUES MENA, ANGEL </t>
    </r>
  </si>
  <si>
    <t xml:space="preserve">PASCUAL PLAZA, FRANCISCO JOSE    </t>
  </si>
  <si>
    <t xml:space="preserve">UREÑA PORTERO, JAVIER    </t>
  </si>
  <si>
    <t xml:space="preserve">LEON PADILLO, FRANCISCO JAVIER  </t>
  </si>
  <si>
    <t xml:space="preserve">GONZALEZ RIOS, FRANK STIBEN   </t>
  </si>
  <si>
    <t xml:space="preserve">QUINTANA GONZALEZ, NAIARA </t>
  </si>
  <si>
    <t xml:space="preserve">ARENAS BUIZA,  ANGEL  </t>
  </si>
  <si>
    <r>
      <rPr>
        <sz val="11"/>
        <color rgb="FF000000"/>
        <rFont val="Aptos Narrow"/>
        <scheme val="minor"/>
      </rPr>
      <t>NUNES MARIA,  PAULO JORGE</t>
    </r>
    <r>
      <rPr>
        <sz val="11"/>
        <color rgb="FF00B050"/>
        <rFont val="Aptos Narrow"/>
        <scheme val="minor"/>
      </rPr>
      <t xml:space="preserve">  </t>
    </r>
    <r>
      <rPr>
        <sz val="11"/>
        <color rgb="FF000000"/>
        <rFont val="Aptos Narrow"/>
        <scheme val="minor"/>
      </rPr>
      <t xml:space="preserve"> </t>
    </r>
  </si>
  <si>
    <r>
      <rPr>
        <b/>
        <sz val="11"/>
        <color rgb="FF000000"/>
        <rFont val="Aptos Narrow"/>
        <scheme val="minor"/>
      </rPr>
      <t>NUNES MARIA,  PAULO JORGE</t>
    </r>
    <r>
      <rPr>
        <b/>
        <sz val="11"/>
        <color rgb="FF00B050"/>
        <rFont val="Aptos Narrow"/>
        <scheme val="minor"/>
      </rPr>
      <t xml:space="preserve">  </t>
    </r>
    <r>
      <rPr>
        <b/>
        <sz val="11"/>
        <color rgb="FF000000"/>
        <rFont val="Aptos Narrow"/>
        <scheme val="minor"/>
      </rPr>
      <t xml:space="preserve"> </t>
    </r>
  </si>
  <si>
    <t xml:space="preserve">SANCHEZ MURILLO, JOSE LUIS  </t>
  </si>
  <si>
    <t xml:space="preserve">VILLA NICOLAS,  MARIANO </t>
  </si>
  <si>
    <t xml:space="preserve">ARAGONES LOPEZ, RICARDO  </t>
  </si>
  <si>
    <t xml:space="preserve">IVAN FERNANDEZ ESPINOSA    </t>
  </si>
  <si>
    <t xml:space="preserve">SANZ MELERO, DANIEL  </t>
  </si>
  <si>
    <t xml:space="preserve">APARICIO MIJARRA, JULIAN </t>
  </si>
  <si>
    <t xml:space="preserve">BETANCUR CASTRO, JHON STIVEN  </t>
  </si>
  <si>
    <t xml:space="preserve">MOYANO MORCILLO, CHRISTIAN </t>
  </si>
  <si>
    <r>
      <rPr>
        <sz val="11"/>
        <color rgb="FF000000"/>
        <rFont val="Aptos Narrow"/>
      </rPr>
      <t xml:space="preserve">GORDILLO GUERRERO, KEVIN ALEXANDER  </t>
    </r>
  </si>
  <si>
    <t>SANCHEZ CENAMOR, PEDRO PABLO</t>
  </si>
  <si>
    <t xml:space="preserve">SANCHEZ PANIAGUA,  JOSE MARIA   </t>
  </si>
  <si>
    <t xml:space="preserve">KASMI, FAYSAL  </t>
  </si>
  <si>
    <t xml:space="preserve"> RODRÍGUEZ TALAVERA, JUAN MANUEL  </t>
  </si>
  <si>
    <t>DE SOUSA PEREIRA, MARIA ISABEL</t>
  </si>
  <si>
    <t xml:space="preserve"> CASAS RAMÍREZ, LUIS ENRIQUE </t>
  </si>
  <si>
    <t xml:space="preserve">ROMERO ENAMORADO, JORGE  </t>
  </si>
  <si>
    <t xml:space="preserve"> AYALA ARROYO,ALBA </t>
  </si>
  <si>
    <t>Producción - Electricidad - T1</t>
  </si>
  <si>
    <t>ID Operario</t>
  </si>
  <si>
    <t>Producción - Electricidad T2</t>
  </si>
  <si>
    <t>Producción - T1</t>
  </si>
  <si>
    <t>Producción - T2</t>
  </si>
  <si>
    <t>Total operarios</t>
  </si>
  <si>
    <t>Categoría</t>
  </si>
  <si>
    <t>Cantidad</t>
  </si>
  <si>
    <t>Elec-T1</t>
  </si>
  <si>
    <t>Elec-T2</t>
  </si>
  <si>
    <t>Estado</t>
  </si>
  <si>
    <t>Fecha</t>
  </si>
  <si>
    <t>Prod-T1</t>
  </si>
  <si>
    <t>DFM</t>
  </si>
  <si>
    <t>FERNANDEZ MARINA,  DAVID</t>
  </si>
  <si>
    <t>Sindicato</t>
  </si>
  <si>
    <t>Prod-T2</t>
  </si>
  <si>
    <t>CGM</t>
  </si>
  <si>
    <t>GOMEZ MARIN, CRISTIAN</t>
  </si>
  <si>
    <t>RDSM</t>
  </si>
  <si>
    <r>
      <rPr>
        <sz val="11"/>
        <color rgb="FF000000"/>
        <rFont val="Aptos Narrow"/>
      </rPr>
      <t>DA SILVA MEDEIROS, RODRIGO  (</t>
    </r>
    <r>
      <rPr>
        <b/>
        <sz val="11"/>
        <color rgb="FF000000"/>
        <rFont val="Aptos Narrow"/>
      </rPr>
      <t>Paternidad</t>
    </r>
    <r>
      <rPr>
        <sz val="11"/>
        <color rgb="FF000000"/>
        <rFont val="Aptos Narrow"/>
      </rPr>
      <t>)</t>
    </r>
  </si>
  <si>
    <t>Producción - Electricidad baja</t>
  </si>
  <si>
    <t>JLRJ</t>
  </si>
  <si>
    <t>BAÑOS RAFAEL</t>
  </si>
  <si>
    <t>Jefe</t>
  </si>
  <si>
    <t>APHI</t>
  </si>
  <si>
    <t>SDU</t>
  </si>
  <si>
    <t>JAPE</t>
  </si>
  <si>
    <t xml:space="preserve">PICHARDO ESPINA , JOSE ANTONIO </t>
  </si>
  <si>
    <t>RPG</t>
  </si>
  <si>
    <r>
      <rPr>
        <sz val="11"/>
        <rFont val="Aptos Narrow"/>
        <family val="2"/>
        <charset val="1"/>
      </rPr>
      <t xml:space="preserve">PRIETO GRANADOS, RICARDO </t>
    </r>
    <r>
      <rPr>
        <b/>
        <sz val="11"/>
        <rFont val="Aptos Narrow"/>
        <family val="2"/>
        <charset val="1"/>
      </rPr>
      <t xml:space="preserve"> </t>
    </r>
  </si>
  <si>
    <t>ARR</t>
  </si>
  <si>
    <t xml:space="preserve">RODRIGUEZ RODRIGUEZ, ALBERTO </t>
  </si>
  <si>
    <t>JMVM</t>
  </si>
  <si>
    <t>AGG</t>
  </si>
  <si>
    <r>
      <rPr>
        <sz val="11"/>
        <color rgb="FF000000"/>
        <rFont val="Aptos Narrow"/>
      </rPr>
      <t xml:space="preserve">GARCIA GUTIERREZ, ADRIAN </t>
    </r>
    <r>
      <rPr>
        <b/>
        <sz val="11"/>
        <color rgb="FF000000"/>
        <rFont val="Aptos Narrow"/>
      </rPr>
      <t xml:space="preserve"> </t>
    </r>
  </si>
  <si>
    <t>FJL</t>
  </si>
  <si>
    <r>
      <rPr>
        <sz val="11"/>
        <color rgb="FF000000"/>
        <rFont val="Aptos Narrow"/>
      </rPr>
      <t>JIMENEZ LOPEZ , FERNANDO</t>
    </r>
    <r>
      <rPr>
        <b/>
        <sz val="11"/>
        <color rgb="FF000000"/>
        <rFont val="Aptos Narrow"/>
      </rPr>
      <t xml:space="preserve">   </t>
    </r>
  </si>
  <si>
    <t>AJRH</t>
  </si>
  <si>
    <t xml:space="preserve">REAL HERNANDEZ, ALEXIS JESUS  </t>
  </si>
  <si>
    <t>JJVO</t>
  </si>
  <si>
    <t>ADPG</t>
  </si>
  <si>
    <t>MACG</t>
  </si>
  <si>
    <t>VMGP</t>
  </si>
  <si>
    <t xml:space="preserve">GALLEGO PRIETO, VICTOR MANUEL </t>
  </si>
  <si>
    <t>ABF</t>
  </si>
  <si>
    <r>
      <rPr>
        <sz val="11"/>
        <color rgb="FF000000"/>
        <rFont val="Aptos Narrow"/>
      </rPr>
      <t xml:space="preserve">BALQUEZ FERNANDEZ, ANGEL </t>
    </r>
    <r>
      <rPr>
        <b/>
        <sz val="11"/>
        <color rgb="FF000000"/>
        <rFont val="Aptos Narrow"/>
      </rPr>
      <t xml:space="preserve"> Calidad</t>
    </r>
  </si>
  <si>
    <t>FJAG</t>
  </si>
  <si>
    <t xml:space="preserve">ABAD GARCIA, FRANCISCO JAVIER  </t>
  </si>
  <si>
    <t>DAP</t>
  </si>
  <si>
    <t>HAVR</t>
  </si>
  <si>
    <t>EAD</t>
  </si>
  <si>
    <t>AVT</t>
  </si>
  <si>
    <r>
      <rPr>
        <sz val="11"/>
        <color rgb="FF000000"/>
        <rFont val="Aptos Narrow"/>
      </rPr>
      <t xml:space="preserve">VAZQUEZ TORREJON, ARANZAZU </t>
    </r>
    <r>
      <rPr>
        <b/>
        <sz val="11"/>
        <color rgb="FF000000"/>
        <rFont val="Aptos Narrow"/>
      </rPr>
      <t xml:space="preserve"> </t>
    </r>
  </si>
  <si>
    <t>AGR</t>
  </si>
  <si>
    <r>
      <rPr>
        <sz val="11"/>
        <color rgb="FF000000"/>
        <rFont val="Aptos Narrow"/>
      </rPr>
      <t xml:space="preserve">GARCIA RUZ, ALVARO        </t>
    </r>
    <r>
      <rPr>
        <b/>
        <sz val="11"/>
        <color rgb="FF000000"/>
        <rFont val="Aptos Narrow"/>
      </rPr>
      <t>BATERIAS</t>
    </r>
  </si>
  <si>
    <t>FLV</t>
  </si>
  <si>
    <r>
      <rPr>
        <sz val="11"/>
        <color rgb="FF000000"/>
        <rFont val="Aptos Narrow"/>
      </rPr>
      <t xml:space="preserve">LUQUE VILLOLDO, FRANCISCO   </t>
    </r>
    <r>
      <rPr>
        <b/>
        <sz val="11"/>
        <color rgb="FF000000"/>
        <rFont val="Aptos Narrow"/>
      </rPr>
      <t>L5</t>
    </r>
  </si>
  <si>
    <t>LRPR</t>
  </si>
  <si>
    <r>
      <rPr>
        <sz val="11"/>
        <color rgb="FF000000"/>
        <rFont val="Aptos Narrow"/>
      </rPr>
      <t xml:space="preserve">RODRIGUZ PALANCAS RAMIREZ, LOURDES   </t>
    </r>
    <r>
      <rPr>
        <b/>
        <sz val="11"/>
        <color rgb="FF000000"/>
        <rFont val="Aptos Narrow"/>
      </rPr>
      <t xml:space="preserve"> </t>
    </r>
  </si>
  <si>
    <t>JROB</t>
  </si>
  <si>
    <r>
      <rPr>
        <sz val="11"/>
        <color rgb="FF000000"/>
        <rFont val="Aptos Narrow"/>
      </rPr>
      <t>OLMO BASTANTE, JOSE RAUL</t>
    </r>
    <r>
      <rPr>
        <b/>
        <sz val="11"/>
        <color rgb="FF000000"/>
        <rFont val="Aptos Narrow"/>
      </rPr>
      <t xml:space="preserve"> </t>
    </r>
  </si>
  <si>
    <t>ICL</t>
  </si>
  <si>
    <r>
      <rPr>
        <sz val="11"/>
        <color rgb="FF000000"/>
        <rFont val="Aptos Narrow"/>
      </rPr>
      <t xml:space="preserve">CHAVES LEMETRE, ISMAEL JOSE  </t>
    </r>
    <r>
      <rPr>
        <b/>
        <sz val="11"/>
        <color rgb="FF000000"/>
        <rFont val="Aptos Narrow"/>
      </rPr>
      <t xml:space="preserve"> </t>
    </r>
  </si>
  <si>
    <t>ARDC</t>
  </si>
  <si>
    <r>
      <rPr>
        <sz val="11"/>
        <color rgb="FF000000"/>
        <rFont val="Aptos Narrow"/>
      </rPr>
      <t xml:space="preserve">RODRIGUES DE CARVALHO, ANDRE </t>
    </r>
    <r>
      <rPr>
        <b/>
        <sz val="11"/>
        <color rgb="FF000000"/>
        <rFont val="Aptos Narrow"/>
      </rPr>
      <t xml:space="preserve"> L3</t>
    </r>
  </si>
  <si>
    <t xml:space="preserve">Carlos García     </t>
  </si>
  <si>
    <t>MJPC</t>
  </si>
  <si>
    <t xml:space="preserve">PERALES CERVERA, Mª JESUS   </t>
  </si>
  <si>
    <t>JFSV</t>
  </si>
  <si>
    <r>
      <rPr>
        <sz val="11"/>
        <color rgb="FF000000"/>
        <rFont val="Aptos Narrow"/>
      </rPr>
      <t xml:space="preserve">SAEZ VARA, JUAN FELIX </t>
    </r>
    <r>
      <rPr>
        <b/>
        <sz val="11"/>
        <color rgb="FF000000"/>
        <rFont val="Aptos Narrow"/>
      </rPr>
      <t xml:space="preserve"> </t>
    </r>
  </si>
  <si>
    <t>HVG</t>
  </si>
  <si>
    <r>
      <rPr>
        <sz val="11"/>
        <color rgb="FF000000"/>
        <rFont val="Aptos Narrow"/>
      </rPr>
      <t xml:space="preserve">VARGAS GUTIERREZ, HUGO </t>
    </r>
    <r>
      <rPr>
        <b/>
        <sz val="11"/>
        <color rgb="FF00B050"/>
        <rFont val="Aptos Narrow"/>
      </rPr>
      <t xml:space="preserve">  </t>
    </r>
  </si>
  <si>
    <t>DRDP</t>
  </si>
  <si>
    <t>CGV</t>
  </si>
  <si>
    <t>AALO</t>
  </si>
  <si>
    <t xml:space="preserve">APARICIO LOSADA, ALICIA </t>
  </si>
  <si>
    <t>JSM</t>
  </si>
  <si>
    <r>
      <rPr>
        <sz val="11"/>
        <color rgb="FF000000"/>
        <rFont val="Aptos Narrow"/>
      </rPr>
      <t xml:space="preserve">SANCHEZ MADRIGAL, JAVIER     </t>
    </r>
    <r>
      <rPr>
        <b/>
        <sz val="11"/>
        <color rgb="FF000000"/>
        <rFont val="Aptos Narrow"/>
      </rPr>
      <t>BATERIAS</t>
    </r>
  </si>
  <si>
    <t>SNK</t>
  </si>
  <si>
    <t xml:space="preserve">NGANDU KABONGO, SANDERS </t>
  </si>
  <si>
    <t>AFPB</t>
  </si>
  <si>
    <t xml:space="preserve">PÁLAMO BOJE, ÁLVARO FELIPE </t>
  </si>
  <si>
    <t>DMQ</t>
  </si>
  <si>
    <t>LEGE</t>
  </si>
  <si>
    <t>Producción - Electricidad - L3</t>
  </si>
  <si>
    <t>BAJM</t>
  </si>
  <si>
    <t>VNT</t>
  </si>
  <si>
    <t>VMMC</t>
  </si>
  <si>
    <t>RMPH</t>
  </si>
  <si>
    <t>PALACIOS HARO, ROSA MARIA</t>
  </si>
  <si>
    <t>Producción/Baja</t>
  </si>
  <si>
    <t>GARCIA,  SERGIO</t>
  </si>
  <si>
    <t>AFM</t>
  </si>
  <si>
    <r>
      <rPr>
        <sz val="11"/>
        <color rgb="FF000000"/>
        <rFont val="Aptos Narrow"/>
        <scheme val="minor"/>
      </rPr>
      <t>FERNANDEZ MARINA,  ALBERTO    (</t>
    </r>
    <r>
      <rPr>
        <b/>
        <sz val="11"/>
        <color rgb="FF000000"/>
        <rFont val="Aptos Narrow"/>
        <scheme val="minor"/>
      </rPr>
      <t>SOLO TARDE)</t>
    </r>
  </si>
  <si>
    <t>ALGP</t>
  </si>
  <si>
    <r>
      <rPr>
        <sz val="11"/>
        <color rgb="FF000000"/>
        <rFont val="Aptos Narrow"/>
        <scheme val="minor"/>
      </rPr>
      <t>GERRERO PANTOJA, ANGEL LUIS</t>
    </r>
    <r>
      <rPr>
        <b/>
        <sz val="11"/>
        <color rgb="FF000000"/>
        <rFont val="Aptos Narrow"/>
        <scheme val="minor"/>
      </rPr>
      <t xml:space="preserve"> </t>
    </r>
  </si>
  <si>
    <t>ILT</t>
  </si>
  <si>
    <t xml:space="preserve">LOZANO TORREJON, ISMAEL   </t>
  </si>
  <si>
    <t>SCM</t>
  </si>
  <si>
    <t>PFL</t>
  </si>
  <si>
    <t xml:space="preserve">FERNANDEZ LAGARTERA, PEDRO </t>
  </si>
  <si>
    <t>SLP</t>
  </si>
  <si>
    <t xml:space="preserve">LOBON PERALES, SERGIO   </t>
  </si>
  <si>
    <t>VBY</t>
  </si>
  <si>
    <t xml:space="preserve">BINTOV YOCHEV, VESELIN  </t>
  </si>
  <si>
    <t>MGS</t>
  </si>
  <si>
    <t xml:space="preserve">GARCIA SILGADO, MARTIN  </t>
  </si>
  <si>
    <t>DAL</t>
  </si>
  <si>
    <t>PVD</t>
  </si>
  <si>
    <t>JATS</t>
  </si>
  <si>
    <t>RHG</t>
  </si>
  <si>
    <t>RCS</t>
  </si>
  <si>
    <r>
      <rPr>
        <sz val="11"/>
        <color rgb="FF000000"/>
        <rFont val="Aptos Narrow"/>
        <scheme val="minor"/>
      </rPr>
      <t>SARDAN, ROBERT CRISTIAN</t>
    </r>
    <r>
      <rPr>
        <b/>
        <sz val="11"/>
        <color rgb="FF000000"/>
        <rFont val="Aptos Narrow"/>
        <scheme val="minor"/>
      </rPr>
      <t xml:space="preserve">  </t>
    </r>
  </si>
  <si>
    <t>SON</t>
  </si>
  <si>
    <r>
      <rPr>
        <sz val="11"/>
        <color rgb="FF000000"/>
        <rFont val="Aptos Narrow"/>
      </rPr>
      <t>OÑATE NUÑEZ, SANTIAGO</t>
    </r>
    <r>
      <rPr>
        <b/>
        <sz val="11"/>
        <color rgb="FF00B050"/>
        <rFont val="Aptos Narrow"/>
      </rPr>
      <t xml:space="preserve">  </t>
    </r>
    <r>
      <rPr>
        <b/>
        <sz val="11"/>
        <color rgb="FF000000"/>
        <rFont val="Aptos Narrow"/>
      </rPr>
      <t xml:space="preserve">  </t>
    </r>
  </si>
  <si>
    <t>PAVONI</t>
  </si>
  <si>
    <t>CCL</t>
  </si>
  <si>
    <t xml:space="preserve">BLANCO, JAVIER  </t>
  </si>
  <si>
    <t>JVM</t>
  </si>
  <si>
    <t>VILLARREAL MATEO, JORGE</t>
  </si>
  <si>
    <t>CAL</t>
  </si>
  <si>
    <t>DCCA</t>
  </si>
  <si>
    <t xml:space="preserve">CERRADA CANALES, DANIEL </t>
  </si>
  <si>
    <t>ADLR</t>
  </si>
  <si>
    <t>MJJ</t>
  </si>
  <si>
    <t xml:space="preserve">JIMENEZ JURADO, MATEO </t>
  </si>
  <si>
    <t>RPE</t>
  </si>
  <si>
    <t xml:space="preserve">PUEBLA ESPINOSA, RAUL  </t>
  </si>
  <si>
    <t>FJRR</t>
  </si>
  <si>
    <r>
      <rPr>
        <sz val="11"/>
        <color rgb="FF000000"/>
        <rFont val="Aptos Narrow"/>
      </rPr>
      <t xml:space="preserve">RODRIGUEZ REYES, FRANCISCO JAVIER </t>
    </r>
    <r>
      <rPr>
        <b/>
        <sz val="11"/>
        <color rgb="FF000000"/>
        <rFont val="Aptos Narrow"/>
      </rPr>
      <t xml:space="preserve"> </t>
    </r>
  </si>
  <si>
    <t>ISAC</t>
  </si>
  <si>
    <r>
      <rPr>
        <sz val="11"/>
        <color rgb="FF000000"/>
        <rFont val="Aptos Narrow"/>
      </rPr>
      <t xml:space="preserve">SANCHEZ CARMENA, IVAN </t>
    </r>
    <r>
      <rPr>
        <b/>
        <sz val="11"/>
        <color rgb="FF000000"/>
        <rFont val="Aptos Narrow"/>
      </rPr>
      <t xml:space="preserve">  </t>
    </r>
  </si>
  <si>
    <t>DBDR</t>
  </si>
  <si>
    <r>
      <rPr>
        <sz val="11"/>
        <color rgb="FF000000"/>
        <rFont val="Aptos Narrow"/>
      </rPr>
      <t xml:space="preserve">BARROSO DE ROA, DANIEL </t>
    </r>
    <r>
      <rPr>
        <b/>
        <sz val="11"/>
        <color rgb="FF000000"/>
        <rFont val="Aptos Narrow"/>
      </rPr>
      <t xml:space="preserve">  </t>
    </r>
  </si>
  <si>
    <t>DGC</t>
  </si>
  <si>
    <t xml:space="preserve">GALAN CARRASCO, DAVID </t>
  </si>
  <si>
    <t>AHB</t>
  </si>
  <si>
    <r>
      <rPr>
        <sz val="11"/>
        <color rgb="FF000000"/>
        <rFont val="Aptos Narrow"/>
      </rPr>
      <t xml:space="preserve">HERNANDEZ BARGUEÑO, ALBERTO  </t>
    </r>
    <r>
      <rPr>
        <b/>
        <sz val="11"/>
        <color rgb="FF000000"/>
        <rFont val="Aptos Narrow"/>
      </rPr>
      <t xml:space="preserve"> </t>
    </r>
  </si>
  <si>
    <t>CJC</t>
  </si>
  <si>
    <r>
      <rPr>
        <sz val="11"/>
        <color rgb="FF000000"/>
        <rFont val="Aptos Narrow"/>
      </rPr>
      <t xml:space="preserve">JUANES CARMONA, CHRISTIAN </t>
    </r>
    <r>
      <rPr>
        <b/>
        <sz val="11"/>
        <color rgb="FF000000"/>
        <rFont val="Aptos Narrow"/>
      </rPr>
      <t xml:space="preserve"> </t>
    </r>
  </si>
  <si>
    <t>CRJ</t>
  </si>
  <si>
    <t>RODRIGUZ JIMENEZ, CRISTIAN</t>
  </si>
  <si>
    <t>HSC</t>
  </si>
  <si>
    <t>GARCIA CRESPO,  JORGE</t>
  </si>
  <si>
    <t>RNC</t>
  </si>
  <si>
    <t>AFCG</t>
  </si>
  <si>
    <t>JFR</t>
  </si>
  <si>
    <t>FERNANDEZ RAMIREZ,  JORGE</t>
  </si>
  <si>
    <t>IFF</t>
  </si>
  <si>
    <t>FERRER FERNANDEZ,  IVAN</t>
  </si>
  <si>
    <t>SLMM</t>
  </si>
  <si>
    <t>ACR</t>
  </si>
  <si>
    <t>JJRO</t>
  </si>
  <si>
    <t xml:space="preserve">RODRIGUEZ ORDUÑEZ,  JESUS JAVIER </t>
  </si>
  <si>
    <t>ADPL</t>
  </si>
  <si>
    <r>
      <rPr>
        <sz val="11"/>
        <rFont val="Aptos Narrow"/>
        <family val="2"/>
        <charset val="1"/>
      </rPr>
      <t xml:space="preserve">DE PABLO LEAL, ADRIAN </t>
    </r>
    <r>
      <rPr>
        <b/>
        <sz val="11"/>
        <rFont val="Aptos Narrow"/>
        <family val="2"/>
        <charset val="1"/>
      </rPr>
      <t xml:space="preserve"> </t>
    </r>
  </si>
  <si>
    <t>MJME</t>
  </si>
  <si>
    <r>
      <rPr>
        <sz val="11"/>
        <color rgb="FF000000"/>
        <rFont val="Aptos Narrow"/>
      </rPr>
      <t>MORILLO ERAZO, MARCELO  JAVIER</t>
    </r>
    <r>
      <rPr>
        <b/>
        <sz val="11"/>
        <color rgb="FF000000"/>
        <rFont val="Aptos Narrow"/>
      </rPr>
      <t xml:space="preserve"> </t>
    </r>
  </si>
  <si>
    <t>DHLB</t>
  </si>
  <si>
    <r>
      <rPr>
        <sz val="11"/>
        <color rgb="FF000000"/>
        <rFont val="Aptos Narrow"/>
      </rPr>
      <t>HERNANDEZ LOPEZ-BALTASAR, DAVID</t>
    </r>
    <r>
      <rPr>
        <b/>
        <sz val="11"/>
        <color rgb="FF000000"/>
        <rFont val="Aptos Narrow"/>
      </rPr>
      <t xml:space="preserve"> </t>
    </r>
  </si>
  <si>
    <t>ABM</t>
  </si>
  <si>
    <r>
      <rPr>
        <sz val="11"/>
        <color rgb="FF000000"/>
        <rFont val="Aptos Narrow"/>
        <scheme val="minor"/>
      </rPr>
      <t>BENAIGUES MENA, ANGEL</t>
    </r>
    <r>
      <rPr>
        <b/>
        <sz val="11"/>
        <color rgb="FF000000"/>
        <rFont val="Aptos Narrow"/>
        <scheme val="minor"/>
      </rPr>
      <t xml:space="preserve"> </t>
    </r>
  </si>
  <si>
    <t>FJPP</t>
  </si>
  <si>
    <t>JJRM</t>
  </si>
  <si>
    <t>MDVO</t>
  </si>
  <si>
    <t>Cubos</t>
  </si>
  <si>
    <t>SANTURDE, DAVID</t>
  </si>
  <si>
    <t>SMGA</t>
  </si>
  <si>
    <t>TO</t>
  </si>
  <si>
    <t>NQG</t>
  </si>
  <si>
    <t>ISCO</t>
  </si>
  <si>
    <t>SILVIU CONSTANTIN, IOSIF - NO SE RENUEVA</t>
  </si>
  <si>
    <t>Producción - BAJA</t>
  </si>
  <si>
    <t>ACJ</t>
  </si>
  <si>
    <r>
      <rPr>
        <sz val="11"/>
        <color rgb="FF000000"/>
        <rFont val="Aptos Narrow"/>
      </rPr>
      <t xml:space="preserve">CINTADO JIMENEZ, AGUEDA </t>
    </r>
    <r>
      <rPr>
        <b/>
        <sz val="11"/>
        <color rgb="FF000000"/>
        <rFont val="Aptos Narrow"/>
      </rPr>
      <t xml:space="preserve"> </t>
    </r>
  </si>
  <si>
    <t>AHG</t>
  </si>
  <si>
    <r>
      <rPr>
        <sz val="11"/>
        <color rgb="FF000000"/>
        <rFont val="Aptos Narrow"/>
      </rPr>
      <t xml:space="preserve">Producción - </t>
    </r>
    <r>
      <rPr>
        <b/>
        <sz val="11"/>
        <color rgb="FF000000"/>
        <rFont val="Aptos Narrow"/>
      </rPr>
      <t>Electricidad</t>
    </r>
  </si>
  <si>
    <t>DTF</t>
  </si>
  <si>
    <t xml:space="preserve">TAPIAS FRANCO, DANIELA  </t>
  </si>
  <si>
    <t>D</t>
  </si>
  <si>
    <t>LAC</t>
  </si>
  <si>
    <t xml:space="preserve">AGUADO CABALLERO, LUCIA   </t>
  </si>
  <si>
    <t>FJLP</t>
  </si>
  <si>
    <t>JLP</t>
  </si>
  <si>
    <r>
      <t xml:space="preserve">UREÑA PORTERO, JAVIER   </t>
    </r>
    <r>
      <rPr>
        <b/>
        <sz val="11"/>
        <color theme="1"/>
        <rFont val="Aptos Narrow"/>
      </rPr>
      <t xml:space="preserve"> Paternidad</t>
    </r>
  </si>
  <si>
    <t xml:space="preserve">HERNANDEZ, LUIS MIGUEL  </t>
  </si>
  <si>
    <t>AMGA</t>
  </si>
  <si>
    <r>
      <rPr>
        <sz val="11"/>
        <color rgb="FF000000"/>
        <rFont val="Aptos Narrow"/>
        <scheme val="minor"/>
      </rPr>
      <t>MARTIN GARCIA,  ALEJANDRO</t>
    </r>
    <r>
      <rPr>
        <b/>
        <sz val="11"/>
        <color rgb="FF000000"/>
        <rFont val="Aptos Narrow"/>
        <scheme val="minor"/>
      </rPr>
      <t xml:space="preserve"> </t>
    </r>
  </si>
  <si>
    <t>RRB</t>
  </si>
  <si>
    <t xml:space="preserve">RODRIGUEZ BERLINCHES,  REGINO   </t>
  </si>
  <si>
    <t>PJNM</t>
  </si>
  <si>
    <r>
      <rPr>
        <sz val="11"/>
        <color rgb="FF000000"/>
        <rFont val="Aptos Narrow"/>
        <scheme val="minor"/>
      </rPr>
      <t>NUNES MARIA,  PAULO JORGE</t>
    </r>
    <r>
      <rPr>
        <b/>
        <sz val="11"/>
        <color rgb="FF00B050"/>
        <rFont val="Aptos Narrow"/>
        <scheme val="minor"/>
      </rPr>
      <t xml:space="preserve">  </t>
    </r>
    <r>
      <rPr>
        <b/>
        <sz val="11"/>
        <color rgb="FF000000"/>
        <rFont val="Aptos Narrow"/>
        <scheme val="minor"/>
      </rPr>
      <t xml:space="preserve">  Vacaciones</t>
    </r>
  </si>
  <si>
    <t>VRG</t>
  </si>
  <si>
    <t xml:space="preserve">ROMERO GONZALEZ,  VICTOR </t>
  </si>
  <si>
    <t>AAOV</t>
  </si>
  <si>
    <t xml:space="preserve">APARICIO ORTEGA VILLAIZAN, ALEJANDRO  </t>
  </si>
  <si>
    <t>AAB</t>
  </si>
  <si>
    <r>
      <rPr>
        <sz val="11"/>
        <color rgb="FF000000"/>
        <rFont val="Aptos Narrow"/>
        <scheme val="minor"/>
      </rPr>
      <t xml:space="preserve">ARENAS BUIZA,  ANGEL </t>
    </r>
    <r>
      <rPr>
        <b/>
        <sz val="11"/>
        <color rgb="FF000000"/>
        <rFont val="Aptos Narrow"/>
        <scheme val="minor"/>
      </rPr>
      <t xml:space="preserve"> </t>
    </r>
  </si>
  <si>
    <t>MOH</t>
  </si>
  <si>
    <r>
      <rPr>
        <sz val="11"/>
        <color rgb="FF000000"/>
        <rFont val="Aptos Narrow"/>
      </rPr>
      <t>OCHKIF EL HELALI, MOHAMED</t>
    </r>
    <r>
      <rPr>
        <b/>
        <sz val="11"/>
        <color rgb="FF000000"/>
        <rFont val="Aptos Narrow"/>
      </rPr>
      <t xml:space="preserve"> </t>
    </r>
  </si>
  <si>
    <t>ALGN</t>
  </si>
  <si>
    <r>
      <rPr>
        <sz val="11"/>
        <color rgb="FF000000"/>
        <rFont val="Aptos Narrow"/>
        <scheme val="minor"/>
      </rPr>
      <t>GARCIA NEVES,  ALEJANDRA  (</t>
    </r>
    <r>
      <rPr>
        <b/>
        <sz val="11"/>
        <color rgb="FF000000"/>
        <rFont val="Aptos Narrow"/>
        <scheme val="minor"/>
      </rPr>
      <t>Panelado</t>
    </r>
    <r>
      <rPr>
        <sz val="11"/>
        <color rgb="FF000000"/>
        <rFont val="Aptos Narrow"/>
        <scheme val="minor"/>
      </rPr>
      <t>)</t>
    </r>
  </si>
  <si>
    <t>Producción/Panelado</t>
  </si>
  <si>
    <t>FSGR</t>
  </si>
  <si>
    <r>
      <rPr>
        <sz val="11"/>
        <color rgb="FF000000"/>
        <rFont val="Aptos Narrow"/>
      </rPr>
      <t xml:space="preserve">GONZALEZ RIOS, FRANK STIBEN </t>
    </r>
    <r>
      <rPr>
        <b/>
        <sz val="11"/>
        <color rgb="FF000000"/>
        <rFont val="Aptos Narrow"/>
      </rPr>
      <t xml:space="preserve"> </t>
    </r>
  </si>
  <si>
    <t>IFE</t>
  </si>
  <si>
    <r>
      <rPr>
        <sz val="11"/>
        <color rgb="FF000000"/>
        <rFont val="Aptos Narrow"/>
      </rPr>
      <t xml:space="preserve">IVAN FERNANDEZ ESPINOSA  </t>
    </r>
    <r>
      <rPr>
        <b/>
        <sz val="11"/>
        <color rgb="FF000000"/>
        <rFont val="Aptos Narrow"/>
      </rPr>
      <t xml:space="preserve">  </t>
    </r>
  </si>
  <si>
    <t>ROMERO , ANTONIO ALFREDO</t>
  </si>
  <si>
    <t>FMDLSM</t>
  </si>
  <si>
    <t>IBM</t>
  </si>
  <si>
    <t xml:space="preserve">BLANCO MARTIN, ISMAEL  </t>
  </si>
  <si>
    <t>JJBC</t>
  </si>
  <si>
    <t>NACR</t>
  </si>
  <si>
    <t xml:space="preserve">CASTELLANOS RODRIGUEZ, NELSON ANDRES </t>
  </si>
  <si>
    <t>ADCE</t>
  </si>
  <si>
    <r>
      <rPr>
        <sz val="11"/>
        <rFont val="Aptos Narrow"/>
        <family val="2"/>
        <charset val="1"/>
      </rPr>
      <t>DORADO DEL CERRO, AISHA</t>
    </r>
    <r>
      <rPr>
        <b/>
        <sz val="11"/>
        <rFont val="Aptos Narrow"/>
        <family val="2"/>
        <charset val="1"/>
      </rPr>
      <t xml:space="preserve"> </t>
    </r>
  </si>
  <si>
    <t>JSBC</t>
  </si>
  <si>
    <t>MBO</t>
  </si>
  <si>
    <r>
      <rPr>
        <sz val="11"/>
        <color rgb="FF000000"/>
        <rFont val="Aptos Narrow"/>
      </rPr>
      <t xml:space="preserve">BOUHAZAMA, MOHAMED </t>
    </r>
    <r>
      <rPr>
        <b/>
        <sz val="11"/>
        <color rgb="FF000000"/>
        <rFont val="Aptos Narrow"/>
      </rPr>
      <t xml:space="preserve">Pasa a L2 semana S25 - </t>
    </r>
    <r>
      <rPr>
        <b/>
        <sz val="11"/>
        <color rgb="FFFF0000"/>
        <rFont val="Aptos Narrow"/>
      </rPr>
      <t>Idioma - ¿Tecnico?</t>
    </r>
  </si>
  <si>
    <t>NCM</t>
  </si>
  <si>
    <t>RARL</t>
  </si>
  <si>
    <r>
      <rPr>
        <sz val="11"/>
        <color rgb="FF000000"/>
        <rFont val="Aptos Narrow"/>
      </rPr>
      <t xml:space="preserve">ARAGONES LOPEZ, RICARDO </t>
    </r>
    <r>
      <rPr>
        <b/>
        <sz val="11"/>
        <color rgb="FF000000"/>
        <rFont val="Aptos Narrow"/>
      </rPr>
      <t xml:space="preserve"> </t>
    </r>
  </si>
  <si>
    <t>KAGG</t>
  </si>
  <si>
    <r>
      <rPr>
        <sz val="11"/>
        <color rgb="FF000000"/>
        <rFont val="Aptos Narrow"/>
      </rPr>
      <t xml:space="preserve">GORDILLO GUERRERO, KEVIN ALEXANDER </t>
    </r>
    <r>
      <rPr>
        <b/>
        <sz val="11"/>
        <color rgb="FF000000"/>
        <rFont val="Aptos Narrow"/>
      </rPr>
      <t xml:space="preserve"> </t>
    </r>
  </si>
  <si>
    <t>JLSM</t>
  </si>
  <si>
    <t>SANCHEZ MURILLO, JOSE LUIS</t>
  </si>
  <si>
    <t>DMO</t>
  </si>
  <si>
    <t xml:space="preserve">MANZANERO OCAÑA, DAVID  </t>
  </si>
  <si>
    <t>FJRG</t>
  </si>
  <si>
    <t xml:space="preserve">RUIZ GARCIA , FRANCISCO JAVIER  </t>
  </si>
  <si>
    <t>JARA VERA,  OSCAR ANDRES</t>
  </si>
  <si>
    <t>EMJ</t>
  </si>
  <si>
    <r>
      <rPr>
        <sz val="11"/>
        <color rgb="FF000000"/>
        <rFont val="Aptos Narrow"/>
        <scheme val="minor"/>
      </rPr>
      <t xml:space="preserve">MARTIN JIMENEZ, ESTEBAN </t>
    </r>
    <r>
      <rPr>
        <b/>
        <sz val="11"/>
        <color rgb="FF000000"/>
        <rFont val="Aptos Narrow"/>
        <scheme val="minor"/>
      </rPr>
      <t xml:space="preserve"> </t>
    </r>
  </si>
  <si>
    <t>PPSC</t>
  </si>
  <si>
    <t>DSM</t>
  </si>
  <si>
    <r>
      <rPr>
        <sz val="11"/>
        <color rgb="FF000000"/>
        <rFont val="Aptos Narrow"/>
      </rPr>
      <t xml:space="preserve">SANZ MELERO, DANIEL </t>
    </r>
    <r>
      <rPr>
        <b/>
        <sz val="11"/>
        <color rgb="FF000000"/>
        <rFont val="Aptos Narrow"/>
      </rPr>
      <t xml:space="preserve"> </t>
    </r>
  </si>
  <si>
    <t>SMJ</t>
  </si>
  <si>
    <r>
      <rPr>
        <sz val="11"/>
        <color rgb="FF000000"/>
        <rFont val="Aptos Narrow"/>
      </rPr>
      <t xml:space="preserve">MARTINEZ JAIME, SEBASTIAN </t>
    </r>
    <r>
      <rPr>
        <b/>
        <sz val="11"/>
        <color rgb="FF000000"/>
        <rFont val="Aptos Narrow"/>
      </rPr>
      <t xml:space="preserve"> </t>
    </r>
  </si>
  <si>
    <t>JAPP</t>
  </si>
  <si>
    <t xml:space="preserve">PUEBLA PINILLOS, JUAN ANTONIO </t>
  </si>
  <si>
    <t>JAM</t>
  </si>
  <si>
    <t>CMOM</t>
  </si>
  <si>
    <t>JMPS</t>
  </si>
  <si>
    <r>
      <rPr>
        <sz val="11"/>
        <color rgb="FF000000"/>
        <rFont val="Aptos Narrow"/>
      </rPr>
      <t>SANCHEZ PANIAGUA,  JOSE MARIA</t>
    </r>
    <r>
      <rPr>
        <b/>
        <sz val="11"/>
        <color rgb="FF000000"/>
        <rFont val="Aptos Narrow"/>
      </rPr>
      <t xml:space="preserve">   Vacaciones</t>
    </r>
  </si>
  <si>
    <t>OHFD</t>
  </si>
  <si>
    <r>
      <rPr>
        <sz val="11"/>
        <color rgb="FF000000"/>
        <rFont val="Aptos Narrow"/>
      </rPr>
      <t xml:space="preserve">FRANCO DELGADO, OMAR HERNANDO </t>
    </r>
    <r>
      <rPr>
        <b/>
        <sz val="11"/>
        <color rgb="FF000000"/>
        <rFont val="Aptos Narrow"/>
      </rPr>
      <t xml:space="preserve"> </t>
    </r>
  </si>
  <si>
    <t>CGG</t>
  </si>
  <si>
    <r>
      <rPr>
        <sz val="11"/>
        <color rgb="FF000000"/>
        <rFont val="Aptos Narrow"/>
        <scheme val="minor"/>
      </rPr>
      <t xml:space="preserve">GARCIA GUERRA, CARLOS   </t>
    </r>
    <r>
      <rPr>
        <b/>
        <sz val="11"/>
        <color rgb="FF000000"/>
        <rFont val="Aptos Narrow"/>
        <scheme val="minor"/>
      </rPr>
      <t>(Paternidad)</t>
    </r>
  </si>
  <si>
    <t>MVN</t>
  </si>
  <si>
    <t>VILLA NICOLAS,  MARIANO</t>
  </si>
  <si>
    <t>MMP</t>
  </si>
  <si>
    <t>MONROY PRIETO, MARCOS</t>
  </si>
  <si>
    <t>BOX-ELEC</t>
  </si>
  <si>
    <t>LMA</t>
  </si>
  <si>
    <r>
      <rPr>
        <sz val="11"/>
        <color rgb="FF000000"/>
        <rFont val="Aptos Narrow"/>
      </rPr>
      <t>MORENO ARENAS, LUIS</t>
    </r>
    <r>
      <rPr>
        <b/>
        <sz val="11"/>
        <color rgb="FF000000"/>
        <rFont val="Aptos Narrow"/>
      </rPr>
      <t xml:space="preserve">  </t>
    </r>
  </si>
  <si>
    <t>LBH</t>
  </si>
  <si>
    <r>
      <rPr>
        <sz val="11"/>
        <color rgb="FF000000"/>
        <rFont val="Aptos Narrow"/>
      </rPr>
      <t xml:space="preserve">BELLON HERNANDEZ, LUIS </t>
    </r>
    <r>
      <rPr>
        <b/>
        <sz val="11"/>
        <color rgb="FF000000"/>
        <rFont val="Aptos Narrow"/>
      </rPr>
      <t xml:space="preserve"> </t>
    </r>
  </si>
  <si>
    <t>AST</t>
  </si>
  <si>
    <r>
      <rPr>
        <sz val="11"/>
        <color rgb="FF000000"/>
        <rFont val="Aptos Narrow"/>
      </rPr>
      <t xml:space="preserve">SÁNCHEZ TORREJÓN, AARÓN </t>
    </r>
    <r>
      <rPr>
        <b/>
        <sz val="11"/>
        <color rgb="FF000000"/>
        <rFont val="Aptos Narrow"/>
      </rPr>
      <t xml:space="preserve"> L5</t>
    </r>
  </si>
  <si>
    <t>Cuadros - Electricidad - T1</t>
  </si>
  <si>
    <t>Cuadors - Electricidad T2</t>
  </si>
  <si>
    <t>Cuadros-Electricidad - T3</t>
  </si>
  <si>
    <t>Cuadros-T1</t>
  </si>
  <si>
    <t>Cuadros-T2</t>
  </si>
  <si>
    <t>Cuadros-T3</t>
  </si>
  <si>
    <t>JMRT</t>
  </si>
  <si>
    <t xml:space="preserve"> RODRÍGUEZ TALAVERA, JUAN MANUEL </t>
  </si>
  <si>
    <t>á</t>
  </si>
  <si>
    <t>LECR</t>
  </si>
  <si>
    <t>JLVH</t>
  </si>
  <si>
    <t xml:space="preserve"> VEGA HERNÁNDEZ, JOSE LUIS </t>
  </si>
  <si>
    <t>MDSP</t>
  </si>
  <si>
    <t>AAA</t>
  </si>
  <si>
    <t>LTG</t>
  </si>
  <si>
    <t xml:space="preserve"> TRIVIÑO GUERRERO, LUCÍA  </t>
  </si>
  <si>
    <t>ACVA</t>
  </si>
  <si>
    <t xml:space="preserve"> VALLDIVIESO ANTON, ANA CELIA  </t>
  </si>
  <si>
    <t>FJSM</t>
  </si>
  <si>
    <t xml:space="preserve">SELLES DE MANUEL,  FRANCISCO JAVIER  </t>
  </si>
  <si>
    <t>JRE</t>
  </si>
  <si>
    <r>
      <rPr>
        <sz val="11"/>
        <color rgb="FF000000"/>
        <rFont val="Aptos Narrow"/>
      </rPr>
      <t xml:space="preserve">ROMERO ENAMORADO, JORGE  </t>
    </r>
    <r>
      <rPr>
        <b/>
        <sz val="11"/>
        <color rgb="FF000000"/>
        <rFont val="Aptos Narrow"/>
      </rPr>
      <t xml:space="preserve"> </t>
    </r>
  </si>
  <si>
    <t>ALPL</t>
  </si>
  <si>
    <t xml:space="preserve">PALOMO LOPEZ, ALFREDO  </t>
  </si>
  <si>
    <t>LSN</t>
  </si>
  <si>
    <t xml:space="preserve">SARTI NAVARRO, LIDIA </t>
  </si>
  <si>
    <t>ISB</t>
  </si>
  <si>
    <r>
      <rPr>
        <sz val="11"/>
        <color rgb="FF000000"/>
        <rFont val="Aptos Narrow"/>
      </rPr>
      <t>SOLERA RISCO, IARA</t>
    </r>
    <r>
      <rPr>
        <b/>
        <sz val="11"/>
        <color rgb="FF000000"/>
        <rFont val="Aptos Narrow"/>
      </rPr>
      <t xml:space="preserve"> </t>
    </r>
  </si>
  <si>
    <t>JLMR</t>
  </si>
  <si>
    <t>SI</t>
  </si>
  <si>
    <t>JFEA</t>
  </si>
  <si>
    <t xml:space="preserve">ESTRADA ACEVEDO, JHON FERNANDO  </t>
  </si>
  <si>
    <t>KASMI, FAYSAL  No se incorpora aun</t>
  </si>
  <si>
    <t xml:space="preserve"> </t>
  </si>
  <si>
    <t>Carmelo Valero Perez</t>
  </si>
  <si>
    <t>S</t>
  </si>
  <si>
    <t>Federico Martin Cid</t>
  </si>
  <si>
    <t>Gregorio Martinez</t>
  </si>
  <si>
    <t>Luís Lama</t>
  </si>
  <si>
    <t>Pedro Corchado</t>
  </si>
  <si>
    <t>Pedro Escudero</t>
  </si>
  <si>
    <t>Raul Bowen Oliver</t>
  </si>
  <si>
    <t>Sonia García</t>
  </si>
  <si>
    <t>Olga</t>
  </si>
  <si>
    <t>Produccion - Planificacion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</si>
</sst>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8">
    <font>
      <sz val="11"/>
      <color theme="1"/>
      <name val="Aptos Narrow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sz val="11"/>
      <color rgb="FF00B05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name val="Aptos"/>
      <family val="2"/>
      <charset val="1"/>
    </font>
    <font>
      <sz val="10"/>
      <name val="Arial"/>
      <family val="2"/>
    </font>
    <font>
      <sz val="11"/>
      <color rgb="FF000000"/>
      <name val="Aptos"/>
      <family val="2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name val="Aptos Narrow"/>
      <family val="2"/>
      <charset val="1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name val="Aptos"/>
      <family val="2"/>
    </font>
    <font>
      <sz val="11"/>
      <name val="Aptos Narrow"/>
      <family val="2"/>
      <scheme val="minor"/>
    </font>
    <font>
      <sz val="11"/>
      <color theme="1"/>
      <name val="Aptos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color rgb="FF00B050"/>
      <name val="Aptos Narrow"/>
    </font>
    <font>
      <sz val="11"/>
      <name val="Aptos Narrow"/>
    </font>
    <font>
      <b/>
      <sz val="11"/>
      <color rgb="FF000000"/>
      <name val="Aptos Narrow"/>
      <scheme val="minor"/>
    </font>
    <font>
      <b/>
      <sz val="11"/>
      <color rgb="FF00B050"/>
      <name val="Aptos Narrow"/>
      <scheme val="minor"/>
    </font>
    <font>
      <b/>
      <sz val="11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sz val="11"/>
      <color rgb="FF242424"/>
      <name val="Aptos Narrow"/>
      <family val="2"/>
      <charset val="1"/>
    </font>
    <font>
      <sz val="11"/>
      <color theme="1"/>
      <name val="Aptos"/>
      <family val="2"/>
      <charset val="1"/>
    </font>
    <font>
      <b/>
      <sz val="11"/>
      <color rgb="FFFF0000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2"/>
      <color rgb="FFFF0000"/>
      <name val="Aptos Narrow"/>
      <family val="2"/>
      <charset val="1"/>
    </font>
    <font>
      <sz val="11"/>
      <color theme="0"/>
      <name val="Aptos"/>
      <family val="2"/>
      <charset val="1"/>
    </font>
    <font>
      <b/>
      <sz val="11"/>
      <color rgb="FF000000"/>
      <name val="Aptos"/>
    </font>
    <font>
      <sz val="11"/>
      <color rgb="FF000000"/>
      <name val="Aptos"/>
    </font>
    <font>
      <b/>
      <sz val="11"/>
      <color theme="0"/>
      <name val="Arial"/>
      <charset val="1"/>
    </font>
    <font>
      <sz val="12"/>
      <color theme="1"/>
      <name val="Aptos"/>
      <family val="2"/>
      <charset val="1"/>
    </font>
    <font>
      <b/>
      <sz val="12"/>
      <color theme="1"/>
      <name val="Aptos"/>
      <family val="2"/>
      <charset val="1"/>
    </font>
    <font>
      <sz val="11"/>
      <color rgb="FF00B050"/>
      <name val="Aptos Narrow"/>
      <scheme val="minor"/>
    </font>
    <font>
      <u/>
      <sz val="11"/>
      <name val="Aptos Narrow"/>
      <family val="2"/>
      <charset val="1"/>
    </font>
    <font>
      <b/>
      <u/>
      <sz val="11"/>
      <name val="Aptos Narrow"/>
      <family val="2"/>
      <charset val="1"/>
    </font>
    <font>
      <b/>
      <sz val="11"/>
      <name val="Aptos"/>
      <family val="2"/>
      <charset val="1"/>
    </font>
    <font>
      <sz val="14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B050"/>
      <name val="Aptos Narrow"/>
    </font>
    <font>
      <b/>
      <sz val="11"/>
      <color rgb="FF000000"/>
      <name val="Aptos Narrow"/>
      <family val="2"/>
    </font>
    <font>
      <sz val="11"/>
      <name val="Aptos"/>
    </font>
    <font>
      <b/>
      <sz val="11"/>
      <color rgb="FFFF000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0000"/>
      <name val="Aptos Narrow"/>
      <charset val="1"/>
    </font>
    <font>
      <b/>
      <sz val="11"/>
      <color rgb="FF000000"/>
      <name val="Aptos Narrow"/>
      <family val="2"/>
      <charset val="1"/>
    </font>
    <font>
      <sz val="11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D9E1F2"/>
        <bgColor rgb="FFDAE9F8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FC0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0" tint="-0.249977111117893"/>
        <bgColor rgb="FFD0D0D0"/>
      </patternFill>
    </fill>
    <fill>
      <patternFill patternType="solid">
        <fgColor theme="5" tint="0.79979857783745845"/>
        <bgColor rgb="FFFBE2D5"/>
      </patternFill>
    </fill>
    <fill>
      <patternFill patternType="solid">
        <fgColor rgb="FF92D050"/>
        <bgColor rgb="FF70AD47"/>
      </patternFill>
    </fill>
    <fill>
      <patternFill patternType="solid">
        <fgColor theme="6" tint="0.79979857783745845"/>
        <bgColor rgb="FFC1F0C8"/>
      </patternFill>
    </fill>
    <fill>
      <patternFill patternType="solid">
        <fgColor rgb="FFFFFF00"/>
        <bgColor rgb="FFFFC000"/>
      </patternFill>
    </fill>
    <fill>
      <patternFill patternType="solid">
        <fgColor rgb="FFFF0000"/>
        <bgColor rgb="FF993300"/>
      </patternFill>
    </fill>
    <fill>
      <patternFill patternType="solid">
        <fgColor rgb="FFECF9E7"/>
        <bgColor rgb="FFF2F2F2"/>
      </patternFill>
    </fill>
    <fill>
      <patternFill patternType="solid">
        <fgColor rgb="FFD0D0D0"/>
        <bgColor rgb="FFD9D9D9"/>
      </patternFill>
    </fill>
    <fill>
      <patternFill patternType="solid">
        <fgColor rgb="FFF2CEEF"/>
        <bgColor rgb="FFD9D9D9"/>
      </patternFill>
    </fill>
    <fill>
      <patternFill patternType="solid">
        <fgColor rgb="FFCAEDFB"/>
        <bgColor rgb="FFDAE9F8"/>
      </patternFill>
    </fill>
    <fill>
      <patternFill patternType="solid">
        <fgColor rgb="FFFBE2D5"/>
        <bgColor rgb="FFFBE3D6"/>
      </patternFill>
    </fill>
    <fill>
      <patternFill patternType="solid">
        <fgColor rgb="FFC1F0C8"/>
        <bgColor rgb="FFC2F1C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5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12" borderId="5" xfId="0" applyFill="1" applyBorder="1" applyAlignment="1">
      <alignment horizontal="center" vertical="center"/>
    </xf>
    <xf numFmtId="0" fontId="0" fillId="13" borderId="3" xfId="0" applyFill="1" applyBorder="1" applyAlignment="1">
      <alignment horizontal="left" vertical="center"/>
    </xf>
    <xf numFmtId="0" fontId="8" fillId="13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8" borderId="3" xfId="0" applyFont="1" applyFill="1" applyBorder="1" applyAlignment="1">
      <alignment horizontal="left" vertical="center"/>
    </xf>
    <xf numFmtId="0" fontId="11" fillId="14" borderId="3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7" fillId="0" borderId="0" xfId="0" applyFont="1"/>
    <xf numFmtId="0" fontId="12" fillId="16" borderId="0" xfId="0" applyFont="1" applyFill="1" applyAlignment="1">
      <alignment vertical="center"/>
    </xf>
    <xf numFmtId="0" fontId="10" fillId="16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10" fillId="19" borderId="0" xfId="0" applyFont="1" applyFill="1" applyAlignment="1">
      <alignment vertical="center"/>
    </xf>
    <xf numFmtId="0" fontId="12" fillId="19" borderId="0" xfId="0" applyFont="1" applyFill="1" applyAlignment="1">
      <alignment vertical="center"/>
    </xf>
    <xf numFmtId="0" fontId="10" fillId="14" borderId="0" xfId="0" applyFont="1" applyFill="1" applyAlignment="1">
      <alignment vertical="center"/>
    </xf>
    <xf numFmtId="0" fontId="12" fillId="14" borderId="0" xfId="0" applyFont="1" applyFill="1" applyAlignment="1">
      <alignment vertical="center"/>
    </xf>
    <xf numFmtId="0" fontId="14" fillId="14" borderId="0" xfId="0" applyFont="1" applyFill="1" applyAlignment="1">
      <alignment vertical="center"/>
    </xf>
    <xf numFmtId="0" fontId="7" fillId="14" borderId="0" xfId="0" applyFont="1" applyFill="1" applyAlignment="1">
      <alignment vertical="center"/>
    </xf>
    <xf numFmtId="0" fontId="10" fillId="0" borderId="0" xfId="0" applyFont="1"/>
    <xf numFmtId="164" fontId="10" fillId="0" borderId="0" xfId="0" applyNumberFormat="1" applyFont="1"/>
    <xf numFmtId="0" fontId="10" fillId="0" borderId="9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13" borderId="9" xfId="0" applyFont="1" applyFill="1" applyBorder="1" applyAlignment="1">
      <alignment horizontal="left" vertical="center"/>
    </xf>
    <xf numFmtId="0" fontId="10" fillId="13" borderId="9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8" borderId="9" xfId="0" applyFont="1" applyFill="1" applyBorder="1" applyAlignment="1">
      <alignment horizontal="left" vertical="center"/>
    </xf>
    <xf numFmtId="0" fontId="10" fillId="8" borderId="0" xfId="0" applyFont="1" applyFill="1"/>
    <xf numFmtId="0" fontId="10" fillId="0" borderId="11" xfId="0" applyFont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6" borderId="9" xfId="0" applyFont="1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0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21" borderId="9" xfId="0" applyFont="1" applyFill="1" applyBorder="1" applyAlignment="1">
      <alignment horizontal="left" vertical="center"/>
    </xf>
    <xf numFmtId="0" fontId="10" fillId="21" borderId="9" xfId="0" applyFont="1" applyFill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21" fillId="21" borderId="9" xfId="0" applyFont="1" applyFill="1" applyBorder="1" applyAlignment="1">
      <alignment horizontal="left" vertical="center"/>
    </xf>
    <xf numFmtId="0" fontId="21" fillId="23" borderId="9" xfId="0" applyFont="1" applyFill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9" xfId="0" applyFont="1" applyBorder="1" applyAlignment="1">
      <alignment horizontal="center" vertical="center"/>
    </xf>
    <xf numFmtId="0" fontId="26" fillId="8" borderId="9" xfId="0" applyFont="1" applyFill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30" fillId="21" borderId="9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6" fillId="0" borderId="9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1" fillId="27" borderId="3" xfId="0" applyFont="1" applyFill="1" applyBorder="1" applyAlignment="1">
      <alignment horizontal="left" vertical="center"/>
    </xf>
    <xf numFmtId="0" fontId="11" fillId="27" borderId="4" xfId="0" applyFont="1" applyFill="1" applyBorder="1" applyAlignment="1">
      <alignment horizontal="left" vertical="center"/>
    </xf>
    <xf numFmtId="14" fontId="10" fillId="21" borderId="9" xfId="0" applyNumberFormat="1" applyFont="1" applyFill="1" applyBorder="1" applyAlignment="1">
      <alignment horizontal="center" vertical="center"/>
    </xf>
    <xf numFmtId="0" fontId="20" fillId="25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2" fillId="0" borderId="0" xfId="0" applyFont="1"/>
    <xf numFmtId="0" fontId="34" fillId="0" borderId="12" xfId="0" applyFont="1" applyBorder="1" applyAlignment="1">
      <alignment horizontal="center" vertical="center"/>
    </xf>
    <xf numFmtId="16" fontId="34" fillId="0" borderId="12" xfId="0" applyNumberFormat="1" applyFont="1" applyBorder="1" applyAlignment="1">
      <alignment horizontal="center"/>
    </xf>
    <xf numFmtId="0" fontId="22" fillId="22" borderId="0" xfId="0" applyFont="1" applyFill="1" applyAlignment="1">
      <alignment vertical="center"/>
    </xf>
    <xf numFmtId="0" fontId="20" fillId="22" borderId="0" xfId="0" applyFont="1" applyFill="1" applyAlignment="1">
      <alignment vertical="center"/>
    </xf>
    <xf numFmtId="0" fontId="21" fillId="22" borderId="0" xfId="0" applyFont="1" applyFill="1" applyAlignment="1">
      <alignment vertical="center"/>
    </xf>
    <xf numFmtId="0" fontId="22" fillId="25" borderId="0" xfId="0" applyFont="1" applyFill="1" applyAlignment="1">
      <alignment vertical="center"/>
    </xf>
    <xf numFmtId="0" fontId="21" fillId="25" borderId="0" xfId="0" applyFont="1" applyFill="1" applyAlignment="1">
      <alignment vertical="center"/>
    </xf>
    <xf numFmtId="0" fontId="12" fillId="25" borderId="0" xfId="0" applyFont="1" applyFill="1" applyAlignment="1">
      <alignment vertical="center"/>
    </xf>
    <xf numFmtId="0" fontId="20" fillId="26" borderId="0" xfId="0" applyFont="1" applyFill="1" applyAlignment="1">
      <alignment vertical="center"/>
    </xf>
    <xf numFmtId="0" fontId="22" fillId="26" borderId="0" xfId="0" applyFont="1" applyFill="1" applyAlignment="1">
      <alignment vertical="center"/>
    </xf>
    <xf numFmtId="0" fontId="21" fillId="26" borderId="0" xfId="0" applyFont="1" applyFill="1" applyAlignment="1">
      <alignment vertical="center"/>
    </xf>
    <xf numFmtId="0" fontId="33" fillId="27" borderId="0" xfId="0" applyFont="1" applyFill="1" applyAlignment="1">
      <alignment vertical="center"/>
    </xf>
    <xf numFmtId="14" fontId="0" fillId="0" borderId="0" xfId="0" applyNumberFormat="1" applyAlignment="1">
      <alignment horizontal="center"/>
    </xf>
    <xf numFmtId="0" fontId="12" fillId="0" borderId="0" xfId="0" applyFont="1" applyAlignment="1">
      <alignment vertical="center"/>
    </xf>
    <xf numFmtId="0" fontId="12" fillId="20" borderId="0" xfId="0" applyFont="1" applyFill="1" applyAlignment="1">
      <alignment vertical="center"/>
    </xf>
    <xf numFmtId="0" fontId="12" fillId="24" borderId="0" xfId="0" applyFont="1" applyFill="1" applyAlignment="1">
      <alignment vertical="center"/>
    </xf>
    <xf numFmtId="0" fontId="10" fillId="20" borderId="0" xfId="0" applyFont="1" applyFill="1" applyAlignment="1">
      <alignment vertical="center"/>
    </xf>
    <xf numFmtId="0" fontId="10" fillId="24" borderId="0" xfId="0" applyFont="1" applyFill="1" applyAlignment="1">
      <alignment vertical="center"/>
    </xf>
    <xf numFmtId="0" fontId="34" fillId="0" borderId="12" xfId="0" applyFont="1" applyBorder="1"/>
    <xf numFmtId="14" fontId="34" fillId="0" borderId="12" xfId="0" applyNumberFormat="1" applyFont="1" applyBorder="1" applyAlignment="1">
      <alignment horizontal="center"/>
    </xf>
    <xf numFmtId="0" fontId="34" fillId="0" borderId="0" xfId="0" applyFont="1"/>
    <xf numFmtId="0" fontId="9" fillId="29" borderId="0" xfId="0" applyFont="1" applyFill="1"/>
    <xf numFmtId="0" fontId="9" fillId="28" borderId="0" xfId="0" applyFont="1" applyFill="1"/>
    <xf numFmtId="0" fontId="9" fillId="26" borderId="0" xfId="0" applyFont="1" applyFill="1"/>
    <xf numFmtId="0" fontId="9" fillId="25" borderId="0" xfId="0" applyFont="1" applyFill="1"/>
    <xf numFmtId="0" fontId="9" fillId="22" borderId="0" xfId="0" applyFont="1" applyFill="1"/>
    <xf numFmtId="0" fontId="10" fillId="17" borderId="0" xfId="0" applyFont="1" applyFill="1" applyAlignment="1">
      <alignment vertical="center"/>
    </xf>
    <xf numFmtId="0" fontId="12" fillId="17" borderId="0" xfId="0" applyFont="1" applyFill="1" applyAlignment="1">
      <alignment vertical="center"/>
    </xf>
    <xf numFmtId="0" fontId="12" fillId="27" borderId="0" xfId="0" applyFont="1" applyFill="1" applyAlignment="1">
      <alignment vertical="center"/>
    </xf>
    <xf numFmtId="0" fontId="10" fillId="27" borderId="0" xfId="0" applyFont="1" applyFill="1" applyAlignment="1">
      <alignment vertical="center"/>
    </xf>
    <xf numFmtId="0" fontId="10" fillId="25" borderId="0" xfId="0" applyFont="1" applyFill="1" applyAlignment="1">
      <alignment vertical="center"/>
    </xf>
    <xf numFmtId="0" fontId="9" fillId="0" borderId="0" xfId="0" applyFont="1"/>
    <xf numFmtId="0" fontId="0" fillId="27" borderId="0" xfId="0" applyFill="1" applyAlignment="1">
      <alignment vertical="center"/>
    </xf>
    <xf numFmtId="16" fontId="8" fillId="0" borderId="12" xfId="0" applyNumberFormat="1" applyFont="1" applyBorder="1" applyAlignment="1">
      <alignment horizontal="center"/>
    </xf>
    <xf numFmtId="0" fontId="12" fillId="15" borderId="0" xfId="0" applyFont="1" applyFill="1" applyAlignment="1">
      <alignment vertical="center"/>
    </xf>
    <xf numFmtId="0" fontId="10" fillId="8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8" borderId="13" xfId="0" applyFill="1" applyBorder="1" applyAlignment="1">
      <alignment horizontal="left" vertical="center"/>
    </xf>
    <xf numFmtId="0" fontId="0" fillId="21" borderId="4" xfId="0" applyFill="1" applyBorder="1" applyAlignment="1">
      <alignment horizontal="left" vertical="center"/>
    </xf>
    <xf numFmtId="0" fontId="6" fillId="21" borderId="5" xfId="0" applyFont="1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11" fillId="27" borderId="5" xfId="0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7" borderId="3" xfId="0" applyFill="1" applyBorder="1" applyAlignment="1">
      <alignment horizontal="left" vertical="center"/>
    </xf>
    <xf numFmtId="0" fontId="35" fillId="27" borderId="3" xfId="0" applyFont="1" applyFill="1" applyBorder="1" applyAlignment="1">
      <alignment horizontal="left" vertical="center"/>
    </xf>
    <xf numFmtId="0" fontId="35" fillId="27" borderId="4" xfId="0" applyFont="1" applyFill="1" applyBorder="1" applyAlignment="1">
      <alignment horizontal="left" vertical="center"/>
    </xf>
    <xf numFmtId="0" fontId="35" fillId="27" borderId="5" xfId="0" applyFont="1" applyFill="1" applyBorder="1" applyAlignment="1">
      <alignment horizontal="center" vertical="center"/>
    </xf>
    <xf numFmtId="0" fontId="12" fillId="21" borderId="0" xfId="0" applyFont="1" applyFill="1" applyAlignment="1">
      <alignment vertical="center"/>
    </xf>
    <xf numFmtId="0" fontId="0" fillId="21" borderId="3" xfId="0" applyFill="1" applyBorder="1" applyAlignment="1">
      <alignment horizontal="left" vertical="center"/>
    </xf>
    <xf numFmtId="0" fontId="7" fillId="21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6" fillId="0" borderId="0" xfId="0" applyFont="1" applyAlignment="1">
      <alignment horizontal="left" vertical="center"/>
    </xf>
    <xf numFmtId="0" fontId="37" fillId="27" borderId="4" xfId="0" applyFont="1" applyFill="1" applyBorder="1" applyAlignment="1">
      <alignment vertical="center"/>
    </xf>
    <xf numFmtId="0" fontId="0" fillId="21" borderId="0" xfId="0" applyFill="1" applyAlignment="1">
      <alignment horizontal="left" vertical="center"/>
    </xf>
    <xf numFmtId="0" fontId="0" fillId="21" borderId="0" xfId="0" applyFill="1" applyAlignment="1">
      <alignment horizontal="center" vertical="center"/>
    </xf>
    <xf numFmtId="0" fontId="0" fillId="0" borderId="5" xfId="0" applyBorder="1"/>
    <xf numFmtId="0" fontId="0" fillId="8" borderId="7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6" fillId="21" borderId="0" xfId="0" applyFont="1" applyFill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0" fontId="25" fillId="8" borderId="4" xfId="0" applyFont="1" applyFill="1" applyBorder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7" fillId="21" borderId="0" xfId="0" applyFont="1" applyFill="1" applyAlignment="1">
      <alignment horizontal="left" vertical="center"/>
    </xf>
    <xf numFmtId="0" fontId="18" fillId="8" borderId="3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21" borderId="3" xfId="0" applyFont="1" applyFill="1" applyBorder="1" applyAlignment="1">
      <alignment horizontal="left" vertical="center"/>
    </xf>
    <xf numFmtId="0" fontId="39" fillId="0" borderId="3" xfId="0" applyFont="1" applyBorder="1" applyAlignment="1">
      <alignment vertical="center"/>
    </xf>
    <xf numFmtId="0" fontId="19" fillId="0" borderId="3" xfId="0" applyFont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0" fontId="19" fillId="8" borderId="3" xfId="0" applyFont="1" applyFill="1" applyBorder="1" applyAlignment="1">
      <alignment horizontal="left" vertical="center"/>
    </xf>
    <xf numFmtId="0" fontId="8" fillId="21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/>
    </xf>
    <xf numFmtId="0" fontId="41" fillId="0" borderId="0" xfId="0" applyFont="1"/>
    <xf numFmtId="0" fontId="41" fillId="0" borderId="0" xfId="0" quotePrefix="1" applyFont="1"/>
    <xf numFmtId="0" fontId="42" fillId="0" borderId="0" xfId="0" applyFont="1"/>
    <xf numFmtId="0" fontId="19" fillId="0" borderId="0" xfId="0" applyFont="1" applyAlignment="1">
      <alignment horizontal="center" vertical="center"/>
    </xf>
    <xf numFmtId="0" fontId="11" fillId="30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0" fillId="0" borderId="12" xfId="0" applyBorder="1"/>
    <xf numFmtId="0" fontId="10" fillId="31" borderId="9" xfId="0" applyFont="1" applyFill="1" applyBorder="1" applyAlignment="1">
      <alignment horizontal="center" vertical="center"/>
    </xf>
    <xf numFmtId="0" fontId="26" fillId="23" borderId="9" xfId="0" applyFont="1" applyFill="1" applyBorder="1" applyAlignment="1">
      <alignment horizontal="left" vertical="center"/>
    </xf>
    <xf numFmtId="0" fontId="16" fillId="0" borderId="17" xfId="0" applyFont="1" applyBorder="1" applyAlignment="1">
      <alignment horizontal="center" vertical="center"/>
    </xf>
    <xf numFmtId="0" fontId="10" fillId="13" borderId="14" xfId="0" applyFont="1" applyFill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0" fillId="13" borderId="18" xfId="0" applyNumberFormat="1" applyFont="1" applyFill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0" fontId="10" fillId="21" borderId="12" xfId="0" applyFont="1" applyFill="1" applyBorder="1" applyAlignment="1">
      <alignment horizontal="center" vertical="center"/>
    </xf>
    <xf numFmtId="0" fontId="17" fillId="31" borderId="9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10" fillId="21" borderId="14" xfId="0" applyFont="1" applyFill="1" applyBorder="1" applyAlignment="1">
      <alignment horizontal="center" vertical="center"/>
    </xf>
    <xf numFmtId="14" fontId="10" fillId="21" borderId="18" xfId="0" applyNumberFormat="1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0" fontId="46" fillId="16" borderId="0" xfId="0" applyFont="1" applyFill="1" applyAlignment="1">
      <alignment vertical="center"/>
    </xf>
    <xf numFmtId="0" fontId="10" fillId="0" borderId="22" xfId="0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0" fontId="18" fillId="8" borderId="9" xfId="0" applyFont="1" applyFill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0" fillId="23" borderId="3" xfId="0" applyFill="1" applyBorder="1" applyAlignment="1">
      <alignment horizontal="left" vertical="center"/>
    </xf>
    <xf numFmtId="0" fontId="0" fillId="23" borderId="4" xfId="0" applyFill="1" applyBorder="1" applyAlignment="1">
      <alignment horizontal="left" vertical="center"/>
    </xf>
    <xf numFmtId="0" fontId="6" fillId="23" borderId="5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48" fillId="0" borderId="0" xfId="0" applyFont="1"/>
    <xf numFmtId="0" fontId="3" fillId="23" borderId="0" xfId="0" applyFont="1" applyFill="1" applyAlignment="1">
      <alignment horizontal="center" vertical="center" wrapText="1"/>
    </xf>
    <xf numFmtId="0" fontId="0" fillId="23" borderId="0" xfId="0" applyFill="1"/>
    <xf numFmtId="0" fontId="40" fillId="32" borderId="1" xfId="0" applyFont="1" applyFill="1" applyBorder="1" applyAlignment="1">
      <alignment horizontal="center" vertical="center"/>
    </xf>
    <xf numFmtId="0" fontId="40" fillId="32" borderId="1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21" fillId="23" borderId="0" xfId="0" applyFont="1" applyFill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30" fillId="23" borderId="9" xfId="0" applyFont="1" applyFill="1" applyBorder="1" applyAlignment="1">
      <alignment horizontal="left" vertical="center"/>
    </xf>
    <xf numFmtId="0" fontId="18" fillId="0" borderId="0" xfId="0" applyFont="1"/>
    <xf numFmtId="0" fontId="26" fillId="8" borderId="0" xfId="0" applyFont="1" applyFill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10" fillId="23" borderId="9" xfId="0" applyFont="1" applyFill="1" applyBorder="1" applyAlignment="1">
      <alignment horizontal="center" vertical="center"/>
    </xf>
    <xf numFmtId="0" fontId="17" fillId="23" borderId="9" xfId="0" applyFont="1" applyFill="1" applyBorder="1" applyAlignment="1">
      <alignment horizontal="center" vertical="center"/>
    </xf>
    <xf numFmtId="0" fontId="10" fillId="23" borderId="9" xfId="0" applyFont="1" applyFill="1" applyBorder="1" applyAlignment="1">
      <alignment horizontal="left" vertical="center"/>
    </xf>
    <xf numFmtId="0" fontId="10" fillId="23" borderId="14" xfId="0" applyFont="1" applyFill="1" applyBorder="1" applyAlignment="1">
      <alignment horizontal="center" vertical="center"/>
    </xf>
    <xf numFmtId="0" fontId="10" fillId="23" borderId="12" xfId="0" applyFont="1" applyFill="1" applyBorder="1" applyAlignment="1">
      <alignment horizontal="center" vertical="center"/>
    </xf>
    <xf numFmtId="14" fontId="10" fillId="23" borderId="18" xfId="0" applyNumberFormat="1" applyFont="1" applyFill="1" applyBorder="1" applyAlignment="1">
      <alignment horizontal="center" vertical="center"/>
    </xf>
    <xf numFmtId="0" fontId="18" fillId="23" borderId="9" xfId="0" applyFont="1" applyFill="1" applyBorder="1" applyAlignment="1">
      <alignment horizontal="left" vertical="center"/>
    </xf>
    <xf numFmtId="0" fontId="10" fillId="23" borderId="26" xfId="0" applyFont="1" applyFill="1" applyBorder="1" applyAlignment="1">
      <alignment horizontal="center" vertical="center"/>
    </xf>
    <xf numFmtId="0" fontId="24" fillId="23" borderId="9" xfId="0" applyFont="1" applyFill="1" applyBorder="1" applyAlignment="1">
      <alignment horizontal="left" vertical="center"/>
    </xf>
    <xf numFmtId="0" fontId="24" fillId="23" borderId="9" xfId="0" applyFont="1" applyFill="1" applyBorder="1" applyAlignment="1">
      <alignment horizontal="center" vertical="center"/>
    </xf>
    <xf numFmtId="0" fontId="24" fillId="23" borderId="14" xfId="0" applyFont="1" applyFill="1" applyBorder="1" applyAlignment="1">
      <alignment horizontal="center" vertical="center"/>
    </xf>
    <xf numFmtId="0" fontId="31" fillId="23" borderId="9" xfId="0" applyFont="1" applyFill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0" fontId="50" fillId="0" borderId="1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47" fillId="0" borderId="0" xfId="0" applyFont="1"/>
    <xf numFmtId="0" fontId="0" fillId="0" borderId="9" xfId="0" applyBorder="1"/>
    <xf numFmtId="0" fontId="18" fillId="21" borderId="9" xfId="0" applyFont="1" applyFill="1" applyBorder="1" applyAlignment="1">
      <alignment horizontal="left" vertical="center"/>
    </xf>
    <xf numFmtId="0" fontId="10" fillId="23" borderId="12" xfId="0" applyFont="1" applyFill="1" applyBorder="1" applyAlignment="1">
      <alignment horizontal="left" vertical="center"/>
    </xf>
    <xf numFmtId="0" fontId="14" fillId="33" borderId="12" xfId="0" applyFont="1" applyFill="1" applyBorder="1"/>
    <xf numFmtId="0" fontId="10" fillId="23" borderId="18" xfId="0" applyFont="1" applyFill="1" applyBorder="1" applyAlignment="1">
      <alignment horizontal="left" vertical="center"/>
    </xf>
    <xf numFmtId="0" fontId="10" fillId="23" borderId="15" xfId="0" applyFont="1" applyFill="1" applyBorder="1" applyAlignment="1">
      <alignment horizontal="left" vertical="center"/>
    </xf>
    <xf numFmtId="0" fontId="10" fillId="23" borderId="27" xfId="0" applyFont="1" applyFill="1" applyBorder="1" applyAlignment="1">
      <alignment horizontal="center" vertical="center"/>
    </xf>
    <xf numFmtId="0" fontId="17" fillId="23" borderId="27" xfId="0" applyFont="1" applyFill="1" applyBorder="1" applyAlignment="1">
      <alignment horizontal="center" vertical="center"/>
    </xf>
    <xf numFmtId="0" fontId="21" fillId="23" borderId="27" xfId="0" applyFont="1" applyFill="1" applyBorder="1" applyAlignment="1">
      <alignment horizontal="left" vertical="center"/>
    </xf>
    <xf numFmtId="0" fontId="10" fillId="23" borderId="27" xfId="0" applyFont="1" applyFill="1" applyBorder="1" applyAlignment="1">
      <alignment horizontal="left" vertical="center"/>
    </xf>
    <xf numFmtId="0" fontId="5" fillId="32" borderId="1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14" fontId="31" fillId="0" borderId="18" xfId="0" applyNumberFormat="1" applyFont="1" applyBorder="1" applyAlignment="1">
      <alignment horizontal="center" vertical="center"/>
    </xf>
    <xf numFmtId="0" fontId="18" fillId="23" borderId="0" xfId="0" applyFont="1" applyFill="1" applyAlignment="1">
      <alignment horizontal="left" vertical="center"/>
    </xf>
    <xf numFmtId="0" fontId="30" fillId="26" borderId="9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22" borderId="0" xfId="0" applyFont="1" applyFill="1" applyAlignment="1">
      <alignment horizontal="left" vertical="center"/>
    </xf>
    <xf numFmtId="0" fontId="51" fillId="22" borderId="0" xfId="0" applyFont="1" applyFill="1" applyAlignment="1">
      <alignment vertical="center"/>
    </xf>
    <xf numFmtId="14" fontId="51" fillId="22" borderId="0" xfId="0" applyNumberFormat="1" applyFont="1" applyFill="1" applyAlignment="1">
      <alignment vertical="center"/>
    </xf>
    <xf numFmtId="0" fontId="0" fillId="22" borderId="0" xfId="0" applyFill="1"/>
    <xf numFmtId="14" fontId="10" fillId="20" borderId="0" xfId="0" applyNumberFormat="1" applyFont="1" applyFill="1" applyAlignment="1">
      <alignment vertical="center"/>
    </xf>
    <xf numFmtId="14" fontId="0" fillId="27" borderId="0" xfId="0" applyNumberFormat="1" applyFill="1" applyAlignment="1">
      <alignment vertical="center"/>
    </xf>
    <xf numFmtId="14" fontId="10" fillId="14" borderId="0" xfId="0" applyNumberFormat="1" applyFont="1" applyFill="1" applyAlignment="1">
      <alignment vertical="center"/>
    </xf>
    <xf numFmtId="14" fontId="14" fillId="14" borderId="0" xfId="0" applyNumberFormat="1" applyFont="1" applyFill="1" applyAlignment="1">
      <alignment vertical="center"/>
    </xf>
    <xf numFmtId="14" fontId="7" fillId="14" borderId="0" xfId="0" applyNumberFormat="1" applyFont="1" applyFill="1" applyAlignment="1">
      <alignment vertical="center"/>
    </xf>
    <xf numFmtId="14" fontId="12" fillId="27" borderId="0" xfId="0" applyNumberFormat="1" applyFont="1" applyFill="1" applyAlignment="1">
      <alignment vertical="center"/>
    </xf>
    <xf numFmtId="14" fontId="10" fillId="27" borderId="0" xfId="0" applyNumberFormat="1" applyFont="1" applyFill="1" applyAlignment="1">
      <alignment vertical="center"/>
    </xf>
    <xf numFmtId="14" fontId="10" fillId="16" borderId="0" xfId="0" applyNumberFormat="1" applyFont="1" applyFill="1" applyAlignment="1">
      <alignment vertical="center"/>
    </xf>
    <xf numFmtId="14" fontId="12" fillId="16" borderId="0" xfId="0" applyNumberFormat="1" applyFont="1" applyFill="1" applyAlignment="1">
      <alignment vertical="center"/>
    </xf>
    <xf numFmtId="14" fontId="21" fillId="25" borderId="0" xfId="0" applyNumberFormat="1" applyFont="1" applyFill="1" applyAlignment="1">
      <alignment vertical="center"/>
    </xf>
    <xf numFmtId="14" fontId="12" fillId="25" borderId="0" xfId="0" applyNumberFormat="1" applyFont="1" applyFill="1" applyAlignment="1">
      <alignment vertical="center"/>
    </xf>
    <xf numFmtId="14" fontId="10" fillId="18" borderId="0" xfId="0" applyNumberFormat="1" applyFont="1" applyFill="1" applyAlignment="1">
      <alignment vertical="center"/>
    </xf>
    <xf numFmtId="14" fontId="10" fillId="19" borderId="0" xfId="0" applyNumberFormat="1" applyFont="1" applyFill="1" applyAlignment="1">
      <alignment vertical="center"/>
    </xf>
    <xf numFmtId="14" fontId="12" fillId="19" borderId="0" xfId="0" applyNumberFormat="1" applyFont="1" applyFill="1" applyAlignment="1">
      <alignment vertical="center"/>
    </xf>
    <xf numFmtId="14" fontId="21" fillId="26" borderId="0" xfId="0" applyNumberFormat="1" applyFont="1" applyFill="1" applyAlignment="1">
      <alignment vertical="center"/>
    </xf>
    <xf numFmtId="14" fontId="10" fillId="17" borderId="0" xfId="0" applyNumberFormat="1" applyFont="1" applyFill="1" applyAlignment="1">
      <alignment vertical="center"/>
    </xf>
    <xf numFmtId="14" fontId="21" fillId="22" borderId="0" xfId="0" applyNumberFormat="1" applyFont="1" applyFill="1" applyAlignment="1">
      <alignment vertical="center"/>
    </xf>
    <xf numFmtId="14" fontId="10" fillId="24" borderId="0" xfId="0" applyNumberFormat="1" applyFont="1" applyFill="1" applyAlignment="1">
      <alignment vertical="center"/>
    </xf>
    <xf numFmtId="0" fontId="48" fillId="21" borderId="0" xfId="0" applyFont="1" applyFill="1"/>
    <xf numFmtId="0" fontId="10" fillId="0" borderId="21" xfId="0" applyFont="1" applyBorder="1" applyAlignment="1">
      <alignment horizontal="center" vertical="center"/>
    </xf>
    <xf numFmtId="0" fontId="53" fillId="21" borderId="9" xfId="0" applyFont="1" applyFill="1" applyBorder="1" applyAlignment="1">
      <alignment horizontal="left" vertical="center"/>
    </xf>
    <xf numFmtId="0" fontId="0" fillId="21" borderId="9" xfId="0" applyFill="1" applyBorder="1" applyAlignment="1">
      <alignment horizontal="left" vertical="center"/>
    </xf>
    <xf numFmtId="0" fontId="0" fillId="21" borderId="9" xfId="0" applyFill="1" applyBorder="1" applyAlignment="1">
      <alignment horizontal="center" vertical="center"/>
    </xf>
    <xf numFmtId="14" fontId="0" fillId="21" borderId="18" xfId="0" applyNumberFormat="1" applyFill="1" applyBorder="1" applyAlignment="1">
      <alignment horizontal="center" vertical="center"/>
    </xf>
    <xf numFmtId="16" fontId="34" fillId="0" borderId="0" xfId="0" applyNumberFormat="1" applyFont="1" applyAlignment="1">
      <alignment horizontal="center"/>
    </xf>
    <xf numFmtId="0" fontId="18" fillId="21" borderId="12" xfId="0" applyFont="1" applyFill="1" applyBorder="1" applyAlignment="1">
      <alignment horizontal="left" vertical="center"/>
    </xf>
    <xf numFmtId="0" fontId="17" fillId="21" borderId="9" xfId="0" applyFont="1" applyFill="1" applyBorder="1" applyAlignment="1">
      <alignment horizontal="center" vertical="center"/>
    </xf>
    <xf numFmtId="0" fontId="17" fillId="21" borderId="14" xfId="0" applyFont="1" applyFill="1" applyBorder="1" applyAlignment="1">
      <alignment horizontal="center" vertical="center"/>
    </xf>
    <xf numFmtId="0" fontId="0" fillId="21" borderId="0" xfId="0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48" fillId="21" borderId="0" xfId="0" applyFont="1" applyFill="1" applyAlignment="1">
      <alignment horizont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4" fillId="34" borderId="9" xfId="0" applyFont="1" applyFill="1" applyBorder="1" applyAlignment="1">
      <alignment horizontal="left" vertical="center"/>
    </xf>
    <xf numFmtId="0" fontId="44" fillId="21" borderId="9" xfId="0" applyFont="1" applyFill="1" applyBorder="1" applyAlignment="1">
      <alignment horizontal="center" vertical="center"/>
    </xf>
    <xf numFmtId="0" fontId="45" fillId="21" borderId="9" xfId="0" applyFont="1" applyFill="1" applyBorder="1" applyAlignment="1">
      <alignment horizontal="center" vertical="center"/>
    </xf>
    <xf numFmtId="0" fontId="10" fillId="34" borderId="9" xfId="0" applyFont="1" applyFill="1" applyBorder="1" applyAlignment="1">
      <alignment horizontal="left" vertical="center"/>
    </xf>
    <xf numFmtId="0" fontId="24" fillId="34" borderId="9" xfId="0" applyFont="1" applyFill="1" applyBorder="1" applyAlignment="1">
      <alignment horizontal="center" vertical="center"/>
    </xf>
    <xf numFmtId="14" fontId="10" fillId="34" borderId="18" xfId="0" applyNumberFormat="1" applyFont="1" applyFill="1" applyBorder="1" applyAlignment="1">
      <alignment horizontal="center" vertical="center"/>
    </xf>
    <xf numFmtId="0" fontId="10" fillId="34" borderId="9" xfId="0" applyFont="1" applyFill="1" applyBorder="1" applyAlignment="1">
      <alignment horizontal="center" vertical="center"/>
    </xf>
    <xf numFmtId="0" fontId="29" fillId="34" borderId="9" xfId="0" applyFont="1" applyFill="1" applyBorder="1" applyAlignment="1">
      <alignment horizontal="left" vertical="center"/>
    </xf>
    <xf numFmtId="0" fontId="10" fillId="34" borderId="14" xfId="0" applyFont="1" applyFill="1" applyBorder="1" applyAlignment="1">
      <alignment horizontal="center" vertical="center"/>
    </xf>
    <xf numFmtId="0" fontId="17" fillId="21" borderId="12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left" vertical="center"/>
    </xf>
    <xf numFmtId="0" fontId="10" fillId="2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/>
    </xf>
    <xf numFmtId="0" fontId="55" fillId="21" borderId="0" xfId="0" applyFont="1" applyFill="1" applyAlignment="1">
      <alignment horizontal="center"/>
    </xf>
    <xf numFmtId="0" fontId="55" fillId="21" borderId="0" xfId="0" applyFont="1" applyFill="1"/>
    <xf numFmtId="0" fontId="9" fillId="21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26" borderId="9" xfId="0" applyFont="1" applyFill="1" applyBorder="1" applyAlignment="1">
      <alignment horizontal="left" vertical="center"/>
    </xf>
    <xf numFmtId="0" fontId="10" fillId="26" borderId="9" xfId="0" applyFont="1" applyFill="1" applyBorder="1" applyAlignment="1">
      <alignment horizontal="left" vertical="center"/>
    </xf>
    <xf numFmtId="0" fontId="10" fillId="26" borderId="9" xfId="0" applyFont="1" applyFill="1" applyBorder="1" applyAlignment="1">
      <alignment horizontal="center" vertical="center"/>
    </xf>
    <xf numFmtId="0" fontId="10" fillId="26" borderId="14" xfId="0" applyFont="1" applyFill="1" applyBorder="1" applyAlignment="1">
      <alignment horizontal="center" vertical="center"/>
    </xf>
    <xf numFmtId="14" fontId="10" fillId="26" borderId="18" xfId="0" applyNumberFormat="1" applyFont="1" applyFill="1" applyBorder="1" applyAlignment="1">
      <alignment horizontal="center" vertical="center"/>
    </xf>
    <xf numFmtId="0" fontId="10" fillId="35" borderId="14" xfId="0" applyFont="1" applyFill="1" applyBorder="1" applyAlignment="1">
      <alignment horizontal="center" vertical="center"/>
    </xf>
    <xf numFmtId="0" fontId="10" fillId="35" borderId="12" xfId="0" applyFont="1" applyFill="1" applyBorder="1" applyAlignment="1">
      <alignment horizontal="center" vertical="center"/>
    </xf>
    <xf numFmtId="14" fontId="10" fillId="35" borderId="18" xfId="0" applyNumberFormat="1" applyFont="1" applyFill="1" applyBorder="1" applyAlignment="1">
      <alignment horizontal="center" vertical="center"/>
    </xf>
    <xf numFmtId="0" fontId="10" fillId="36" borderId="9" xfId="0" applyFont="1" applyFill="1" applyBorder="1" applyAlignment="1">
      <alignment horizontal="center" vertical="center"/>
    </xf>
    <xf numFmtId="0" fontId="17" fillId="36" borderId="9" xfId="0" applyFont="1" applyFill="1" applyBorder="1" applyAlignment="1">
      <alignment horizontal="center" vertical="center"/>
    </xf>
    <xf numFmtId="0" fontId="17" fillId="36" borderId="9" xfId="0" applyFont="1" applyFill="1" applyBorder="1" applyAlignment="1">
      <alignment horizontal="left" vertical="center"/>
    </xf>
    <xf numFmtId="0" fontId="10" fillId="36" borderId="9" xfId="0" applyFont="1" applyFill="1" applyBorder="1" applyAlignment="1">
      <alignment horizontal="left" vertical="center"/>
    </xf>
    <xf numFmtId="0" fontId="17" fillId="36" borderId="14" xfId="0" applyFont="1" applyFill="1" applyBorder="1" applyAlignment="1">
      <alignment horizontal="center" vertical="center"/>
    </xf>
    <xf numFmtId="0" fontId="10" fillId="36" borderId="12" xfId="0" applyFont="1" applyFill="1" applyBorder="1" applyAlignment="1">
      <alignment horizontal="center" vertical="center"/>
    </xf>
    <xf numFmtId="14" fontId="17" fillId="36" borderId="25" xfId="0" applyNumberFormat="1" applyFont="1" applyFill="1" applyBorder="1" applyAlignment="1">
      <alignment horizontal="center" vertical="center"/>
    </xf>
    <xf numFmtId="0" fontId="23" fillId="36" borderId="9" xfId="0" applyFont="1" applyFill="1" applyBorder="1" applyAlignment="1">
      <alignment horizontal="left" vertical="center"/>
    </xf>
    <xf numFmtId="0" fontId="24" fillId="36" borderId="9" xfId="0" applyFont="1" applyFill="1" applyBorder="1" applyAlignment="1">
      <alignment horizontal="left" vertical="center"/>
    </xf>
    <xf numFmtId="0" fontId="24" fillId="36" borderId="9" xfId="0" applyFont="1" applyFill="1" applyBorder="1" applyAlignment="1">
      <alignment horizontal="center" vertical="center"/>
    </xf>
    <xf numFmtId="0" fontId="24" fillId="36" borderId="14" xfId="0" applyFont="1" applyFill="1" applyBorder="1" applyAlignment="1">
      <alignment horizontal="center" vertical="center"/>
    </xf>
    <xf numFmtId="14" fontId="10" fillId="36" borderId="18" xfId="0" applyNumberFormat="1" applyFont="1" applyFill="1" applyBorder="1" applyAlignment="1">
      <alignment horizontal="center" vertical="center"/>
    </xf>
    <xf numFmtId="14" fontId="17" fillId="36" borderId="18" xfId="0" applyNumberFormat="1" applyFont="1" applyFill="1" applyBorder="1" applyAlignment="1">
      <alignment horizontal="center" vertical="center"/>
    </xf>
    <xf numFmtId="0" fontId="9" fillId="36" borderId="9" xfId="0" applyFont="1" applyFill="1" applyBorder="1" applyAlignment="1">
      <alignment horizontal="center" vertical="center"/>
    </xf>
    <xf numFmtId="0" fontId="44" fillId="36" borderId="9" xfId="0" applyFont="1" applyFill="1" applyBorder="1" applyAlignment="1">
      <alignment horizontal="center" vertical="center"/>
    </xf>
    <xf numFmtId="0" fontId="45" fillId="36" borderId="9" xfId="0" applyFont="1" applyFill="1" applyBorder="1" applyAlignment="1">
      <alignment horizontal="center" vertical="center"/>
    </xf>
    <xf numFmtId="0" fontId="10" fillId="36" borderId="14" xfId="0" applyFont="1" applyFill="1" applyBorder="1" applyAlignment="1">
      <alignment horizontal="center" vertical="center"/>
    </xf>
    <xf numFmtId="0" fontId="18" fillId="36" borderId="9" xfId="0" applyFont="1" applyFill="1" applyBorder="1" applyAlignment="1">
      <alignment horizontal="left" vertical="center"/>
    </xf>
    <xf numFmtId="0" fontId="18" fillId="35" borderId="9" xfId="0" applyFont="1" applyFill="1" applyBorder="1" applyAlignment="1">
      <alignment horizontal="left" vertical="center"/>
    </xf>
    <xf numFmtId="0" fontId="10" fillId="35" borderId="9" xfId="0" applyFont="1" applyFill="1" applyBorder="1" applyAlignment="1">
      <alignment horizontal="left" vertical="center"/>
    </xf>
    <xf numFmtId="0" fontId="10" fillId="35" borderId="9" xfId="0" applyFont="1" applyFill="1" applyBorder="1" applyAlignment="1">
      <alignment horizontal="center" vertical="center"/>
    </xf>
    <xf numFmtId="0" fontId="19" fillId="35" borderId="9" xfId="0" applyFont="1" applyFill="1" applyBorder="1" applyAlignment="1">
      <alignment horizontal="left" vertical="center"/>
    </xf>
    <xf numFmtId="14" fontId="10" fillId="35" borderId="25" xfId="0" applyNumberFormat="1" applyFont="1" applyFill="1" applyBorder="1" applyAlignment="1">
      <alignment horizontal="center" vertical="center"/>
    </xf>
    <xf numFmtId="0" fontId="17" fillId="35" borderId="9" xfId="0" applyFont="1" applyFill="1" applyBorder="1" applyAlignment="1">
      <alignment horizontal="left" vertical="center"/>
    </xf>
    <xf numFmtId="0" fontId="17" fillId="35" borderId="9" xfId="0" applyFont="1" applyFill="1" applyBorder="1" applyAlignment="1">
      <alignment horizontal="center" vertical="center"/>
    </xf>
    <xf numFmtId="0" fontId="17" fillId="35" borderId="14" xfId="0" applyFont="1" applyFill="1" applyBorder="1" applyAlignment="1">
      <alignment horizontal="center" vertical="center"/>
    </xf>
    <xf numFmtId="14" fontId="17" fillId="35" borderId="18" xfId="0" applyNumberFormat="1" applyFont="1" applyFill="1" applyBorder="1" applyAlignment="1">
      <alignment horizontal="center" vertical="center"/>
    </xf>
    <xf numFmtId="0" fontId="26" fillId="35" borderId="9" xfId="0" applyFont="1" applyFill="1" applyBorder="1" applyAlignment="1">
      <alignment horizontal="left" vertical="center"/>
    </xf>
    <xf numFmtId="0" fontId="7" fillId="35" borderId="9" xfId="0" applyFont="1" applyFill="1" applyBorder="1" applyAlignment="1">
      <alignment horizontal="left" vertical="center"/>
    </xf>
    <xf numFmtId="0" fontId="39" fillId="35" borderId="9" xfId="0" applyFont="1" applyFill="1" applyBorder="1"/>
    <xf numFmtId="0" fontId="9" fillId="21" borderId="0" xfId="0" applyFont="1" applyFill="1" applyAlignment="1">
      <alignment horizontal="left"/>
    </xf>
    <xf numFmtId="0" fontId="17" fillId="23" borderId="0" xfId="0" applyFont="1" applyFill="1" applyAlignment="1">
      <alignment horizontal="center" vertical="center"/>
    </xf>
    <xf numFmtId="0" fontId="56" fillId="21" borderId="0" xfId="0" applyFont="1" applyFill="1"/>
    <xf numFmtId="0" fontId="0" fillId="27" borderId="0" xfId="0" applyFill="1"/>
    <xf numFmtId="0" fontId="9" fillId="27" borderId="0" xfId="0" applyFont="1" applyFill="1"/>
    <xf numFmtId="0" fontId="7" fillId="27" borderId="0" xfId="0" applyFont="1" applyFill="1"/>
    <xf numFmtId="0" fontId="9" fillId="25" borderId="0" xfId="0" applyFont="1" applyFill="1" applyAlignment="1">
      <alignment horizontal="center"/>
    </xf>
    <xf numFmtId="0" fontId="12" fillId="26" borderId="0" xfId="0" applyFont="1" applyFill="1" applyAlignment="1">
      <alignment vertical="center"/>
    </xf>
    <xf numFmtId="0" fontId="9" fillId="26" borderId="0" xfId="0" applyFont="1" applyFill="1" applyAlignment="1">
      <alignment horizontal="center"/>
    </xf>
    <xf numFmtId="0" fontId="0" fillId="21" borderId="0" xfId="0" applyFill="1"/>
    <xf numFmtId="0" fontId="12" fillId="37" borderId="0" xfId="0" applyFont="1" applyFill="1" applyAlignment="1">
      <alignment vertical="center"/>
    </xf>
    <xf numFmtId="0" fontId="0" fillId="37" borderId="0" xfId="0" applyFill="1"/>
    <xf numFmtId="0" fontId="0" fillId="29" borderId="0" xfId="0" applyFill="1"/>
    <xf numFmtId="0" fontId="20" fillId="29" borderId="0" xfId="0" applyFont="1" applyFill="1" applyAlignment="1">
      <alignment vertical="center"/>
    </xf>
    <xf numFmtId="14" fontId="20" fillId="29" borderId="0" xfId="0" applyNumberFormat="1" applyFont="1" applyFill="1" applyAlignment="1">
      <alignment vertical="center"/>
    </xf>
    <xf numFmtId="14" fontId="20" fillId="26" borderId="0" xfId="0" applyNumberFormat="1" applyFont="1" applyFill="1" applyAlignment="1">
      <alignment vertical="center"/>
    </xf>
    <xf numFmtId="0" fontId="0" fillId="26" borderId="0" xfId="0" applyFill="1"/>
    <xf numFmtId="0" fontId="9" fillId="22" borderId="0" xfId="0" applyFont="1" applyFill="1" applyAlignment="1">
      <alignment horizontal="center"/>
    </xf>
    <xf numFmtId="0" fontId="0" fillId="21" borderId="0" xfId="0" applyFill="1" applyAlignment="1">
      <alignment horizontal="left"/>
    </xf>
    <xf numFmtId="0" fontId="0" fillId="0" borderId="0" xfId="0" applyAlignment="1">
      <alignment horizontal="left"/>
    </xf>
    <xf numFmtId="0" fontId="3" fillId="3" borderId="28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8" fillId="22" borderId="0" xfId="0" applyFont="1" applyFill="1" applyAlignment="1">
      <alignment horizontal="left" vertical="center"/>
    </xf>
    <xf numFmtId="0" fontId="18" fillId="27" borderId="9" xfId="0" applyFont="1" applyFill="1" applyBorder="1" applyAlignment="1">
      <alignment horizontal="left" vertical="center"/>
    </xf>
    <xf numFmtId="0" fontId="10" fillId="27" borderId="9" xfId="0" applyFont="1" applyFill="1" applyBorder="1" applyAlignment="1">
      <alignment horizontal="left" vertical="center"/>
    </xf>
    <xf numFmtId="0" fontId="18" fillId="23" borderId="12" xfId="0" applyFont="1" applyFill="1" applyBorder="1" applyAlignment="1">
      <alignment horizontal="left" vertical="center"/>
    </xf>
    <xf numFmtId="0" fontId="17" fillId="38" borderId="9" xfId="0" applyFont="1" applyFill="1" applyBorder="1" applyAlignment="1">
      <alignment horizontal="center" vertical="center"/>
    </xf>
    <xf numFmtId="0" fontId="55" fillId="21" borderId="0" xfId="0" applyFont="1" applyFill="1" applyAlignment="1">
      <alignment horizontal="left"/>
    </xf>
    <xf numFmtId="0" fontId="29" fillId="23" borderId="9" xfId="0" applyFont="1" applyFill="1" applyBorder="1" applyAlignment="1">
      <alignment horizontal="left" vertical="center"/>
    </xf>
    <xf numFmtId="0" fontId="22" fillId="27" borderId="0" xfId="0" applyFont="1" applyFill="1" applyAlignment="1">
      <alignment vertical="center"/>
    </xf>
    <xf numFmtId="0" fontId="57" fillId="27" borderId="0" xfId="0" applyFont="1" applyFill="1" applyAlignment="1">
      <alignment vertical="center"/>
    </xf>
    <xf numFmtId="14" fontId="57" fillId="27" borderId="0" xfId="0" applyNumberFormat="1" applyFont="1" applyFill="1" applyAlignment="1">
      <alignment vertical="center"/>
    </xf>
    <xf numFmtId="0" fontId="9" fillId="27" borderId="0" xfId="0" applyFont="1" applyFill="1" applyAlignment="1">
      <alignment horizontal="center"/>
    </xf>
    <xf numFmtId="0" fontId="20" fillId="27" borderId="0" xfId="0" applyFont="1" applyFill="1" applyAlignment="1">
      <alignment vertical="center"/>
    </xf>
    <xf numFmtId="0" fontId="21" fillId="27" borderId="0" xfId="0" applyFont="1" applyFill="1" applyAlignment="1">
      <alignment vertical="center"/>
    </xf>
    <xf numFmtId="14" fontId="21" fillId="27" borderId="0" xfId="0" applyNumberFormat="1" applyFont="1" applyFill="1" applyAlignment="1">
      <alignment vertical="center"/>
    </xf>
    <xf numFmtId="14" fontId="10" fillId="35" borderId="12" xfId="0" applyNumberFormat="1" applyFont="1" applyFill="1" applyBorder="1" applyAlignment="1">
      <alignment horizontal="center" vertical="center"/>
    </xf>
    <xf numFmtId="14" fontId="17" fillId="35" borderId="12" xfId="0" applyNumberFormat="1" applyFont="1" applyFill="1" applyBorder="1" applyAlignment="1">
      <alignment horizontal="center" vertical="center"/>
    </xf>
    <xf numFmtId="14" fontId="10" fillId="13" borderId="12" xfId="0" applyNumberFormat="1" applyFont="1" applyFill="1" applyBorder="1" applyAlignment="1">
      <alignment horizontal="center" vertical="center"/>
    </xf>
    <xf numFmtId="14" fontId="10" fillId="0" borderId="25" xfId="0" applyNumberFormat="1" applyFont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/>
    </xf>
    <xf numFmtId="0" fontId="17" fillId="41" borderId="9" xfId="0" applyFont="1" applyFill="1" applyBorder="1" applyAlignment="1">
      <alignment horizontal="center" vertical="center"/>
    </xf>
    <xf numFmtId="0" fontId="9" fillId="41" borderId="9" xfId="0" applyFont="1" applyFill="1" applyBorder="1" applyAlignment="1">
      <alignment horizontal="center" vertical="center"/>
    </xf>
    <xf numFmtId="0" fontId="44" fillId="41" borderId="9" xfId="0" applyFont="1" applyFill="1" applyBorder="1" applyAlignment="1">
      <alignment horizontal="center" vertical="center"/>
    </xf>
    <xf numFmtId="0" fontId="10" fillId="41" borderId="9" xfId="0" applyFont="1" applyFill="1" applyBorder="1" applyAlignment="1">
      <alignment horizontal="center" vertical="center"/>
    </xf>
    <xf numFmtId="0" fontId="24" fillId="34" borderId="14" xfId="0" applyFont="1" applyFill="1" applyBorder="1" applyAlignment="1">
      <alignment horizontal="center" vertical="center"/>
    </xf>
    <xf numFmtId="164" fontId="10" fillId="0" borderId="18" xfId="0" applyNumberFormat="1" applyFont="1" applyBorder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7" fillId="41" borderId="15" xfId="0" applyFont="1" applyFill="1" applyBorder="1" applyAlignment="1">
      <alignment horizontal="center" vertical="center"/>
    </xf>
    <xf numFmtId="0" fontId="17" fillId="41" borderId="12" xfId="0" applyFont="1" applyFill="1" applyBorder="1" applyAlignment="1">
      <alignment horizontal="center" vertical="center"/>
    </xf>
    <xf numFmtId="0" fontId="48" fillId="21" borderId="0" xfId="0" applyFont="1" applyFill="1" applyAlignment="1">
      <alignment horizontal="left"/>
    </xf>
    <xf numFmtId="0" fontId="45" fillId="41" borderId="9" xfId="0" applyFont="1" applyFill="1" applyBorder="1" applyAlignment="1">
      <alignment horizontal="center" vertical="center"/>
    </xf>
    <xf numFmtId="0" fontId="20" fillId="40" borderId="0" xfId="0" applyFont="1" applyFill="1" applyAlignment="1">
      <alignment vertical="center"/>
    </xf>
    <xf numFmtId="0" fontId="7" fillId="0" borderId="29" xfId="0" applyFont="1" applyBorder="1"/>
    <xf numFmtId="0" fontId="20" fillId="39" borderId="0" xfId="0" applyFont="1" applyFill="1" applyAlignment="1">
      <alignment vertical="center"/>
    </xf>
    <xf numFmtId="0" fontId="12" fillId="18" borderId="2" xfId="0" applyFont="1" applyFill="1" applyBorder="1" applyAlignment="1">
      <alignment vertical="center"/>
    </xf>
    <xf numFmtId="0" fontId="12" fillId="14" borderId="8" xfId="0" applyFont="1" applyFill="1" applyBorder="1" applyAlignment="1">
      <alignment vertical="center"/>
    </xf>
    <xf numFmtId="0" fontId="12" fillId="13" borderId="2" xfId="0" applyFont="1" applyFill="1" applyBorder="1" applyAlignment="1">
      <alignment vertical="center"/>
    </xf>
    <xf numFmtId="0" fontId="10" fillId="18" borderId="2" xfId="0" applyFont="1" applyFill="1" applyBorder="1" applyAlignment="1">
      <alignment vertical="center"/>
    </xf>
    <xf numFmtId="0" fontId="10" fillId="13" borderId="2" xfId="0" applyFont="1" applyFill="1" applyBorder="1" applyAlignment="1">
      <alignment vertical="center"/>
    </xf>
    <xf numFmtId="14" fontId="20" fillId="40" borderId="0" xfId="0" applyNumberFormat="1" applyFont="1" applyFill="1" applyAlignment="1">
      <alignment vertical="center"/>
    </xf>
    <xf numFmtId="14" fontId="10" fillId="18" borderId="2" xfId="0" applyNumberFormat="1" applyFont="1" applyFill="1" applyBorder="1" applyAlignment="1">
      <alignment vertical="center"/>
    </xf>
    <xf numFmtId="14" fontId="20" fillId="39" borderId="0" xfId="0" applyNumberFormat="1" applyFont="1" applyFill="1" applyAlignment="1">
      <alignment vertical="center"/>
    </xf>
    <xf numFmtId="14" fontId="10" fillId="13" borderId="2" xfId="0" applyNumberFormat="1" applyFont="1" applyFill="1" applyBorder="1" applyAlignment="1">
      <alignment vertical="center"/>
    </xf>
    <xf numFmtId="0" fontId="12" fillId="37" borderId="30" xfId="0" applyFont="1" applyFill="1" applyBorder="1" applyAlignment="1">
      <alignment vertical="center"/>
    </xf>
    <xf numFmtId="0" fontId="12" fillId="13" borderId="30" xfId="0" applyFont="1" applyFill="1" applyBorder="1" applyAlignment="1">
      <alignment vertical="center"/>
    </xf>
    <xf numFmtId="0" fontId="9" fillId="21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14" fontId="17" fillId="36" borderId="26" xfId="0" applyNumberFormat="1" applyFont="1" applyFill="1" applyBorder="1" applyAlignment="1">
      <alignment horizontal="center" vertical="center"/>
    </xf>
    <xf numFmtId="0" fontId="17" fillId="36" borderId="22" xfId="0" applyFont="1" applyFill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0" fontId="24" fillId="36" borderId="12" xfId="0" applyFont="1" applyFill="1" applyBorder="1" applyAlignment="1">
      <alignment horizontal="center" vertical="center"/>
    </xf>
    <xf numFmtId="14" fontId="10" fillId="36" borderId="12" xfId="0" applyNumberFormat="1" applyFont="1" applyFill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14" fontId="0" fillId="21" borderId="19" xfId="0" applyNumberFormat="1" applyFill="1" applyBorder="1" applyAlignment="1">
      <alignment horizontal="center" vertical="center"/>
    </xf>
    <xf numFmtId="0" fontId="10" fillId="21" borderId="31" xfId="0" applyFont="1" applyFill="1" applyBorder="1" applyAlignment="1">
      <alignment horizontal="center" vertical="center"/>
    </xf>
    <xf numFmtId="14" fontId="10" fillId="21" borderId="3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02"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b val="0"/>
        <i val="0"/>
        <color auto="1"/>
      </font>
      <fill>
        <patternFill>
          <bgColor theme="3" tint="0.749961851863155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  <dxf>
      <font>
        <color rgb="FFFFFFFF"/>
      </font>
      <fill>
        <patternFill>
          <bgColor theme="3" tint="0.7497787408062990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BF3FB"/>
      <rgbColor rgb="FF800000"/>
      <rgbColor rgb="FF196B24"/>
      <rgbColor rgb="FF000080"/>
      <rgbColor rgb="FF808000"/>
      <rgbColor rgb="FF800080"/>
      <rgbColor rgb="FF156082"/>
      <rgbColor rgb="FFBFBFBF"/>
      <rgbColor rgb="FF8B8B8B"/>
      <rgbColor rgb="FFD9E1F2"/>
      <rgbColor rgb="FFA02B93"/>
      <rgbColor rgb="FFECF9E7"/>
      <rgbColor rgb="FFCAEDFB"/>
      <rgbColor rgb="FF660066"/>
      <rgbColor rgb="FFED7D31"/>
      <rgbColor rgb="FF2E75B6"/>
      <rgbColor rgb="FFD0D0D0"/>
      <rgbColor rgb="FF000080"/>
      <rgbColor rgb="FFFF00FF"/>
      <rgbColor rgb="FFFBE3D6"/>
      <rgbColor rgb="FF00FFFF"/>
      <rgbColor rgb="FF800080"/>
      <rgbColor rgb="FF800000"/>
      <rgbColor rgb="FF0F9ED5"/>
      <rgbColor rgb="FF0000FF"/>
      <rgbColor rgb="FF00CCFF"/>
      <rgbColor rgb="FFDAE9F8"/>
      <rgbColor rgb="FFC2F1C8"/>
      <rgbColor rgb="FFD9F2D0"/>
      <rgbColor rgb="FFA6CAEC"/>
      <rgbColor rgb="FFF2CEEF"/>
      <rgbColor rgb="FFD9D9D9"/>
      <rgbColor rgb="FFFBE2D5"/>
      <rgbColor rgb="FF4472C4"/>
      <rgbColor rgb="FFC1F0C8"/>
      <rgbColor rgb="FF92D050"/>
      <rgbColor rgb="FFFFC000"/>
      <rgbColor rgb="FFF2F2F2"/>
      <rgbColor rgb="FFE97132"/>
      <rgbColor rgb="FF666699"/>
      <rgbColor rgb="FF70AD47"/>
      <rgbColor rgb="FF1F3864"/>
      <rgbColor rgb="FF00B050"/>
      <rgbColor rgb="FF17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Producción - Electricidad T1 por Línea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linea 1</c:v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982-4A3E-96BC-29D49DFF507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82-4A3E-96BC-29D49DFF50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Dashboard!$B$5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2-4A3E-96BC-29D49DFF5071}"/>
            </c:ext>
          </c:extLst>
        </c:ser>
        <c:ser>
          <c:idx val="1"/>
          <c:order val="1"/>
          <c:tx>
            <c:v>linea 2</c:v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Dashboard!$C$5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82-4A3E-96BC-29D49DFF5071}"/>
            </c:ext>
          </c:extLst>
        </c:ser>
        <c:ser>
          <c:idx val="2"/>
          <c:order val="2"/>
          <c:tx>
            <c:v>linea 3</c:v>
          </c:tx>
          <c:spPr>
            <a:solidFill>
              <a:srgbClr val="196B2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Dashboard!$D$5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2-4A3E-96BC-29D49DFF5071}"/>
            </c:ext>
          </c:extLst>
        </c:ser>
        <c:ser>
          <c:idx val="3"/>
          <c:order val="3"/>
          <c:tx>
            <c:v>linea 4</c:v>
          </c:tx>
          <c:spPr>
            <a:solidFill>
              <a:srgbClr val="0F9ED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Dashboard!$E$5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82-4A3E-96BC-29D49DFF5071}"/>
            </c:ext>
          </c:extLst>
        </c:ser>
        <c:ser>
          <c:idx val="4"/>
          <c:order val="4"/>
          <c:tx>
            <c:v>linea 5</c:v>
          </c:tx>
          <c:spPr>
            <a:solidFill>
              <a:srgbClr val="A02B9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Dashboard!$F$5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82-4A3E-96BC-29D49DFF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741293"/>
        <c:axId val="159486"/>
      </c:barChart>
      <c:catAx>
        <c:axId val="8674129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59486"/>
        <c:crosses val="autoZero"/>
        <c:auto val="1"/>
        <c:lblAlgn val="ctr"/>
        <c:lblOffset val="100"/>
        <c:noMultiLvlLbl val="0"/>
      </c:catAx>
      <c:valAx>
        <c:axId val="159486"/>
        <c:scaling>
          <c:orientation val="minMax"/>
          <c:max val="8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8674129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Producción - Electricidad T2 por Línea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linea 1</c:v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CF4-429F-AF94-6E787CFFA2E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F4-429F-AF94-6E787CFFA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Dashboard!$B$6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F4-429F-AF94-6E787CFFA2E6}"/>
            </c:ext>
          </c:extLst>
        </c:ser>
        <c:ser>
          <c:idx val="1"/>
          <c:order val="1"/>
          <c:tx>
            <c:v>linea 2</c:v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F4-429F-AF94-6E787CFFA2E6}"/>
            </c:ext>
          </c:extLst>
        </c:ser>
        <c:ser>
          <c:idx val="2"/>
          <c:order val="2"/>
          <c:tx>
            <c:v>linea 3</c:v>
          </c:tx>
          <c:spPr>
            <a:solidFill>
              <a:srgbClr val="196B2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Dashboard!$D$6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4-429F-AF94-6E787CFFA2E6}"/>
            </c:ext>
          </c:extLst>
        </c:ser>
        <c:ser>
          <c:idx val="3"/>
          <c:order val="3"/>
          <c:tx>
            <c:v>linea 4</c:v>
          </c:tx>
          <c:spPr>
            <a:solidFill>
              <a:srgbClr val="0F9ED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Dashboard!$E$6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F4-429F-AF94-6E787CFFA2E6}"/>
            </c:ext>
          </c:extLst>
        </c:ser>
        <c:ser>
          <c:idx val="4"/>
          <c:order val="4"/>
          <c:tx>
            <c:v>linea 5</c:v>
          </c:tx>
          <c:spPr>
            <a:solidFill>
              <a:srgbClr val="A02B9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Dashboard!$F$6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F4-429F-AF94-6E787CFFA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65496"/>
        <c:axId val="39152031"/>
      </c:barChart>
      <c:catAx>
        <c:axId val="4026549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39152031"/>
        <c:crosses val="autoZero"/>
        <c:auto val="1"/>
        <c:lblAlgn val="ctr"/>
        <c:lblOffset val="100"/>
        <c:noMultiLvlLbl val="0"/>
      </c:catAx>
      <c:valAx>
        <c:axId val="39152031"/>
        <c:scaling>
          <c:orientation val="minMax"/>
          <c:max val="8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4026549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Producción T1 por Línea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linea 1</c:v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CFF-4DAA-AA34-4D5BCA93FFEC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FF-4DAA-AA34-4D5BCA93FF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Dashboard!$B$7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F-4DAA-AA34-4D5BCA93FFEC}"/>
            </c:ext>
          </c:extLst>
        </c:ser>
        <c:ser>
          <c:idx val="1"/>
          <c:order val="1"/>
          <c:tx>
            <c:v>linea 2</c:v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Dashboard!$C$7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FF-4DAA-AA34-4D5BCA93FFEC}"/>
            </c:ext>
          </c:extLst>
        </c:ser>
        <c:ser>
          <c:idx val="2"/>
          <c:order val="2"/>
          <c:tx>
            <c:v>linea 3</c:v>
          </c:tx>
          <c:spPr>
            <a:solidFill>
              <a:srgbClr val="196B2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Dashboard!$D$7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F-4DAA-AA34-4D5BCA93FFEC}"/>
            </c:ext>
          </c:extLst>
        </c:ser>
        <c:ser>
          <c:idx val="3"/>
          <c:order val="3"/>
          <c:tx>
            <c:v>linea 4</c:v>
          </c:tx>
          <c:spPr>
            <a:solidFill>
              <a:srgbClr val="0F9ED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Dashboard!$E$7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FF-4DAA-AA34-4D5BCA93FFEC}"/>
            </c:ext>
          </c:extLst>
        </c:ser>
        <c:ser>
          <c:idx val="4"/>
          <c:order val="4"/>
          <c:tx>
            <c:v>linea 5</c:v>
          </c:tx>
          <c:spPr>
            <a:solidFill>
              <a:srgbClr val="A02B9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Dashboard!$F$7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FF-4DAA-AA34-4D5BCA93F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46412"/>
        <c:axId val="720599"/>
      </c:barChart>
      <c:catAx>
        <c:axId val="9446412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720599"/>
        <c:crosses val="autoZero"/>
        <c:auto val="1"/>
        <c:lblAlgn val="ctr"/>
        <c:lblOffset val="100"/>
        <c:noMultiLvlLbl val="0"/>
      </c:catAx>
      <c:valAx>
        <c:axId val="720599"/>
        <c:scaling>
          <c:orientation val="minMax"/>
          <c:max val="8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9446412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Producción T2 por Línea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linea 1</c:v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CD0-4E78-A49D-29B19F9166D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D0-4E78-A49D-29B19F916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Dashboard!$B$8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0-4E78-A49D-29B19F9166D6}"/>
            </c:ext>
          </c:extLst>
        </c:ser>
        <c:ser>
          <c:idx val="1"/>
          <c:order val="1"/>
          <c:tx>
            <c:v>linea 2</c:v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Dashboard!$C$8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0-4E78-A49D-29B19F9166D6}"/>
            </c:ext>
          </c:extLst>
        </c:ser>
        <c:ser>
          <c:idx val="2"/>
          <c:order val="2"/>
          <c:tx>
            <c:v>linea 3</c:v>
          </c:tx>
          <c:spPr>
            <a:solidFill>
              <a:srgbClr val="196B2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Dashboard!$D$8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0-4E78-A49D-29B19F9166D6}"/>
            </c:ext>
          </c:extLst>
        </c:ser>
        <c:ser>
          <c:idx val="3"/>
          <c:order val="3"/>
          <c:tx>
            <c:v>linea 4</c:v>
          </c:tx>
          <c:spPr>
            <a:solidFill>
              <a:srgbClr val="0F9ED5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Dashboard!$E$8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D0-4E78-A49D-29B19F9166D6}"/>
            </c:ext>
          </c:extLst>
        </c:ser>
        <c:ser>
          <c:idx val="4"/>
          <c:order val="4"/>
          <c:tx>
            <c:v>linea 5</c:v>
          </c:tx>
          <c:spPr>
            <a:solidFill>
              <a:srgbClr val="A02B93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Dashboard!$B$4:$F$4</c:f>
              <c:multiLvlStrCache>
                <c:ptCount val="1"/>
                <c:lvl>
                  <c:pt idx="0">
                    <c:v>Línea 5</c:v>
                  </c:pt>
                </c:lvl>
                <c:lvl>
                  <c:pt idx="0">
                    <c:v>Línea 4</c:v>
                  </c:pt>
                </c:lvl>
                <c:lvl>
                  <c:pt idx="0">
                    <c:v>Línea 3</c:v>
                  </c:pt>
                </c:lvl>
                <c:lvl>
                  <c:pt idx="0">
                    <c:v>Línea 2</c:v>
                  </c:pt>
                </c:lvl>
                <c:lvl>
                  <c:pt idx="0">
                    <c:v>Línea 1</c:v>
                  </c:pt>
                </c:lvl>
              </c:multiLvlStrCache>
            </c:multiLvlStrRef>
          </c:cat>
          <c:val>
            <c:numRef>
              <c:f>Dashboard!$F$8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0-4E78-A49D-29B19F916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13773"/>
        <c:axId val="33996703"/>
      </c:barChart>
      <c:catAx>
        <c:axId val="59013773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33996703"/>
        <c:crosses val="autoZero"/>
        <c:auto val="1"/>
        <c:lblAlgn val="ctr"/>
        <c:lblOffset val="100"/>
        <c:noMultiLvlLbl val="0"/>
      </c:catAx>
      <c:valAx>
        <c:axId val="33996703"/>
        <c:scaling>
          <c:orientation val="minMax"/>
          <c:max val="8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5901377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Cuadros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Cuadros!$K$1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1-0516-472C-AEE4-5FD14AE4DFBE}"/>
              </c:ext>
            </c:extLst>
          </c:dPt>
          <c:cat>
            <c:strRef>
              <c:f>Cuadros!$J$2:$J$4</c:f>
              <c:strCache>
                <c:ptCount val="3"/>
                <c:pt idx="0">
                  <c:v>Cuadros-T1</c:v>
                </c:pt>
                <c:pt idx="1">
                  <c:v>Cuadros-T2</c:v>
                </c:pt>
                <c:pt idx="2">
                  <c:v>Cuadros-T3</c:v>
                </c:pt>
              </c:strCache>
            </c:strRef>
          </c:cat>
          <c:val>
            <c:numRef>
              <c:f>Cuadros!$K$2:$K$4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6-472C-AEE4-5FD14AE4D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18860"/>
        <c:axId val="64448481"/>
      </c:barChart>
      <c:catAx>
        <c:axId val="76518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solidFill>
            <a:srgbClr val="FFFFFF"/>
          </a:solidFill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4448481"/>
        <c:crosses val="autoZero"/>
        <c:auto val="1"/>
        <c:lblAlgn val="ctr"/>
        <c:lblOffset val="100"/>
        <c:noMultiLvlLbl val="0"/>
      </c:catAx>
      <c:valAx>
        <c:axId val="6444848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76518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 BOX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BOX!$J$2</c:f>
              <c:strCache>
                <c:ptCount val="1"/>
                <c:pt idx="0">
                  <c:v>Elec-T1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9-4691-98B6-3946B535FA1C}"/>
            </c:ext>
          </c:extLst>
        </c:ser>
        <c:ser>
          <c:idx val="1"/>
          <c:order val="1"/>
          <c:tx>
            <c:strRef>
              <c:f>BOX!$J$3</c:f>
              <c:strCache>
                <c:ptCount val="1"/>
                <c:pt idx="0">
                  <c:v>Elec-T2</c:v>
                </c:pt>
              </c:strCache>
            </c:strRef>
          </c:tx>
          <c:invertIfNegative val="0"/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9-4691-98B6-3946B535FA1C}"/>
            </c:ext>
          </c:extLst>
        </c:ser>
        <c:ser>
          <c:idx val="2"/>
          <c:order val="2"/>
          <c:tx>
            <c:strRef>
              <c:f>BOX!$J$4</c:f>
              <c:strCache>
                <c:ptCount val="1"/>
                <c:pt idx="0">
                  <c:v>Prod-T1</c:v>
                </c:pt>
              </c:strCache>
            </c:strRef>
          </c:tx>
          <c:invertIfNegative val="0"/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9-4691-98B6-3946B535FA1C}"/>
            </c:ext>
          </c:extLst>
        </c:ser>
        <c:ser>
          <c:idx val="3"/>
          <c:order val="3"/>
          <c:tx>
            <c:strRef>
              <c:f>BOX!$J$5</c:f>
              <c:strCache>
                <c:ptCount val="1"/>
                <c:pt idx="0">
                  <c:v>Prod-T2</c:v>
                </c:pt>
              </c:strCache>
            </c:strRef>
          </c:tx>
          <c:invertIfNegative val="0"/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9-4691-98B6-3946B535F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18860"/>
        <c:axId val="64448481"/>
      </c:barChart>
      <c:catAx>
        <c:axId val="76518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4448481"/>
        <c:crosses val="autoZero"/>
        <c:auto val="1"/>
        <c:lblAlgn val="ctr"/>
        <c:lblOffset val="100"/>
        <c:noMultiLvlLbl val="0"/>
      </c:catAx>
      <c:valAx>
        <c:axId val="6444848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76518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Resumen - Linea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 1'!$K$1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579-4748-B41B-893B4A9D5B1F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579-4748-B41B-893B4A9D5B1F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579-4748-B41B-893B4A9D5B1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79-4748-B41B-893B4A9D5B1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79-4748-B41B-893B4A9D5B1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79-4748-B41B-893B4A9D5B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'Linea 1'!$J$2:$J$5</c:f>
              <c:strCache>
                <c:ptCount val="4"/>
                <c:pt idx="0">
                  <c:v>Elec-T1</c:v>
                </c:pt>
                <c:pt idx="1">
                  <c:v>Elec-T2</c:v>
                </c:pt>
                <c:pt idx="2">
                  <c:v>Prod-T1</c:v>
                </c:pt>
                <c:pt idx="3">
                  <c:v>Prod-T2</c:v>
                </c:pt>
              </c:strCache>
            </c:strRef>
          </c:cat>
          <c:val>
            <c:numRef>
              <c:f>'Linea 1'!$K$2:$K$5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79-4748-B41B-893B4A9D5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0187"/>
        <c:axId val="87483523"/>
      </c:barChart>
      <c:catAx>
        <c:axId val="12701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87483523"/>
        <c:crosses val="autoZero"/>
        <c:auto val="1"/>
        <c:lblAlgn val="ctr"/>
        <c:lblOffset val="100"/>
        <c:noMultiLvlLbl val="0"/>
      </c:catAx>
      <c:valAx>
        <c:axId val="87483523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1270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Resumen - Linea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 2'!$K$1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E85-4F1C-8EDB-6FA60CED27A3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E85-4F1C-8EDB-6FA60CED27A3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E85-4F1C-8EDB-6FA60CED27A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85-4F1C-8EDB-6FA60CED27A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85-4F1C-8EDB-6FA60CED27A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85-4F1C-8EDB-6FA60CED27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'Linea 2'!$J$2:$J$9</c:f>
              <c:strCache>
                <c:ptCount val="4"/>
                <c:pt idx="0">
                  <c:v>Elec-T1</c:v>
                </c:pt>
                <c:pt idx="1">
                  <c:v>Elec-T2</c:v>
                </c:pt>
                <c:pt idx="2">
                  <c:v>Prod-T1</c:v>
                </c:pt>
                <c:pt idx="3">
                  <c:v>Prod-T2</c:v>
                </c:pt>
              </c:strCache>
            </c:strRef>
          </c:cat>
          <c:val>
            <c:numRef>
              <c:f>'Linea 2'!$K$2:$K$9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85-4F1C-8EDB-6FA60CED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12938"/>
        <c:axId val="19627822"/>
      </c:barChart>
      <c:catAx>
        <c:axId val="112129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19627822"/>
        <c:crosses val="autoZero"/>
        <c:auto val="1"/>
        <c:lblAlgn val="ctr"/>
        <c:lblOffset val="100"/>
        <c:noMultiLvlLbl val="0"/>
      </c:catAx>
      <c:valAx>
        <c:axId val="1962782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112129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Resumen - Linea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 3'!$K$1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E47-4774-8826-6296EB98600E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E47-4774-8826-6296EB98600E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E47-4774-8826-6296EB98600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47-4774-8826-6296EB98600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47-4774-8826-6296EB98600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47-4774-8826-6296EB986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'Linea 3'!$J$2:$J$5</c:f>
              <c:strCache>
                <c:ptCount val="4"/>
                <c:pt idx="0">
                  <c:v>Elec-T1</c:v>
                </c:pt>
                <c:pt idx="1">
                  <c:v>Elec-T2</c:v>
                </c:pt>
                <c:pt idx="2">
                  <c:v>Prod-T1</c:v>
                </c:pt>
                <c:pt idx="3">
                  <c:v>Prod-T2</c:v>
                </c:pt>
              </c:strCache>
            </c:strRef>
          </c:cat>
          <c:val>
            <c:numRef>
              <c:f>'Linea 3'!$K$2:$K$5</c:f>
              <c:numCache>
                <c:formatCode>General</c:formatCode>
                <c:ptCount val="4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47-4774-8826-6296EB986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88346"/>
        <c:axId val="10999901"/>
      </c:barChart>
      <c:catAx>
        <c:axId val="442883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10999901"/>
        <c:crosses val="autoZero"/>
        <c:auto val="1"/>
        <c:lblAlgn val="ctr"/>
        <c:lblOffset val="100"/>
        <c:noMultiLvlLbl val="0"/>
      </c:catAx>
      <c:valAx>
        <c:axId val="1099990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44288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Resumen - Linea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 4'!$K$1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F0F-4E45-9ADD-F5657A600ACA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F0F-4E45-9ADD-F5657A600ACA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F0F-4E45-9ADD-F5657A600AC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0F-4E45-9ADD-F5657A600AC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0F-4E45-9ADD-F5657A600AC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0F-4E45-9ADD-F5657A600A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'Linea 4'!$J$2:$J$5</c:f>
              <c:strCache>
                <c:ptCount val="4"/>
                <c:pt idx="0">
                  <c:v>Elec-T1</c:v>
                </c:pt>
                <c:pt idx="1">
                  <c:v>Elec-T2</c:v>
                </c:pt>
                <c:pt idx="2">
                  <c:v>Prod-T1</c:v>
                </c:pt>
                <c:pt idx="3">
                  <c:v>Prod-T2</c:v>
                </c:pt>
              </c:strCache>
            </c:strRef>
          </c:cat>
          <c:val>
            <c:numRef>
              <c:f>'Linea 4'!$K$2:$K$5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0F-4E45-9ADD-F5657A600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238205"/>
        <c:axId val="61403641"/>
      </c:barChart>
      <c:catAx>
        <c:axId val="672382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1403641"/>
        <c:crosses val="autoZero"/>
        <c:auto val="1"/>
        <c:lblAlgn val="ctr"/>
        <c:lblOffset val="100"/>
        <c:noMultiLvlLbl val="0"/>
      </c:catAx>
      <c:valAx>
        <c:axId val="6140364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7238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Aptos Narrow"/>
              </a:rPr>
              <a:t>Resumen - Linea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'Linea 5'!$K$1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23A-4FBF-8275-8A9D187108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23A-4FBF-8275-8A9D187108D7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23A-4FBF-8275-8A9D187108D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3A-4FBF-8275-8A9D187108D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3A-4FBF-8275-8A9D187108D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3A-4FBF-8275-8A9D187108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'Linea 5'!$J$2:$J$5</c:f>
              <c:strCache>
                <c:ptCount val="4"/>
                <c:pt idx="0">
                  <c:v>Elec-T1</c:v>
                </c:pt>
                <c:pt idx="1">
                  <c:v>Elec-T2</c:v>
                </c:pt>
                <c:pt idx="2">
                  <c:v>Prod-T1</c:v>
                </c:pt>
                <c:pt idx="3">
                  <c:v>Prod-T2</c:v>
                </c:pt>
              </c:strCache>
            </c:strRef>
          </c:cat>
          <c:val>
            <c:numRef>
              <c:f>'Linea 5'!$K$2:$K$5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EE9-41F7-B768-11F4E5B78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18860"/>
        <c:axId val="64448481"/>
      </c:barChart>
      <c:catAx>
        <c:axId val="76518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4448481"/>
        <c:crosses val="autoZero"/>
        <c:auto val="1"/>
        <c:lblAlgn val="ctr"/>
        <c:lblOffset val="100"/>
        <c:noMultiLvlLbl val="0"/>
      </c:catAx>
      <c:valAx>
        <c:axId val="6444848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76518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Resumen - BOX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BOX!$J$2</c:f>
              <c:strCache>
                <c:ptCount val="1"/>
                <c:pt idx="0">
                  <c:v>Elec-T1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CB-466E-A6C5-02FF566E6FCD}"/>
            </c:ext>
          </c:extLst>
        </c:ser>
        <c:ser>
          <c:idx val="1"/>
          <c:order val="1"/>
          <c:tx>
            <c:strRef>
              <c:f>BOX!$J$3</c:f>
              <c:strCache>
                <c:ptCount val="1"/>
                <c:pt idx="0">
                  <c:v>Elec-T2</c:v>
                </c:pt>
              </c:strCache>
            </c:strRef>
          </c:tx>
          <c:invertIfNegative val="0"/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3CB-466E-A6C5-02FF566E6FCD}"/>
            </c:ext>
          </c:extLst>
        </c:ser>
        <c:ser>
          <c:idx val="2"/>
          <c:order val="2"/>
          <c:tx>
            <c:strRef>
              <c:f>BOX!$J$4</c:f>
              <c:strCache>
                <c:ptCount val="1"/>
                <c:pt idx="0">
                  <c:v>Prod-T1</c:v>
                </c:pt>
              </c:strCache>
            </c:strRef>
          </c:tx>
          <c:invertIfNegative val="0"/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3CB-466E-A6C5-02FF566E6FCD}"/>
            </c:ext>
          </c:extLst>
        </c:ser>
        <c:ser>
          <c:idx val="3"/>
          <c:order val="3"/>
          <c:tx>
            <c:strRef>
              <c:f>BOX!$J$5</c:f>
              <c:strCache>
                <c:ptCount val="1"/>
                <c:pt idx="0">
                  <c:v>Prod-T2</c:v>
                </c:pt>
              </c:strCache>
            </c:strRef>
          </c:tx>
          <c:invertIfNegative val="0"/>
          <c:cat>
            <c:strRef>
              <c:f>BOX!$K$1</c:f>
              <c:strCache>
                <c:ptCount val="1"/>
                <c:pt idx="0">
                  <c:v>Cantidad</c:v>
                </c:pt>
              </c:strCache>
            </c:strRef>
          </c:cat>
          <c:val>
            <c:numRef>
              <c:f>BOX!$K$5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3CB-466E-A6C5-02FF566E6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18860"/>
        <c:axId val="64448481"/>
      </c:barChart>
      <c:catAx>
        <c:axId val="76518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4448481"/>
        <c:crosses val="autoZero"/>
        <c:auto val="1"/>
        <c:lblAlgn val="ctr"/>
        <c:lblOffset val="100"/>
        <c:noMultiLvlLbl val="0"/>
      </c:catAx>
      <c:valAx>
        <c:axId val="6444848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76518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s-ES"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Resumen - cuadros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Cuadros!$K$1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9-AC8B-4D47-AFBC-AA1B93F71A23}"/>
              </c:ext>
            </c:extLst>
          </c:dPt>
          <c:cat>
            <c:strRef>
              <c:f>Cuadros!$J$2:$J$4</c:f>
              <c:strCache>
                <c:ptCount val="3"/>
                <c:pt idx="0">
                  <c:v>Cuadros-T1</c:v>
                </c:pt>
                <c:pt idx="1">
                  <c:v>Cuadros-T2</c:v>
                </c:pt>
                <c:pt idx="2">
                  <c:v>Cuadros-T3</c:v>
                </c:pt>
              </c:strCache>
            </c:strRef>
          </c:cat>
          <c:val>
            <c:numRef>
              <c:f>Cuadros!$K$2:$K$4</c:f>
              <c:numCache>
                <c:formatCode>General</c:formatCode>
                <c:ptCount val="3"/>
                <c:pt idx="0">
                  <c:v>8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8B-4D47-AFBC-AA1B93F7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518860"/>
        <c:axId val="64448481"/>
      </c:barChart>
      <c:catAx>
        <c:axId val="765188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solidFill>
            <a:srgbClr val="FFFFFF"/>
          </a:solidFill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64448481"/>
        <c:crosses val="autoZero"/>
        <c:auto val="1"/>
        <c:lblAlgn val="ctr"/>
        <c:lblOffset val="100"/>
        <c:noMultiLvlLbl val="0"/>
      </c:catAx>
      <c:valAx>
        <c:axId val="64448481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Aptos Narrow"/>
                  </a:rPr>
                  <a:t>Nº Operarios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s-ES"/>
          </a:p>
        </c:txPr>
        <c:crossAx val="76518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16</xdr:row>
      <xdr:rowOff>17991</xdr:rowOff>
    </xdr:from>
    <xdr:to>
      <xdr:col>3</xdr:col>
      <xdr:colOff>894292</xdr:colOff>
      <xdr:row>32</xdr:row>
      <xdr:rowOff>124882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1028700</xdr:colOff>
      <xdr:row>16</xdr:row>
      <xdr:rowOff>28575</xdr:rowOff>
    </xdr:from>
    <xdr:to>
      <xdr:col>8</xdr:col>
      <xdr:colOff>76200</xdr:colOff>
      <xdr:row>32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390525</xdr:colOff>
      <xdr:row>16</xdr:row>
      <xdr:rowOff>38100</xdr:rowOff>
    </xdr:from>
    <xdr:to>
      <xdr:col>12</xdr:col>
      <xdr:colOff>685800</xdr:colOff>
      <xdr:row>32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923925</xdr:colOff>
      <xdr:row>16</xdr:row>
      <xdr:rowOff>9525</xdr:rowOff>
    </xdr:from>
    <xdr:to>
      <xdr:col>16</xdr:col>
      <xdr:colOff>828675</xdr:colOff>
      <xdr:row>32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247650</xdr:colOff>
      <xdr:row>3</xdr:row>
      <xdr:rowOff>85725</xdr:rowOff>
    </xdr:from>
    <xdr:to>
      <xdr:col>17</xdr:col>
      <xdr:colOff>819150</xdr:colOff>
      <xdr:row>15</xdr:row>
      <xdr:rowOff>38100</xdr:rowOff>
    </xdr:to>
    <xdr:graphicFrame macro="">
      <xdr:nvGraphicFramePr>
        <xdr:cNvPr id="10" name="Gráfico 5">
          <a:extLst>
            <a:ext uri="{FF2B5EF4-FFF2-40B4-BE49-F238E27FC236}">
              <a16:creationId xmlns:a16="http://schemas.microsoft.com/office/drawing/2014/main" id="{14419AAF-5BDE-454D-8138-83EE80AA6768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304800</xdr:colOff>
      <xdr:row>16</xdr:row>
      <xdr:rowOff>0</xdr:rowOff>
    </xdr:from>
    <xdr:to>
      <xdr:col>20</xdr:col>
      <xdr:colOff>57150</xdr:colOff>
      <xdr:row>32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8D24A89-6053-44E3-9771-24A641DA7313}"/>
            </a:ext>
            <a:ext uri="{147F2762-F138-4A5C-976F-8EAC2B608ADB}">
              <a16:predDERef xmlns:a16="http://schemas.microsoft.com/office/drawing/2014/main" pred="{14419AAF-5BDE-454D-8138-83EE80AA6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19125</xdr:colOff>
      <xdr:row>5</xdr:row>
      <xdr:rowOff>38025</xdr:rowOff>
    </xdr:from>
    <xdr:to>
      <xdr:col>15</xdr:col>
      <xdr:colOff>218910</xdr:colOff>
      <xdr:row>23</xdr:row>
      <xdr:rowOff>123510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66630</xdr:colOff>
      <xdr:row>9</xdr:row>
      <xdr:rowOff>152295</xdr:rowOff>
    </xdr:from>
    <xdr:to>
      <xdr:col>14</xdr:col>
      <xdr:colOff>694890</xdr:colOff>
      <xdr:row>29</xdr:row>
      <xdr:rowOff>161355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28725</xdr:colOff>
      <xdr:row>5</xdr:row>
      <xdr:rowOff>28575</xdr:rowOff>
    </xdr:from>
    <xdr:to>
      <xdr:col>15</xdr:col>
      <xdr:colOff>449565</xdr:colOff>
      <xdr:row>23</xdr:row>
      <xdr:rowOff>6525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9675</xdr:colOff>
      <xdr:row>5</xdr:row>
      <xdr:rowOff>66675</xdr:rowOff>
    </xdr:from>
    <xdr:to>
      <xdr:col>15</xdr:col>
      <xdr:colOff>677275</xdr:colOff>
      <xdr:row>24</xdr:row>
      <xdr:rowOff>104250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28470</xdr:colOff>
      <xdr:row>5</xdr:row>
      <xdr:rowOff>95325</xdr:rowOff>
    </xdr:from>
    <xdr:to>
      <xdr:col>15</xdr:col>
      <xdr:colOff>29190</xdr:colOff>
      <xdr:row>24</xdr:row>
      <xdr:rowOff>54285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28470</xdr:colOff>
      <xdr:row>5</xdr:row>
      <xdr:rowOff>47700</xdr:rowOff>
    </xdr:from>
    <xdr:to>
      <xdr:col>14</xdr:col>
      <xdr:colOff>381615</xdr:colOff>
      <xdr:row>24</xdr:row>
      <xdr:rowOff>6660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D303A-DAFF-4501-838A-6D080245E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5</xdr:row>
      <xdr:rowOff>114300</xdr:rowOff>
    </xdr:from>
    <xdr:to>
      <xdr:col>15</xdr:col>
      <xdr:colOff>438870</xdr:colOff>
      <xdr:row>24</xdr:row>
      <xdr:rowOff>73260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BCFDC66B-7686-4C4B-B745-846FA19D6FA4}"/>
            </a:ext>
            <a:ext uri="{147F2762-F138-4A5C-976F-8EAC2B608ADB}">
              <a16:predDERef xmlns:a16="http://schemas.microsoft.com/office/drawing/2014/main" pred="{DA3BBAB0-47AF-4D5A-BEC0-C9CA8AFFA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lga Reyes" id="{EF441400-DF98-4BAA-85BC-480836A8189F}" userId="S::oreyes@stulz.es::4cfc166c-1af4-4811-a965-7b6076895b6f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5-08T09:07:39.29" personId="{EF441400-DF98-4BAA-85BC-480836A8189F}" id="{562835EF-32B8-4322-B5DE-8435CAD987A0}">
    <text>Medico</text>
  </threadedComment>
  <threadedComment ref="E3" dT="2026-05-08T09:23:51.19" personId="{EF441400-DF98-4BAA-85BC-480836A8189F}" id="{5503154F-DF17-4B3B-9A76-E25747B8E444}">
    <text>Comite</text>
  </threadedComment>
  <threadedComment ref="F4" dT="2026-05-08T09:08:00.87" personId="{EF441400-DF98-4BAA-85BC-480836A8189F}" id="{CC8EDB8F-2AE6-4918-A885-7FD0489FF580}">
    <text>Medico</text>
  </threadedComment>
  <threadedComment ref="F5" dT="2026-05-08T09:09:48.26" personId="{EF441400-DF98-4BAA-85BC-480836A8189F}" id="{26FD67E3-5F99-4C1E-A6D4-E5D1A0B83E20}">
    <text>Comite</text>
  </threadedComment>
  <threadedComment ref="F6" dT="2026-05-08T09:10:15.00" personId="{EF441400-DF98-4BAA-85BC-480836A8189F}" id="{21E76D49-F455-4E01-8D32-EACDB7AEE642}">
    <text>Comite</text>
  </threadedComment>
  <threadedComment ref="F7" dT="2026-05-08T09:19:41.30" personId="{EF441400-DF98-4BAA-85BC-480836A8189F}" id="{5926CAF9-60DE-400F-A04D-8E2BE84CBAEA}">
    <text>Día Libre</text>
  </threadedComment>
  <threadedComment ref="F8" dT="2026-05-08T09:20:03.92" personId="{EF441400-DF98-4BAA-85BC-480836A8189F}" id="{0DED01F0-BBBA-4FE4-9121-9852C39F2E8C}">
    <text>Comite</text>
  </threadedComment>
  <threadedComment ref="F9" dT="2026-05-08T09:36:12.76" personId="{EF441400-DF98-4BAA-85BC-480836A8189F}" id="{097A8B8B-D251-4785-890E-E497356DF439}">
    <text xml:space="preserve">Día Libre
</text>
  </threadedComment>
  <threadedComment ref="G10" dT="2026-05-08T09:25:46.66" personId="{EF441400-DF98-4BAA-85BC-480836A8189F}" id="{1654E379-1DA0-4B85-9757-8D33F75EA449}">
    <text>Comite</text>
  </threadedComment>
  <threadedComment ref="H10" dT="2026-05-08T09:25:46.66" personId="{EF441400-DF98-4BAA-85BC-480836A8189F}" id="{18CC440B-61F9-4E4C-9552-31B140DA375C}">
    <text>Comite</text>
  </threadedComment>
  <threadedComment ref="H11" dT="2026-05-08T09:06:59.57" personId="{EF441400-DF98-4BAA-85BC-480836A8189F}" id="{2F559BB3-442C-4CF1-ACAC-4275FBDF23B3}">
    <text>Baja mordedura de perro</text>
  </threadedComment>
  <threadedComment ref="H12" dT="2026-05-08T13:59:53.36" personId="{EF441400-DF98-4BAA-85BC-480836A8189F}" id="{EA948787-1515-451C-A4E2-0C9DC1D43BA0}">
    <text>SIN FICHAJE</text>
  </threadedComment>
  <threadedComment ref="H13" dT="2026-05-08T14:00:05.09" personId="{EF441400-DF98-4BAA-85BC-480836A8189F}" id="{63AF45EE-BDA0-451D-91FA-F2DF1CC2C113}">
    <text>SIN FICHAJE</text>
  </threadedComment>
  <threadedComment ref="H14" dT="2026-05-08T14:04:53.36" personId="{EF441400-DF98-4BAA-85BC-480836A8189F}" id="{2FF5C513-FB26-447D-BE2D-31221E5B5BC6}">
    <text>COMITE</text>
  </threadedComment>
  <threadedComment ref="H15" dT="2026-05-08T14:05:09.67" personId="{EF441400-DF98-4BAA-85BC-480836A8189F}" id="{405CF43D-6936-4030-8112-93F9B812EDF1}">
    <text>SIN FICHAJE</text>
  </threadedComment>
  <threadedComment ref="H16" dT="2026-05-08T14:05:25.78" personId="{EF441400-DF98-4BAA-85BC-480836A8189F}" id="{D614C8CB-347E-4B3E-BB05-657A9DDDB088}">
    <text>COMITE</text>
  </threadedComment>
  <threadedComment ref="K18" dT="2026-05-11T04:37:10.24" personId="{EF441400-DF98-4BAA-85BC-480836A8189F}" id="{7167E9AC-0DB6-4D50-9769-06DCC98B68B1}">
    <text>Día Libre</text>
  </threadedComment>
  <threadedComment ref="L18" dT="2026-05-11T04:37:10.24" personId="{EF441400-DF98-4BAA-85BC-480836A8189F}" id="{78AE19CE-D9FD-4977-8536-8555E9623D3F}">
    <text>Día Libre</text>
  </threadedComment>
  <threadedComment ref="M18" dT="2026-05-11T04:37:10.24" personId="{EF441400-DF98-4BAA-85BC-480836A8189F}" id="{5D049D88-3193-4FB3-8736-DD0B7B3F7164}">
    <text>Día Libre</text>
  </threadedComment>
  <threadedComment ref="N18" dT="2026-05-11T04:37:10.24" personId="{EF441400-DF98-4BAA-85BC-480836A8189F}" id="{E3D0C30B-D39E-4C40-AB29-9638CA8488C7}">
    <text>Día Libre</text>
  </threadedComment>
  <threadedComment ref="O18" dT="2026-05-11T04:37:10.24" personId="{EF441400-DF98-4BAA-85BC-480836A8189F}" id="{C07C0E2D-15E3-453A-B2DE-4FB9E0CA5059}">
    <text>Día Libre</text>
  </threadedComment>
  <threadedComment ref="K19" dT="2026-05-11T04:43:05.08" personId="{EF441400-DF98-4BAA-85BC-480836A8189F}" id="{5286A53E-027B-46D5-961E-5BEE36076F35}">
    <text>Enfermo</text>
  </threadedComment>
  <threadedComment ref="K20" dT="2026-05-11T12:50:21.84" personId="{EF441400-DF98-4BAA-85BC-480836A8189F}" id="{1249AA09-85B2-48AE-B81A-C21D59C305A6}">
    <text>Día Libre</text>
  </threadedComment>
  <threadedComment ref="L22" dT="2026-05-12T13:01:14.71" personId="{EF441400-DF98-4BAA-85BC-480836A8189F}" id="{61C1E1A8-14B1-4EBA-912F-02A646900253}">
    <text>Enfermo</text>
  </threadedComment>
  <threadedComment ref="M24" dT="2026-05-13T04:44:32.37" personId="{EF441400-DF98-4BAA-85BC-480836A8189F}" id="{CAEE3B9B-CF84-4813-8B48-8598FE967955}">
    <text>Baja</text>
  </threadedComment>
  <threadedComment ref="N24" dT="2026-05-13T04:44:32.37" personId="{EF441400-DF98-4BAA-85BC-480836A8189F}" id="{6E4FA600-FB12-4DBB-B31C-48A55C253226}">
    <text>Baja</text>
  </threadedComment>
  <threadedComment ref="O24" dT="2026-05-13T04:44:32.37" personId="{EF441400-DF98-4BAA-85BC-480836A8189F}" id="{E4FFDDDC-BBC8-4878-9BD4-D9FA72400777}">
    <text>Baja</text>
  </threadedComment>
  <threadedComment ref="P24" dT="2026-05-13T04:44:32.37" personId="{EF441400-DF98-4BAA-85BC-480836A8189F}" id="{132CDC47-01B6-45FD-82BB-B87746683C3A}">
    <text>Baja</text>
  </threadedComment>
  <threadedComment ref="R24" dT="2026-05-13T04:44:32.37" personId="{EF441400-DF98-4BAA-85BC-480836A8189F}" id="{1B6C2E9D-E45B-414F-8CD1-999A29C8DD27}">
    <text>Baja</text>
  </threadedComment>
  <threadedComment ref="S24" dT="2026-05-13T04:44:32.37" personId="{EF441400-DF98-4BAA-85BC-480836A8189F}" id="{115E60AC-994B-472F-A5E7-DF909996997F}">
    <text>Baja</text>
  </threadedComment>
  <threadedComment ref="T24" dT="2026-05-13T04:44:32.37" personId="{EF441400-DF98-4BAA-85BC-480836A8189F}" id="{605962B3-BC9A-457C-B05C-B0DF29B18246}">
    <text>Baja</text>
  </threadedComment>
  <threadedComment ref="U24" dT="2026-05-13T04:44:32.37" personId="{EF441400-DF98-4BAA-85BC-480836A8189F}" id="{A0C60C96-46DD-402F-BF18-C259A6109A87}">
    <text>Baja</text>
  </threadedComment>
  <threadedComment ref="V24" dT="2026-05-13T04:44:32.37" personId="{EF441400-DF98-4BAA-85BC-480836A8189F}" id="{394E8287-B9D9-4378-8FD6-5305A87EEFDB}">
    <text>Baja</text>
  </threadedComment>
  <threadedComment ref="Y24" dT="2026-05-13T04:44:32.37" personId="{EF441400-DF98-4BAA-85BC-480836A8189F}" id="{6D7C8FEC-917A-4D31-B4C6-A637FEDFD250}">
    <text>Baja</text>
  </threadedComment>
  <threadedComment ref="Z24" dT="2026-05-13T04:44:32.37" personId="{EF441400-DF98-4BAA-85BC-480836A8189F}" id="{B3FE9FFB-8F4C-419A-B73C-E16C9268654E}">
    <text>Baja</text>
  </threadedComment>
  <threadedComment ref="AA24" dT="2026-05-13T04:44:32.37" personId="{EF441400-DF98-4BAA-85BC-480836A8189F}" id="{3F2BA9D4-D291-43B4-BA4B-25CFDBEE47DE}">
    <text>Baja</text>
  </threadedComment>
  <threadedComment ref="AB24" dT="2026-05-13T04:44:32.37" personId="{EF441400-DF98-4BAA-85BC-480836A8189F}" id="{131D3586-6AE6-4A9E-B94E-0F92A34B7DFA}">
    <text>Baja</text>
  </threadedComment>
  <threadedComment ref="AC24" dT="2026-05-13T04:44:32.37" personId="{EF441400-DF98-4BAA-85BC-480836A8189F}" id="{C752AA55-FDFE-4DAE-B2E8-9788B4C4BEC4}">
    <text>Baja</text>
  </threadedComment>
  <threadedComment ref="M25" dT="2026-05-13T04:44:03.40" personId="{EF441400-DF98-4BAA-85BC-480836A8189F}" id="{0EAC53DC-3907-42F4-BA8B-7C34AEBDDBF0}">
    <text>Operación Suegro</text>
  </threadedComment>
  <threadedComment ref="M26" dT="2026-05-13T13:25:05.38" personId="{EF441400-DF98-4BAA-85BC-480836A8189F}" id="{C0C4F760-E95E-44E2-9B8E-49057DB1D624}">
    <text>REPOSO</text>
  </threadedComment>
  <threadedComment ref="N27" dT="2026-05-13T04:44:03.40" personId="{EF441400-DF98-4BAA-85BC-480836A8189F}" id="{F37D5F94-C33C-4C95-9E46-089F0C9E08CB}">
    <text>Operación Suegro</text>
  </threadedComment>
  <threadedComment ref="N28" dT="2026-05-14T05:56:56.01" personId="{EF441400-DF98-4BAA-85BC-480836A8189F}" id="{BA4C4A9D-0D40-41FC-9EFC-4BA469C23664}">
    <text>Permiso mas tarde</text>
  </threadedComment>
  <threadedComment ref="N29" dT="2026-05-14T05:56:14.22" personId="{EF441400-DF98-4BAA-85BC-480836A8189F}" id="{EA09085A-FC41-4ED2-BF02-0244E1D67B9F}">
    <text>COMITE</text>
  </threadedComment>
  <threadedComment ref="N30" dT="2026-05-14T05:58:56.38" personId="{EF441400-DF98-4BAA-85BC-480836A8189F}" id="{E3523A1A-2C4B-4569-875A-81BDC6BCEA74}">
    <text>COMITE</text>
  </threadedComment>
  <threadedComment ref="N31" dT="2026-05-14T06:03:27.98" personId="{EF441400-DF98-4BAA-85BC-480836A8189F}" id="{58584FF8-6327-4D75-84DC-217207C27273}">
    <text>COMITE</text>
  </threadedComment>
  <threadedComment ref="N32" dT="2026-05-14T14:04:36.43" personId="{EF441400-DF98-4BAA-85BC-480836A8189F}" id="{B2BA060B-92D8-4D8D-9CEE-20C7794F73D6}">
    <text>Enfermo</text>
  </threadedComment>
  <threadedComment ref="O34" dT="2026-05-15T04:34:37.00" personId="{EF441400-DF98-4BAA-85BC-480836A8189F}" id="{A01D1FC7-DD28-46E9-934D-42EAF8563E7C}">
    <text>Dia Libre</text>
  </threadedComment>
  <threadedComment ref="O35" dT="2026-05-13T04:44:03.40" personId="{EF441400-DF98-4BAA-85BC-480836A8189F}" id="{77952FA4-6ACE-4CD6-973E-1EB0247A4A13}">
    <text>Operación Suegro</text>
  </threadedComment>
  <threadedComment ref="O36" dT="2026-05-15T04:39:30.82" personId="{EF441400-DF98-4BAA-85BC-480836A8189F}" id="{F638C704-F973-4D92-A104-4F67C6FD4C4E}">
    <text>Enfermo</text>
  </threadedComment>
  <threadedComment ref="O37" dT="2026-05-15T05:00:23.00" personId="{EF441400-DF98-4BAA-85BC-480836A8189F}" id="{0DE519B2-08EF-46D8-9B0E-FA3DB91B9EDA}">
    <text>Dia Libre</text>
  </threadedComment>
  <threadedComment ref="O38" dT="2026-05-15T06:23:26.06" personId="{EF441400-DF98-4BAA-85BC-480836A8189F}" id="{E233FA63-ADF5-427E-AC28-4857BEF07946}">
    <text>Se va al medico (8.22)</text>
  </threadedComment>
  <threadedComment ref="R38" dT="2026-05-18T12:19:07.58" personId="{EF441400-DF98-4BAA-85BC-480836A8189F}" id="{48874D85-578E-4300-8FF2-B1227B8580AD}">
    <text>Baja</text>
  </threadedComment>
  <threadedComment ref="O39" dT="2026-05-15T13:53:54.14" personId="{EF441400-DF98-4BAA-85BC-480836A8189F}" id="{64E2A45F-F775-4777-941F-AF1C27EB58AE}">
    <text>Baja</text>
  </threadedComment>
  <threadedComment ref="O40" dT="2026-05-15T13:54:24.47" personId="{EF441400-DF98-4BAA-85BC-480836A8189F}" id="{1633751A-1047-4B3F-90E0-10F7DB592464}">
    <text>Baja</text>
  </threadedComment>
  <threadedComment ref="O41" dT="2026-05-15T13:54:55.92" personId="{EF441400-DF98-4BAA-85BC-480836A8189F}" id="{B3F90707-615F-4CFA-A3B2-3DCC3161D1C0}">
    <text>Dia Libre</text>
  </threadedComment>
  <threadedComment ref="O42" dT="2026-05-15T13:55:49.00" personId="{EF441400-DF98-4BAA-85BC-480836A8189F}" id="{24EF8E6B-3350-4B8B-A87B-AF82717D1020}">
    <text>Baja</text>
  </threadedComment>
  <threadedComment ref="O43" dT="2026-05-15T13:56:57.53" personId="{EF441400-DF98-4BAA-85BC-480836A8189F}" id="{F48085FF-F2CC-4E50-A158-B221DA41774E}">
    <text>Baja</text>
  </threadedComment>
  <threadedComment ref="R44" dT="2026-05-18T12:17:14.78" personId="{EF441400-DF98-4BAA-85BC-480836A8189F}" id="{AA0B3BA8-E83F-4F51-88E4-CCC958AA0375}">
    <text>Dia Libre</text>
  </threadedComment>
  <threadedComment ref="R45" dT="2026-05-18T12:56:11.30" personId="{EF441400-DF98-4BAA-85BC-480836A8189F}" id="{69CD271B-6E5D-4ECA-AEEA-E39D7042E4C9}">
    <text>Baja</text>
  </threadedComment>
  <threadedComment ref="S45" dT="2026-05-18T12:56:11.30" personId="{EF441400-DF98-4BAA-85BC-480836A8189F}" id="{E372BE17-7B44-4499-8EA5-DA4E35404D1E}">
    <text>Baja</text>
  </threadedComment>
  <threadedComment ref="S46" dT="2026-05-19T04:50:48.88" personId="{EF441400-DF98-4BAA-85BC-480836A8189F}" id="{1AFC7FFD-CFD1-4B5D-953D-48BE34669122}">
    <text>No ha llegado</text>
  </threadedComment>
  <threadedComment ref="T48" dT="2026-05-20T14:16:56.30" personId="{EF441400-DF98-4BAA-85BC-480836A8189F}" id="{FFFA30D3-624A-47F4-857F-8EAC00C582E5}">
    <text>Día Libre</text>
  </threadedComment>
  <threadedComment ref="U49" dT="2026-05-21T13:28:07.98" personId="{EF441400-DF98-4BAA-85BC-480836A8189F}" id="{F231256A-CF80-4603-A8E7-501AACBB7E64}">
    <text>Comite</text>
  </threadedComment>
  <threadedComment ref="V49" dT="2026-05-21T13:28:07.98" personId="{EF441400-DF98-4BAA-85BC-480836A8189F}" id="{DD5B08C0-27D4-4B8A-906B-53D279877AE5}">
    <text>Comite</text>
  </threadedComment>
  <threadedComment ref="Z49" dT="2026-05-21T13:28:07.98" personId="{EF441400-DF98-4BAA-85BC-480836A8189F}" id="{FB8C575F-2833-49E2-96A0-8B5F3243584C}">
    <text>Comite</text>
  </threadedComment>
  <threadedComment ref="AA49" dT="2026-05-21T13:28:07.98" personId="{EF441400-DF98-4BAA-85BC-480836A8189F}" id="{994629E4-7A58-4EC1-8F8E-CDF598C7BF0E}">
    <text>Comite</text>
  </threadedComment>
  <threadedComment ref="AB49" dT="2026-05-21T13:28:07.98" personId="{EF441400-DF98-4BAA-85BC-480836A8189F}" id="{866A5451-C965-40CF-A178-5831593FED7F}">
    <text>Comite</text>
  </threadedComment>
  <threadedComment ref="AC49" dT="2026-05-21T13:28:07.98" personId="{EF441400-DF98-4BAA-85BC-480836A8189F}" id="{33F01D80-C730-4537-B175-91140EB8D660}">
    <text>Comite</text>
  </threadedComment>
  <threadedComment ref="U50" dT="2026-05-21T13:28:17.56" personId="{EF441400-DF98-4BAA-85BC-480836A8189F}" id="{5D09C847-6291-49A1-9F29-7F9F8C6F4768}">
    <text>Comite</text>
  </threadedComment>
  <threadedComment ref="V50" dT="2026-05-21T13:28:17.56" personId="{EF441400-DF98-4BAA-85BC-480836A8189F}" id="{58C86F35-4CE8-4799-9EC1-98A4C945737C}">
    <text>Comite</text>
  </threadedComment>
  <threadedComment ref="U51" dT="2026-05-21T13:29:07.63" personId="{EF441400-DF98-4BAA-85BC-480836A8189F}" id="{8924575E-4CAF-4083-89C3-D9F9E580C2FA}">
    <text>Comite</text>
  </threadedComment>
  <threadedComment ref="V51" dT="2026-05-21T13:29:07.63" personId="{EF441400-DF98-4BAA-85BC-480836A8189F}" id="{1F8671E7-6C0B-4445-B6D6-BFC967DCE80C}">
    <text>Comite</text>
  </threadedComment>
  <threadedComment ref="AG51" dT="2026-05-21T13:29:07.63" personId="{EF441400-DF98-4BAA-85BC-480836A8189F}" id="{492702C8-3D8B-4C73-9919-1843D722EACC}">
    <text>Comite</text>
  </threadedComment>
  <threadedComment ref="AM51" dT="2026-05-21T13:29:07.63" personId="{EF441400-DF98-4BAA-85BC-480836A8189F}" id="{286DF311-3630-48A6-9B35-29520785A5C0}">
    <text>Comite</text>
  </threadedComment>
  <threadedComment ref="U52" dT="2026-05-21T13:29:21.92" personId="{EF441400-DF98-4BAA-85BC-480836A8189F}" id="{F75DC190-3BCA-4671-9189-F0CB7C7A1A7B}">
    <text>Baja</text>
  </threadedComment>
  <threadedComment ref="U53" dT="2026-05-21T13:34:59.18" personId="{EF441400-DF98-4BAA-85BC-480836A8189F}" id="{D49C3127-72CE-47C5-A7CE-300910F016F9}">
    <text>Reunion Cole</text>
  </threadedComment>
  <threadedComment ref="U54" dT="2026-05-21T19:18:27.21" personId="{EF441400-DF98-4BAA-85BC-480836A8189F}" id="{E029342C-8F25-4955-A776-6533C48F6AD3}">
    <text>Accidente Baja</text>
  </threadedComment>
  <threadedComment ref="V54" dT="2026-05-21T19:18:27.21" personId="{EF441400-DF98-4BAA-85BC-480836A8189F}" id="{7F16439A-4A20-4ECD-86E9-00CCA8D564A6}">
    <text>Accidente Baja</text>
  </threadedComment>
  <threadedComment ref="V55" dT="2026-05-22T04:58:16.71" personId="{EF441400-DF98-4BAA-85BC-480836A8189F}" id="{51DA76FB-A242-4AB9-8693-55BEE5CE06D1}">
    <text>Baja</text>
  </threadedComment>
  <threadedComment ref="V56" dT="2026-05-22T05:02:59.91" personId="{EF441400-DF98-4BAA-85BC-480836A8189F}" id="{13325FA8-4801-47B6-A0B7-347BBC9BA363}">
    <text>Operación Familiar</text>
  </threadedComment>
  <threadedComment ref="V57" dT="2026-05-18T12:56:11.30" personId="{EF441400-DF98-4BAA-85BC-480836A8189F}" id="{519BC964-9D4E-494B-837C-C25E073C8D3D}">
    <text>Baja</text>
  </threadedComment>
  <threadedComment ref="Y58" dT="2026-05-25T04:18:49.86" personId="{EF441400-DF98-4BAA-85BC-480836A8189F}" id="{63374632-FED3-4849-88B5-EE651AAB0B1E}">
    <text>Baja</text>
  </threadedComment>
  <threadedComment ref="AA60" dT="2026-05-27T05:04:23.26" personId="{EF441400-DF98-4BAA-85BC-480836A8189F}" id="{D477A798-4A86-412B-8E36-7F019119D727}">
    <text>Baja</text>
  </threadedComment>
  <threadedComment ref="AB60" dT="2026-05-27T05:04:23.26" personId="{EF441400-DF98-4BAA-85BC-480836A8189F}" id="{C9106B47-1D06-4514-9717-25BF81B2DE7D}">
    <text>Baja</text>
  </threadedComment>
  <threadedComment ref="Y66" dT="2026-05-25T13:09:47.63" personId="{EF441400-DF98-4BAA-85BC-480836A8189F}" id="{57046E20-BBDC-4898-992C-A088CF414E6D}">
    <text>Día Libre</text>
  </threadedComment>
  <threadedComment ref="Y67" dT="2026-05-25T13:10:00.14" personId="{EF441400-DF98-4BAA-85BC-480836A8189F}" id="{24285BE2-F8B6-403B-B677-4BFA54DCDB43}">
    <text>Día Libre</text>
  </threadedComment>
  <threadedComment ref="Y68" dT="2026-05-25T13:30:22.82" personId="{EF441400-DF98-4BAA-85BC-480836A8189F}" id="{2235C5CE-324B-4703-8581-759A283A7088}">
    <text>Mas tarde por medico</text>
  </threadedComment>
  <threadedComment ref="AA76" dT="2026-05-27T13:47:47.67" personId="{EF441400-DF98-4BAA-85BC-480836A8189F}" id="{C3269CBB-B367-450F-A0D5-21B1C4F9A18D}">
    <text>Baja</text>
  </threadedComment>
  <threadedComment ref="AB78" dT="2026-05-28T05:05:36.23" personId="{EF441400-DF98-4BAA-85BC-480836A8189F}" id="{10C1AAF5-B20C-45F4-AC17-FC6CCC8F8212}">
    <text>LLega 07:05</text>
  </threadedComment>
  <threadedComment ref="AF81" dT="2026-06-01T04:45:28.97" personId="{EF441400-DF98-4BAA-85BC-480836A8189F}" id="{83D813BA-91C9-4E9F-B241-FCFE2CC91D84}">
    <text>Baja</text>
  </threadedComment>
  <threadedComment ref="AG81" dT="2026-06-01T04:45:28.97" personId="{EF441400-DF98-4BAA-85BC-480836A8189F}" id="{669ECB7E-4F0A-4E50-8B1E-FD54E25FA547}">
    <text>Baja</text>
  </threadedComment>
  <threadedComment ref="AH81" dT="2026-06-01T04:45:28.97" personId="{EF441400-DF98-4BAA-85BC-480836A8189F}" id="{6CE3A9B6-3A5B-450B-85AC-C94933A6C4A5}">
    <text>Baja</text>
  </threadedComment>
  <threadedComment ref="AF84" dT="2026-06-01T04:45:02.75" personId="{EF441400-DF98-4BAA-85BC-480836A8189F}" id="{8B348C02-A1AB-4030-8095-F3FB29279C55}">
    <text>Familiar enfermo</text>
  </threadedComment>
  <threadedComment ref="AG84" dT="2026-06-01T04:45:02.75" personId="{EF441400-DF98-4BAA-85BC-480836A8189F}" id="{C8C17678-5610-498D-8AA7-05C64B567C20}">
    <text>Familiar enfermo</text>
  </threadedComment>
  <threadedComment ref="AH84" dT="2026-06-01T04:45:02.75" personId="{EF441400-DF98-4BAA-85BC-480836A8189F}" id="{627B984D-8F53-4412-96F0-F80D9EC51B64}">
    <text>Familiar enfermo</text>
  </threadedComment>
  <threadedComment ref="AM84" dT="2026-06-01T04:45:02.75" personId="{EF441400-DF98-4BAA-85BC-480836A8189F}" id="{D56F0C82-E614-452F-B130-257E78EE10E5}">
    <text>Familiar enfermo</text>
  </threadedComment>
  <threadedComment ref="AF85" dT="2026-06-01T04:45:40.84" personId="{EF441400-DF98-4BAA-85BC-480836A8189F}" id="{ADDFD3C2-E4BF-48B5-AB74-19C28E8D7394}">
    <text>Baja</text>
  </threadedComment>
  <threadedComment ref="AG85" dT="2026-06-01T04:45:40.84" personId="{EF441400-DF98-4BAA-85BC-480836A8189F}" id="{68290EDA-01E9-489B-9BA9-051D35499A42}">
    <text>Baja</text>
  </threadedComment>
  <threadedComment ref="AH85" dT="2026-06-01T04:45:40.84" personId="{EF441400-DF98-4BAA-85BC-480836A8189F}" id="{6CC12D86-7550-4061-9280-3E2596B8B126}">
    <text>Baja</text>
  </threadedComment>
  <threadedComment ref="AM85" dT="2026-06-01T04:45:40.84" personId="{EF441400-DF98-4BAA-85BC-480836A8189F}" id="{6E4410F2-89BA-4F60-BF65-EE736CAB3910}">
    <text>Baja</text>
  </threadedComment>
  <threadedComment ref="AF86" dT="2026-06-01T04:44:27.04" personId="{EF441400-DF98-4BAA-85BC-480836A8189F}" id="{E1467F21-71DA-469F-AE60-555337AB14B7}">
    <text>Vacaciones</text>
  </threadedComment>
  <threadedComment ref="AG86" dT="2026-06-01T04:44:27.04" personId="{EF441400-DF98-4BAA-85BC-480836A8189F}" id="{88196E5F-8C84-44D8-90DF-049F80E647CB}">
    <text>Vacaciones</text>
  </threadedComment>
  <threadedComment ref="AH86" dT="2026-06-01T04:44:27.04" personId="{EF441400-DF98-4BAA-85BC-480836A8189F}" id="{C42056EB-C3AD-4EC2-BDC5-3E97E4D229B7}">
    <text>Vacaciones</text>
  </threadedComment>
  <threadedComment ref="AF87" dT="2026-06-01T04:43:54.62" personId="{EF441400-DF98-4BAA-85BC-480836A8189F}" id="{D3B4E54F-F0B5-4C06-942A-EAF203D540A7}">
    <text>Día Libre</text>
  </threadedComment>
  <threadedComment ref="AG93" dT="2026-06-02T11:17:47.02" personId="{EF441400-DF98-4BAA-85BC-480836A8189F}" id="{98C28C42-E2A6-43B7-8D42-E57A8572946B}">
    <text>Accidente</text>
  </threadedComment>
  <threadedComment ref="AH93" dT="2026-06-02T11:17:47.02" personId="{EF441400-DF98-4BAA-85BC-480836A8189F}" id="{85AE0715-583F-4DCA-AF3F-5DA0FC550C48}">
    <text>Accidente</text>
  </threadedComment>
  <threadedComment ref="AG96" dT="2026-06-02T18:10:39.74" personId="{EF441400-DF98-4BAA-85BC-480836A8189F}" id="{FF692677-0354-4CE4-ABA0-0F8D34EED086}">
    <text>Se marcha a las 16:00</text>
  </threadedComment>
  <threadedComment ref="AM100" dT="2026-06-08T04:53:53.76" personId="{EF441400-DF98-4BAA-85BC-480836A8189F}" id="{AF71EF34-879C-43B8-98F1-04204B0BF58B}">
    <text>Paternidad</text>
  </threadedComment>
  <threadedComment ref="AN113" dT="2026-06-09T05:18:27.31" personId="{EF441400-DF98-4BAA-85BC-480836A8189F}" id="{F75041DD-71C1-4316-A459-F6C8FD1140B6}">
    <text>TEST CENTER</text>
  </threadedComment>
  <threadedComment ref="AO113" dT="2026-06-09T05:18:27.31" personId="{EF441400-DF98-4BAA-85BC-480836A8189F}" id="{A9E0EC93-FB66-4591-AB11-ACFD37745705}">
    <text>TEST CENTER</text>
  </threadedComment>
  <threadedComment ref="AP113" dT="2026-06-09T05:18:27.31" personId="{EF441400-DF98-4BAA-85BC-480836A8189F}" id="{DC6D2C16-4FD5-43B1-8BB6-4274E8AAD14F}">
    <text>TEST CENTER</text>
  </threadedComment>
  <threadedComment ref="AQ113" dT="2026-06-09T05:18:27.31" personId="{EF441400-DF98-4BAA-85BC-480836A8189F}" id="{2B3FF761-0595-4DE0-9958-F214D571AF3D}">
    <text>TEST CENTER</text>
  </threadedComment>
  <threadedComment ref="AT113" dT="2026-06-09T05:18:27.31" personId="{EF441400-DF98-4BAA-85BC-480836A8189F}" id="{5205DC04-9030-49DE-8EA9-593ED3DB0616}">
    <text>TEST CENTER</text>
  </threadedComment>
  <threadedComment ref="AU113" dT="2026-06-09T05:18:27.31" personId="{EF441400-DF98-4BAA-85BC-480836A8189F}" id="{CBFCA658-7368-4327-9AC7-029D07157A59}">
    <text>TEST CENTER</text>
  </threadedComment>
  <threadedComment ref="AN127" dT="2026-06-09T17:25:14.75" personId="{EF441400-DF98-4BAA-85BC-480836A8189F}" id="{A6EDC45B-41AC-4C3A-ADF5-C0E9475F066B}">
    <text>Reconocimiento llega 17:00</text>
  </threadedComment>
  <threadedComment ref="AO133" dT="2026-06-10T13:50:30.58" personId="{EF441400-DF98-4BAA-85BC-480836A8189F}" id="{6DD5A292-D060-4F43-AA4D-B4258F840A6A}">
    <text xml:space="preserve">Accidente </text>
  </threadedComment>
  <threadedComment ref="AP134" dT="2026-06-11T04:53:45.25" personId="{EF441400-DF98-4BAA-85BC-480836A8189F}" id="{66193A06-3D30-4B9C-BCD2-6E09ED1611DE}">
    <text>Día Libre</text>
  </threadedComment>
  <threadedComment ref="AP135" dT="2026-06-11T04:54:00.86" personId="{EF441400-DF98-4BAA-85BC-480836A8189F}" id="{C7EB4951-1BD3-4018-9106-E4BED6237CC9}">
    <text>Día Libre</text>
  </threadedComment>
  <threadedComment ref="AP136" dT="2026-06-11T05:06:55.21" personId="{EF441400-DF98-4BAA-85BC-480836A8189F}" id="{232A88A2-1364-4D6B-AFEC-3B6609541023}">
    <text>Día Libre</text>
  </threadedComment>
  <threadedComment ref="AQ137" dT="2026-06-12T05:38:24.76" personId="{EF441400-DF98-4BAA-85BC-480836A8189F}" id="{15CC64F1-E3BF-4049-8882-CFADE1B697EF}">
    <text>Día Libre</text>
  </threadedComment>
  <threadedComment ref="AT148" dT="2026-06-15T04:28:24.28" personId="{EF441400-DF98-4BAA-85BC-480836A8189F}" id="{321C1EF5-A728-48DE-8912-AC3C881907B3}">
    <text>Día Libre</text>
  </threadedComment>
  <threadedComment ref="AU153" dT="2026-06-16T04:46:02.65" personId="{EF441400-DF98-4BAA-85BC-480836A8189F}" id="{1E289A8A-3046-4000-BC7F-BA4493B764E5}">
    <text>Día Libre</text>
  </threadedComment>
  <threadedComment ref="AU154" dT="2026-06-16T04:46:47.79" personId="{EF441400-DF98-4BAA-85BC-480836A8189F}" id="{11A703FF-5644-424A-93B5-84374BC2BB36}">
    <text>Día Libre</text>
  </threadedComment>
  <threadedComment ref="AV164" dT="2026-06-17T13:32:39.15" personId="{EF441400-DF98-4BAA-85BC-480836A8189F}" id="{BF245923-F64D-4222-BB7D-32C6A8B1B1CD}">
    <text>Paternidad</text>
  </threadedComment>
  <threadedComment ref="AW164" dT="2026-06-17T13:32:39.15" personId="{EF441400-DF98-4BAA-85BC-480836A8189F}" id="{360AE34C-A58C-48C5-92CE-F963E4F977EE}">
    <text>Paternidad</text>
  </threadedComment>
  <threadedComment ref="AX164" dT="2026-06-17T13:32:39.15" personId="{EF441400-DF98-4BAA-85BC-480836A8189F}" id="{331ADCF8-E6D3-4ECF-BAEF-E711BF0A6D83}">
    <text>Paternidad</text>
  </threadedComment>
  <threadedComment ref="BA164" dT="2026-06-17T13:32:39.15" personId="{EF441400-DF98-4BAA-85BC-480836A8189F}" id="{077EDCD9-5E54-4220-BFA1-43B7D787E098}">
    <text>Paternidad</text>
  </threadedComment>
  <threadedComment ref="BB164" dT="2026-06-17T13:32:39.15" personId="{EF441400-DF98-4BAA-85BC-480836A8189F}" id="{AC5C72EA-F2C0-4D8E-ABB3-0E0E6C9C8BA3}">
    <text>Paternidad</text>
  </threadedComment>
  <threadedComment ref="BC164" dT="2026-06-17T13:32:39.15" personId="{EF441400-DF98-4BAA-85BC-480836A8189F}" id="{B0A78C5E-AD69-41AD-A15E-84972650A0F2}">
    <text>Paternidad</text>
  </threadedComment>
  <threadedComment ref="BD164" dT="2026-06-17T13:32:39.15" personId="{EF441400-DF98-4BAA-85BC-480836A8189F}" id="{C9EEC0DF-3F12-401C-A694-63FD984CDC31}">
    <text>Paternidad</text>
  </threadedComment>
  <threadedComment ref="BE164" dT="2026-06-17T13:32:39.15" personId="{EF441400-DF98-4BAA-85BC-480836A8189F}" id="{47D5DF53-55DB-48F7-ADB5-6B52BA300937}">
    <text>Paternidad</text>
  </threadedComment>
  <threadedComment ref="BH164" dT="2026-06-17T13:32:39.15" personId="{EF441400-DF98-4BAA-85BC-480836A8189F}" id="{CFB73CEC-72A3-4755-9BFF-77227075A37E}">
    <text>Paternidad</text>
  </threadedComment>
  <threadedComment ref="BI164" dT="2026-06-17T13:32:39.15" personId="{EF441400-DF98-4BAA-85BC-480836A8189F}" id="{5D6D0EBF-AAAC-4D1B-A3B0-D5F27B0BABF0}">
    <text>Paternidad</text>
  </threadedComment>
  <threadedComment ref="BJ164" dT="2026-06-17T13:32:39.15" personId="{EF441400-DF98-4BAA-85BC-480836A8189F}" id="{F45353F3-CF59-4D0A-AD86-D6B43C1BAE43}">
    <text>Paternidad</text>
  </threadedComment>
  <threadedComment ref="AV165" dT="2026-06-17T13:52:27.93" personId="{EF441400-DF98-4BAA-85BC-480836A8189F}" id="{7A8E1DE3-D778-4162-92D6-90F53D853351}">
    <text>Comite</text>
  </threadedComment>
  <threadedComment ref="AW165" dT="2026-06-17T13:52:27.93" personId="{EF441400-DF98-4BAA-85BC-480836A8189F}" id="{6D9B3683-5525-4B7C-9A9D-2887D740C973}">
    <text>Comite</text>
  </threadedComment>
  <threadedComment ref="AX165" dT="2026-06-17T13:52:27.93" personId="{EF441400-DF98-4BAA-85BC-480836A8189F}" id="{795ACECF-2E28-4475-9E1F-277E331EB52D}">
    <text>Comite</text>
  </threadedComment>
  <threadedComment ref="BD165" dT="2026-06-17T13:52:27.93" personId="{EF441400-DF98-4BAA-85BC-480836A8189F}" id="{7BA6DF30-2937-49D2-B81A-AB1E44511913}">
    <text>Comite</text>
  </threadedComment>
  <threadedComment ref="BE165" dT="2026-06-17T13:52:27.93" personId="{EF441400-DF98-4BAA-85BC-480836A8189F}" id="{0898A009-BF59-485D-915B-942CB938A1C9}">
    <text>Comite</text>
  </threadedComment>
  <threadedComment ref="BI165" dT="2026-06-17T13:52:27.93" personId="{EF441400-DF98-4BAA-85BC-480836A8189F}" id="{831B6287-2E95-4239-B370-BC4F73150B08}">
    <text>Comite</text>
  </threadedComment>
  <threadedComment ref="AW166" dT="2026-06-18T04:40:24.99" personId="{EF441400-DF98-4BAA-85BC-480836A8189F}" id="{E8C91FA9-5E71-4504-9FFF-7FBF4054B51E}">
    <text>Bancos</text>
  </threadedComment>
  <threadedComment ref="BA168" dT="2026-06-22T05:28:33.67" personId="{EF441400-DF98-4BAA-85BC-480836A8189F}" id="{FCDEECFD-A684-4BFD-B30E-6C8E139B436A}">
    <text>Murió suegro</text>
  </threadedComment>
  <threadedComment ref="BB168" dT="2026-06-22T05:28:33.67" personId="{EF441400-DF98-4BAA-85BC-480836A8189F}" id="{E677C956-A183-4451-99F6-ABAD12F003CC}">
    <text>Murió suegro</text>
  </threadedComment>
  <threadedComment ref="BE170" dT="2026-06-26T13:22:52.89" personId="{EF441400-DF98-4BAA-85BC-480836A8189F}" id="{A6FEC7C1-FB3F-4440-BAEE-8339F4E1D325}">
    <text>Operacion familiar</text>
  </threadedComment>
  <threadedComment ref="BD172" dT="2026-06-30T07:26:29.38" personId="{EF441400-DF98-4BAA-85BC-480836A8189F}" id="{2764C1F1-A32D-48B3-8A1F-99318C8EE526}">
    <text>Medico</text>
  </threadedComment>
  <threadedComment ref="BI172" dT="2026-06-30T07:26:15.59" personId="{EF441400-DF98-4BAA-85BC-480836A8189F}" id="{595A6CB9-1C67-45B0-8231-44F13B70E7A7}">
    <text>Medico 07:15</text>
  </threadedComment>
  <threadedComment ref="BD173" dT="2026-06-25T16:02:06.02" personId="{EF441400-DF98-4BAA-85BC-480836A8189F}" id="{D7909FC2-7425-469F-B4E2-37BA87D0B40B}">
    <text>Se va a la mutua tirón espalda</text>
  </threadedComment>
  <threadedComment ref="BD173" dT="2026-06-25T16:40:59.06" personId="{EF441400-DF98-4BAA-85BC-480836A8189F}" id="{9B607DF1-36F7-49C4-8ABA-8227DA4900B3}" parentId="{D7909FC2-7425-469F-B4E2-37BA87D0B40B}">
    <text>Vuelve a las 18:40</text>
  </threadedComment>
  <threadedComment ref="BI173" dT="2026-07-01T04:34:07.03" personId="{EF441400-DF98-4BAA-85BC-480836A8189F}" id="{5B43EDE0-D0C2-42D9-87EB-4656BD906DC6}">
    <text>De 09:30 a 17:30</text>
  </threadedComment>
  <threadedComment ref="BI175" dT="2026-06-30T04:26:46.34" personId="{EF441400-DF98-4BAA-85BC-480836A8189F}" id="{DC439D39-8BF8-497A-957A-BCDE684618F1}">
    <text>Medico</text>
  </threadedComment>
  <threadedComment ref="BI175" dT="2026-06-30T07:27:41.13" personId="{EF441400-DF98-4BAA-85BC-480836A8189F}" id="{E330B257-5EE7-4F04-A7A8-DDCAF29F4134}" parentId="{DC439D39-8BF8-497A-957A-BCDE684618F1}">
    <text>Baja</text>
  </threadedComment>
  <threadedComment ref="BJ175" dT="2026-06-30T04:26:46.34" personId="{EF441400-DF98-4BAA-85BC-480836A8189F}" id="{A4BA4999-B437-43DD-93DB-54ECFBD4704E}">
    <text>Medico</text>
  </threadedComment>
  <threadedComment ref="BJ175" dT="2026-06-30T07:27:41.13" personId="{EF441400-DF98-4BAA-85BC-480836A8189F}" id="{B7EA428B-A61D-4114-A85E-CC2994FB8E44}" parentId="{A4BA4999-B437-43DD-93DB-54ECFBD4704E}">
    <text>Baja</text>
  </threadedComment>
  <threadedComment ref="AV177" dT="2026-06-09T05:18:27.31" personId="{EF441400-DF98-4BAA-85BC-480836A8189F}" id="{2EBDABFA-AF9E-48CE-AABF-D004F4D0AA32}">
    <text>TEST CENTER</text>
  </threadedComment>
  <threadedComment ref="AW177" dT="2026-06-09T05:18:27.31" personId="{EF441400-DF98-4BAA-85BC-480836A8189F}" id="{08E87D65-AD79-4F5E-9AE5-BCC46698DC55}">
    <text>TEST CENTER</text>
  </threadedComment>
  <threadedComment ref="AX177" dT="2026-06-09T05:18:27.31" personId="{EF441400-DF98-4BAA-85BC-480836A8189F}" id="{947C1968-B181-4BD7-A3E4-9E365DD29F29}">
    <text>TEST CENTER</text>
  </threadedComment>
  <threadedComment ref="BA177" dT="2026-06-09T05:18:27.31" personId="{EF441400-DF98-4BAA-85BC-480836A8189F}" id="{5822660A-ACD6-45B1-BBAD-3658A3B93ACA}">
    <text>TEST CENTER</text>
  </threadedComment>
  <threadedComment ref="BB177" dT="2026-06-09T05:18:27.31" personId="{EF441400-DF98-4BAA-85BC-480836A8189F}" id="{17E9E8CE-83ED-4CF6-A514-82F1E6883297}">
    <text>TEST CENTER</text>
  </threadedComment>
  <threadedComment ref="BC177" dT="2026-06-09T05:18:27.31" personId="{EF441400-DF98-4BAA-85BC-480836A8189F}" id="{B66D65B8-B40B-4153-A018-63771DF58699}">
    <text>TEST CENTER</text>
  </threadedComment>
  <threadedComment ref="BD177" dT="2026-06-09T05:18:27.31" personId="{EF441400-DF98-4BAA-85BC-480836A8189F}" id="{F3C4E166-D18C-4DA4-859D-940399C40994}">
    <text>TEST CENTER</text>
  </threadedComment>
  <threadedComment ref="BE177" dT="2026-06-09T05:18:27.31" personId="{EF441400-DF98-4BAA-85BC-480836A8189F}" id="{B3165C46-0EEE-44BC-A210-2E90429FA1AB}">
    <text>TEST CENTER</text>
  </threadedComment>
  <threadedComment ref="BH177" dT="2026-06-09T05:18:27.31" personId="{EF441400-DF98-4BAA-85BC-480836A8189F}" id="{9A475D6C-82D7-4E6C-A91C-A30E5DB3D929}">
    <text>TEST CENTER</text>
  </threadedComment>
  <threadedComment ref="BI177" dT="2026-06-09T05:18:27.31" personId="{EF441400-DF98-4BAA-85BC-480836A8189F}" id="{8C00EBE7-10EC-406F-B5CD-41FF2B4C50E1}">
    <text>TEST CENTER</text>
  </threadedComment>
  <threadedComment ref="AV178" dT="2026-06-17T13:35:57.34" personId="{EF441400-DF98-4BAA-85BC-480836A8189F}" id="{BC393099-27BF-4436-8C4B-407575D99535}">
    <text>Comite</text>
  </threadedComment>
  <threadedComment ref="AX178" dT="2026-06-17T13:35:57.34" personId="{EF441400-DF98-4BAA-85BC-480836A8189F}" id="{4FA3FD0B-D4E8-4430-8B4E-73182CDE7FBC}">
    <text>Comite</text>
  </threadedComment>
  <threadedComment ref="BB178" dT="2026-06-17T13:35:57.34" personId="{EF441400-DF98-4BAA-85BC-480836A8189F}" id="{ABBA286D-AB14-4251-BB19-9C69BEAB6DDB}">
    <text>Comite</text>
  </threadedComment>
  <threadedComment ref="BD178" dT="2026-06-17T13:35:57.34" personId="{EF441400-DF98-4BAA-85BC-480836A8189F}" id="{3A93F5B4-8403-4751-866E-0A5AE312DEF5}">
    <text>Comite</text>
  </threadedComment>
  <threadedComment ref="BE178" dT="2026-06-17T13:35:57.34" personId="{EF441400-DF98-4BAA-85BC-480836A8189F}" id="{231D5596-31FB-494B-A445-42C3CCCE1C94}">
    <text>Comite</text>
  </threadedComment>
  <threadedComment ref="BI178" dT="2026-06-17T13:35:57.34" personId="{EF441400-DF98-4BAA-85BC-480836A8189F}" id="{2A262AB8-5C3F-435C-BFD3-E9F925B3084F}">
    <text>Comite</text>
  </threadedComment>
  <threadedComment ref="AW179" dT="2026-06-18T04:38:41.64" personId="{EF441400-DF98-4BAA-85BC-480836A8189F}" id="{15A0EDA3-7874-4F5E-BCB3-97FBEF5CEADC}">
    <text>Dia Libre</text>
  </threadedComment>
  <threadedComment ref="AV180" dT="2026-06-18T07:25:41.44" personId="{EF441400-DF98-4BAA-85BC-480836A8189F}" id="{3DAB45DC-5800-4347-AC6B-0E984C049BAC}">
    <text>Se fue a las 11:00 Medico</text>
  </threadedComment>
  <threadedComment ref="BA182" dT="2026-06-22T05:28:06.05" personId="{EF441400-DF98-4BAA-85BC-480836A8189F}" id="{10EB4F28-6C2B-4600-9E0D-2091FC02C29F}">
    <text>Día Libre</text>
  </threadedComment>
  <threadedComment ref="BE183" dT="2026-06-22T05:31:04.89" personId="{EF441400-DF98-4BAA-85BC-480836A8189F}" id="{2E01795A-5B70-4CDA-9D6E-A85850096202}">
    <text>Día Libre</text>
  </threadedComment>
  <threadedComment ref="BH184" dT="2026-06-22T05:32:16.83" personId="{EF441400-DF98-4BAA-85BC-480836A8189F}" id="{80BA9B3E-C7BF-4CD2-9294-B175E286EFCC}">
    <text>Día Libre</text>
  </threadedComment>
  <threadedComment ref="BE186" dT="2026-06-26T15:11:41.72" personId="{EF441400-DF98-4BAA-85BC-480836A8189F}" id="{C503B4D9-6DCE-4966-97FD-D556B2AF566B}">
    <text>Llega a la 16:48</text>
  </threadedComment>
  <threadedComment ref="AV194" dT="2026-06-17T14:01:54.00" personId="{EF441400-DF98-4BAA-85BC-480836A8189F}" id="{961AD85F-95FB-42CE-B820-7DB3FAB066B3}">
    <text>Comite</text>
  </threadedComment>
  <threadedComment ref="AW194" dT="2026-06-17T14:01:54.00" personId="{EF441400-DF98-4BAA-85BC-480836A8189F}" id="{0201830B-7937-4224-8FEF-98994D828B31}">
    <text>Comite</text>
  </threadedComment>
  <threadedComment ref="AX194" dT="2026-06-17T14:01:54.00" personId="{EF441400-DF98-4BAA-85BC-480836A8189F}" id="{251803DD-052D-4FC1-8A7F-E8192B5DF3D9}">
    <text>Comite</text>
  </threadedComment>
  <threadedComment ref="BD194" dT="2026-06-17T14:01:54.00" personId="{EF441400-DF98-4BAA-85BC-480836A8189F}" id="{57848B13-E18F-44BE-A815-2318BE1D5598}">
    <text>Comite</text>
  </threadedComment>
  <threadedComment ref="BE194" dT="2026-06-17T14:01:54.00" personId="{EF441400-DF98-4BAA-85BC-480836A8189F}" id="{2627DE79-577D-49B2-B603-9A29A93A742F}">
    <text>Comite</text>
  </threadedComment>
  <threadedComment ref="BI194" dT="2026-06-17T14:01:54.00" personId="{EF441400-DF98-4BAA-85BC-480836A8189F}" id="{C40FCE5B-7A2D-4C32-AFDD-E03F7CFB3F3B}">
    <text>Comite</text>
  </threadedComment>
  <threadedComment ref="AW195" dT="2026-06-19T14:16:07.14" personId="{EF441400-DF98-4BAA-85BC-480836A8189F}" id="{8E44F703-B2B6-4F3B-9054-C28421192C39}">
    <text>Se va a las 18:00</text>
  </threadedComment>
  <threadedComment ref="AW197" dT="2026-06-19T14:20:31.59" personId="{EF441400-DF98-4BAA-85BC-480836A8189F}" id="{0210516A-3201-4CDD-AB86-993B18D7ABA2}">
    <text>Se va a las 12:00</text>
  </threadedComment>
  <threadedComment ref="BA198" dT="2026-06-22T05:21:47.17" personId="{EF441400-DF98-4BAA-85BC-480836A8189F}" id="{50D749CA-5183-4395-8B5E-17523BD104DA}">
    <text>Vacaciones</text>
  </threadedComment>
  <threadedComment ref="BB198" dT="2026-06-22T05:21:47.17" personId="{EF441400-DF98-4BAA-85BC-480836A8189F}" id="{3ECE2ACD-112D-4681-8204-0550118EDAA1}">
    <text>Vacaciones</text>
  </threadedComment>
  <threadedComment ref="BC198" dT="2026-06-22T05:21:47.17" personId="{EF441400-DF98-4BAA-85BC-480836A8189F}" id="{66C1DEB7-BE7F-4526-82A6-F90FFFE45916}">
    <text>Vacaciones</text>
  </threadedComment>
  <threadedComment ref="BD198" dT="2026-06-22T05:21:47.17" personId="{EF441400-DF98-4BAA-85BC-480836A8189F}" id="{04D526F9-0984-479E-B929-842190A2CE71}">
    <text>Vacaciones</text>
  </threadedComment>
  <threadedComment ref="BE198" dT="2026-06-22T05:21:47.17" personId="{EF441400-DF98-4BAA-85BC-480836A8189F}" id="{93AC6306-B935-4240-B5E8-40FBE40B4FE3}">
    <text>Vacaciones</text>
  </threadedComment>
  <threadedComment ref="BA199" dT="2026-06-22T13:03:28.24" personId="{EF441400-DF98-4BAA-85BC-480836A8189F}" id="{75B5A9B5-F0F3-43A6-B69A-68F0B9B6C862}">
    <text>Día Libre</text>
  </threadedComment>
  <threadedComment ref="BB200" dT="2026-06-23T14:01:07.68" personId="{EF441400-DF98-4BAA-85BC-480836A8189F}" id="{EDAAEF60-1535-49EE-923F-714334C71FD6}">
    <text>Vacaciones</text>
  </threadedComment>
  <threadedComment ref="BC200" dT="2026-06-23T14:01:07.68" personId="{EF441400-DF98-4BAA-85BC-480836A8189F}" id="{5DDB8541-93A5-43B0-AC5E-23D9802DD6D8}">
    <text>Vacaciones</text>
  </threadedComment>
  <threadedComment ref="BD200" dT="2026-06-23T14:01:07.68" personId="{EF441400-DF98-4BAA-85BC-480836A8189F}" id="{2E1CE824-80DD-4094-B805-FEF5B443F991}">
    <text>Vacaciones</text>
  </threadedComment>
  <threadedComment ref="BE200" dT="2026-06-23T14:01:07.68" personId="{EF441400-DF98-4BAA-85BC-480836A8189F}" id="{34745658-3A60-4D89-90FB-5911173AE29E}">
    <text>Vacaciones</text>
  </threadedComment>
  <threadedComment ref="AV202" dT="2026-06-17T13:59:11.83" personId="{EF441400-DF98-4BAA-85BC-480836A8189F}" id="{022BA33E-F9A4-46FF-AA82-610FA19102A3}">
    <text>Paternidad</text>
  </threadedComment>
  <threadedComment ref="AW202" dT="2026-06-17T13:59:11.83" personId="{EF441400-DF98-4BAA-85BC-480836A8189F}" id="{3BE94894-162E-4DCC-B115-782BC6FBFC1E}">
    <text>Paternidad</text>
  </threadedComment>
  <threadedComment ref="AX202" dT="2026-06-17T13:59:11.83" personId="{EF441400-DF98-4BAA-85BC-480836A8189F}" id="{78B1A8E9-ABFD-4756-B6E5-5BFBCCDB580D}">
    <text>Paternidad</text>
  </threadedComment>
  <threadedComment ref="BA202" dT="2026-06-17T13:59:11.83" personId="{EF441400-DF98-4BAA-85BC-480836A8189F}" id="{5A200AAF-55A9-432F-B202-388A5572139C}">
    <text>Paternidad</text>
  </threadedComment>
  <threadedComment ref="BB202" dT="2026-06-17T13:59:11.83" personId="{EF441400-DF98-4BAA-85BC-480836A8189F}" id="{73444341-8B41-475E-8F21-E15AA8C08C35}">
    <text>Paternidad</text>
  </threadedComment>
  <threadedComment ref="BC202" dT="2026-06-17T13:59:11.83" personId="{EF441400-DF98-4BAA-85BC-480836A8189F}" id="{ED530DB2-BFC4-4B38-B6BA-72734252D1BF}">
    <text>Paternidad</text>
  </threadedComment>
  <threadedComment ref="BD202" dT="2026-06-17T13:59:11.83" personId="{EF441400-DF98-4BAA-85BC-480836A8189F}" id="{71D169E2-6B08-4145-9FB6-C21C09732EC3}">
    <text>Paternidad</text>
  </threadedComment>
  <threadedComment ref="BE202" dT="2026-06-17T13:59:11.83" personId="{EF441400-DF98-4BAA-85BC-480836A8189F}" id="{5387AFC1-CA54-40BA-B956-73DDCB8908FB}">
    <text>Paternidad</text>
  </threadedComment>
  <threadedComment ref="BH202" dT="2026-06-17T13:59:11.83" personId="{EF441400-DF98-4BAA-85BC-480836A8189F}" id="{73E53DD3-7D68-42AF-8946-5140289839E2}">
    <text>Paternidad</text>
  </threadedComment>
  <threadedComment ref="BI202" dT="2026-06-17T13:59:11.83" personId="{EF441400-DF98-4BAA-85BC-480836A8189F}" id="{52D60FCC-CD6D-413D-94E8-9326DD2037D2}">
    <text>Paternidad</text>
  </threadedComment>
  <threadedComment ref="BJ202" dT="2026-06-17T13:59:11.83" personId="{EF441400-DF98-4BAA-85BC-480836A8189F}" id="{73BF0A37-DCF6-43B0-84A2-78DD90C8B33B}">
    <text>Paternidad</text>
  </threadedComment>
  <threadedComment ref="AX206" dT="2026-06-19T14:22:10.43" personId="{EF441400-DF98-4BAA-85BC-480836A8189F}" id="{34990837-AFB3-465A-A26D-3D521C6E5F01}">
    <text>Día Libre</text>
  </threadedComment>
  <threadedComment ref="BA208" dT="2026-06-22T05:25:43.95" personId="{EF441400-DF98-4BAA-85BC-480836A8189F}" id="{25944109-89C8-4CFE-A0B5-B1A6CDDFEB31}">
    <text>Examen conducir</text>
  </threadedComment>
  <threadedComment ref="BA209" dT="2026-06-22T13:08:42.99" personId="{EF441400-DF98-4BAA-85BC-480836A8189F}" id="{3C307E0C-2E9B-4CCE-B1C8-0EA6591275E6}">
    <text>Revisión vista</text>
  </threadedComment>
  <threadedComment ref="BB209" dT="2026-06-22T13:08:42.99" personId="{EF441400-DF98-4BAA-85BC-480836A8189F}" id="{7A8A88EC-C7BD-40D9-9904-5FFD4877CDB1}">
    <text>Revisión vista</text>
  </threadedComment>
  <threadedComment ref="BE211" dT="2026-06-26T13:24:18.84" personId="{EF441400-DF98-4BAA-85BC-480836A8189F}" id="{A6322D73-26E1-4F6D-8904-EB2994589F32}">
    <text>Día Libre</text>
  </threadedComment>
  <threadedComment ref="BH212" dT="2026-06-29T05:27:15.94" personId="{EF441400-DF98-4BAA-85BC-480836A8189F}" id="{52E86D74-D667-4EC9-8C34-CE095C1F5AA4}">
    <text>Vacaciones</text>
  </threadedComment>
  <threadedComment ref="BI212" dT="2026-06-29T05:27:15.94" personId="{EF441400-DF98-4BAA-85BC-480836A8189F}" id="{DBEC3E6A-E87B-4B63-AEDD-A80CF4E6655C}">
    <text>Vacaciones</text>
  </threadedComment>
  <threadedComment ref="BJ212" dT="2026-06-29T05:27:15.94" personId="{EF441400-DF98-4BAA-85BC-480836A8189F}" id="{97509491-6E6D-4C37-A440-1397DF3065C5}">
    <text>Vacaciones</text>
  </threadedComment>
  <threadedComment ref="AV213" dT="2026-06-17T14:06:13.52" personId="{EF441400-DF98-4BAA-85BC-480836A8189F}" id="{5E64CFE7-566B-4D25-A573-D5DDEA2F07D2}">
    <text>Comite</text>
  </threadedComment>
  <threadedComment ref="AW213" dT="2026-06-17T14:06:13.52" personId="{EF441400-DF98-4BAA-85BC-480836A8189F}" id="{F3A713DD-B806-4D6C-AA34-BB846E6E19E5}">
    <text>Comite</text>
  </threadedComment>
  <threadedComment ref="AX213" dT="2026-06-17T14:06:13.52" personId="{EF441400-DF98-4BAA-85BC-480836A8189F}" id="{678A7E51-3B1B-47FA-B267-EE7711E935C2}">
    <text>Comite</text>
  </threadedComment>
  <threadedComment ref="BA213" dT="2026-06-17T14:06:13.52" personId="{EF441400-DF98-4BAA-85BC-480836A8189F}" id="{FB4BD208-DDB1-4C2D-97E8-CDD0D9519EA9}">
    <text>Comite</text>
  </threadedComment>
  <threadedComment ref="BB213" dT="2026-06-17T14:06:13.52" personId="{EF441400-DF98-4BAA-85BC-480836A8189F}" id="{33015167-578E-4BBB-AE51-B11047ADA5D0}">
    <text>Comite</text>
  </threadedComment>
  <threadedComment ref="BC213" dT="2026-06-17T14:06:13.52" personId="{EF441400-DF98-4BAA-85BC-480836A8189F}" id="{D89D708F-224A-4A97-BB6D-A5D9C80D0804}">
    <text>Comite</text>
  </threadedComment>
  <threadedComment ref="BD213" dT="2026-06-17T14:06:13.52" personId="{EF441400-DF98-4BAA-85BC-480836A8189F}" id="{B155CBC2-3D60-4AC6-911B-887361845F56}">
    <text>Comite</text>
  </threadedComment>
  <threadedComment ref="BE213" dT="2026-06-17T14:06:13.52" personId="{EF441400-DF98-4BAA-85BC-480836A8189F}" id="{64C4DA07-5A25-4BBB-A074-89A0326D0B11}">
    <text>Comite</text>
  </threadedComment>
  <threadedComment ref="BH213" dT="2026-06-17T14:06:13.52" personId="{EF441400-DF98-4BAA-85BC-480836A8189F}" id="{059A9D25-3530-4134-B86C-015887650E60}">
    <text>Comite</text>
  </threadedComment>
  <threadedComment ref="BI213" dT="2026-06-17T14:06:13.52" personId="{EF441400-DF98-4BAA-85BC-480836A8189F}" id="{E17BE564-FE37-4D36-A928-DD76FD1A04F9}">
    <text>Comite</text>
  </threadedComment>
  <threadedComment ref="BJ213" dT="2026-06-17T14:06:13.52" personId="{EF441400-DF98-4BAA-85BC-480836A8189F}" id="{57515DA3-7EF3-416A-98D9-DE3410132D3A}">
    <text>Comite</text>
  </threadedComment>
  <threadedComment ref="AV215" dT="2026-06-17T14:15:18.90" personId="{EF441400-DF98-4BAA-85BC-480836A8189F}" id="{F8D69677-F97A-4D0F-B6F5-CC4CA5A83DC8}">
    <text>Paternidad</text>
  </threadedComment>
  <threadedComment ref="AW215" dT="2026-06-17T14:15:18.90" personId="{EF441400-DF98-4BAA-85BC-480836A8189F}" id="{6AC81161-BFF9-4E25-878C-746A1B7ACD00}">
    <text>Paternidad</text>
  </threadedComment>
  <threadedComment ref="AX215" dT="2026-06-17T14:15:18.90" personId="{EF441400-DF98-4BAA-85BC-480836A8189F}" id="{AE3B3323-FB0D-4932-88D8-74E5070FD86E}">
    <text>Paternidad</text>
  </threadedComment>
  <threadedComment ref="BA215" dT="2026-06-17T14:15:18.90" personId="{EF441400-DF98-4BAA-85BC-480836A8189F}" id="{7B9A5FFD-22B0-42A6-B589-A4CB24ED92A3}">
    <text>Paternidad</text>
  </threadedComment>
  <threadedComment ref="BB215" dT="2026-06-17T14:15:18.90" personId="{EF441400-DF98-4BAA-85BC-480836A8189F}" id="{124999B0-2D99-4BDA-BE30-0B7304D8F3CA}">
    <text>Paternidad</text>
  </threadedComment>
  <threadedComment ref="BC215" dT="2026-06-17T14:15:18.90" personId="{EF441400-DF98-4BAA-85BC-480836A8189F}" id="{046F7995-5A20-4AC8-BE73-7D8471666E84}">
    <text>Paternidad</text>
  </threadedComment>
  <threadedComment ref="BD215" dT="2026-06-17T14:15:18.90" personId="{EF441400-DF98-4BAA-85BC-480836A8189F}" id="{46FFDACE-0676-4CE6-83C4-6821D6AF495F}">
    <text>Paternidad</text>
  </threadedComment>
  <threadedComment ref="BE215" dT="2026-06-17T14:15:18.90" personId="{EF441400-DF98-4BAA-85BC-480836A8189F}" id="{6ECB9328-1D3A-4FE1-871B-24EA829B797C}">
    <text>Paternidad</text>
  </threadedComment>
  <threadedComment ref="BH215" dT="2026-06-17T14:15:18.90" personId="{EF441400-DF98-4BAA-85BC-480836A8189F}" id="{68160D6B-A525-4F6B-9D53-8EE83DADD61C}">
    <text>Paternidad</text>
  </threadedComment>
  <threadedComment ref="BI215" dT="2026-06-17T14:15:18.90" personId="{EF441400-DF98-4BAA-85BC-480836A8189F}" id="{A6FCDCF8-F508-4166-B8A9-D0D3F0ABB3F4}">
    <text>Paternidad</text>
  </threadedComment>
  <threadedComment ref="BJ215" dT="2026-06-17T14:15:18.90" personId="{EF441400-DF98-4BAA-85BC-480836A8189F}" id="{F4A5E446-6319-4522-95F5-DA9531CF259C}">
    <text>Paternidad</text>
  </threadedComment>
  <threadedComment ref="AV216" dT="2026-06-18T03:47:32.99" personId="{EF441400-DF98-4BAA-85BC-480836A8189F}" id="{4FA5C084-7C97-43FC-A0B7-1FA80F5BFD92}">
    <text>Vacaciones</text>
  </threadedComment>
  <threadedComment ref="AW216" dT="2026-06-18T03:47:32.99" personId="{EF441400-DF98-4BAA-85BC-480836A8189F}" id="{F42A7DB9-57B4-49D8-AF6E-9C1ABCC28EE5}">
    <text>Vacaciones</text>
  </threadedComment>
  <threadedComment ref="AX216" dT="2026-06-18T03:47:32.99" personId="{EF441400-DF98-4BAA-85BC-480836A8189F}" id="{868FC413-B737-4D73-96A7-3F0A40923A7A}">
    <text>Vacaciones</text>
  </threadedComment>
  <threadedComment ref="BA216" dT="2026-06-18T03:47:32.99" personId="{EF441400-DF98-4BAA-85BC-480836A8189F}" id="{AFC8E949-3D21-4395-9C9E-E0C6969BC628}">
    <text>Vacaciones</text>
  </threadedComment>
  <threadedComment ref="BA220" dT="2026-06-22T05:27:46.25" personId="{EF441400-DF98-4BAA-85BC-480836A8189F}" id="{FF80B69F-3AED-4BBB-A52F-2A8C360AC925}">
    <text>Día Libre</text>
  </threadedComment>
  <threadedComment ref="BA221" dT="2026-06-22T13:12:49.18" personId="{EF441400-DF98-4BAA-85BC-480836A8189F}" id="{78BE85FF-B293-4684-B9BA-C3EEFB5C8F0D}">
    <text>Enfermo</text>
  </threadedComment>
  <threadedComment ref="BD223" dT="2026-06-25T16:43:16.26" personId="{EF441400-DF98-4BAA-85BC-480836A8189F}" id="{AA2D56DE-4F32-466C-B91C-A78FBCEB2F69}">
    <text>Se marcha a las 15:45</text>
  </threadedComment>
  <threadedComment ref="BE224" dT="2026-06-26T05:23:43.36" personId="{EF441400-DF98-4BAA-85BC-480836A8189F}" id="{96E8E0F1-A853-4A23-B1C3-4AE0992214EB}">
    <text>Día Libre</text>
  </threadedComment>
  <threadedComment ref="BH225" dT="2026-06-29T05:29:09.31" personId="{EF441400-DF98-4BAA-85BC-480836A8189F}" id="{4C1BC2C7-10CA-40C0-B2EB-2DE4AA7FDDAE}">
    <text>Día Libre</text>
  </threadedComment>
  <threadedComment ref="BH226" dT="2026-06-29T05:29:20.66" personId="{EF441400-DF98-4BAA-85BC-480836A8189F}" id="{66908A6D-1775-4457-8EA0-0FCF2FDA506D}">
    <text>Vacaciones</text>
  </threadedComment>
  <threadedComment ref="BH227" dT="2026-06-29T10:40:33.67" personId="{EF441400-DF98-4BAA-85BC-480836A8189F}" id="{91A3FF27-F54B-4584-946E-B2E6C84D529F}">
    <text>Se va a las 12:00</text>
  </threadedComment>
  <threadedComment ref="AV229" dT="2026-06-17T14:23:08.01" personId="{EF441400-DF98-4BAA-85BC-480836A8189F}" id="{8CD9BD37-F7AD-4E38-9773-E531688577CA}">
    <text>Vacaciones</text>
  </threadedComment>
  <threadedComment ref="AW229" dT="2026-06-17T14:23:08.01" personId="{EF441400-DF98-4BAA-85BC-480836A8189F}" id="{B1BC5F49-A85A-4AA2-8817-7215E64861ED}">
    <text>Vacaciones</text>
  </threadedComment>
  <threadedComment ref="AX229" dT="2026-06-17T14:23:08.01" personId="{EF441400-DF98-4BAA-85BC-480836A8189F}" id="{0BAF72A7-0CDA-485F-A104-61F0A5F73A21}">
    <text>Vacaciones</text>
  </threadedComment>
  <threadedComment ref="BA229" dT="2026-06-17T14:23:08.01" personId="{EF441400-DF98-4BAA-85BC-480836A8189F}" id="{9E39BFA8-6826-4860-832B-EBF6A729E761}">
    <text>Vacaciones</text>
  </threadedComment>
  <threadedComment ref="BA232" dT="2026-06-22T13:16:13.76" personId="{EF441400-DF98-4BAA-85BC-480836A8189F}" id="{9903492B-FD52-48D5-A2C5-ADE7DEBF32FC}">
    <text>Día Libre</text>
  </threadedComment>
  <threadedComment ref="BH233" dT="2026-06-29T13:48:54.83" personId="{EF441400-DF98-4BAA-85BC-480836A8189F}" id="{B9A669D3-9C9D-49F0-9678-A770DBCD4519}">
    <text>Día Libre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8065-B2AA-4847-9635-3453389B30A5}">
  <dimension ref="A1:ER203"/>
  <sheetViews>
    <sheetView topLeftCell="A183" workbookViewId="0">
      <selection activeCell="K216" sqref="K216"/>
    </sheetView>
  </sheetViews>
  <sheetFormatPr defaultColWidth="9.140625" defaultRowHeight="15"/>
  <cols>
    <col min="1" max="1" width="38.7109375" customWidth="1"/>
    <col min="2" max="2" width="28.140625" customWidth="1"/>
    <col min="3" max="3" width="11.85546875" customWidth="1"/>
    <col min="5" max="5" width="13.7109375" customWidth="1"/>
  </cols>
  <sheetData>
    <row r="1" spans="1:148" ht="27" customHeight="1">
      <c r="A1" s="145" t="s">
        <v>0</v>
      </c>
      <c r="B1" s="145" t="s">
        <v>1</v>
      </c>
      <c r="C1" s="145" t="s">
        <v>2</v>
      </c>
      <c r="D1" s="145" t="s">
        <v>3</v>
      </c>
      <c r="E1" s="145" t="s">
        <v>4</v>
      </c>
      <c r="F1" s="8"/>
      <c r="G1" s="8"/>
      <c r="H1" s="8"/>
      <c r="I1" s="8"/>
      <c r="J1" s="8"/>
      <c r="K1" s="8"/>
      <c r="L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</row>
    <row r="2" spans="1:148">
      <c r="A2" s="10" t="s">
        <v>5</v>
      </c>
      <c r="B2" s="12" t="s">
        <v>6</v>
      </c>
      <c r="C2" s="12" t="str">
        <f>IF(COUNTBLANK((F2:BH2))=54,"Check",IF(COUNTBLANK(D2:BH2)=57,"Falta pedir","Ok"))</f>
        <v>Ok</v>
      </c>
      <c r="D2" s="13" t="s">
        <v>7</v>
      </c>
      <c r="E2" s="13" t="s">
        <v>8</v>
      </c>
      <c r="G2" s="14"/>
      <c r="H2" s="14"/>
      <c r="I2" s="14"/>
      <c r="J2" s="14"/>
      <c r="K2" s="14"/>
      <c r="L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</row>
    <row r="3" spans="1:148">
      <c r="A3" s="18" t="s">
        <v>9</v>
      </c>
      <c r="B3" s="11" t="s">
        <v>6</v>
      </c>
      <c r="C3" s="12" t="str">
        <f>IF(COUNTBLANK((F3:BH3))=54,"Check",IF(COUNTBLANK(D3:BH3)=57,"Falta pedir","Ok"))</f>
        <v>Ok</v>
      </c>
      <c r="D3" s="13" t="s">
        <v>7</v>
      </c>
      <c r="E3" s="13" t="s">
        <v>8</v>
      </c>
      <c r="G3" s="14"/>
      <c r="H3" s="14"/>
      <c r="I3" s="14"/>
      <c r="J3" s="14"/>
      <c r="K3" s="14"/>
      <c r="L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</row>
    <row r="4" spans="1:148">
      <c r="A4" s="152" t="s">
        <v>10</v>
      </c>
      <c r="B4" s="141" t="s">
        <v>11</v>
      </c>
      <c r="C4" s="141" t="str">
        <f>IF(COUNTBLANK((F4:BH4))=54,"Check",IF(COUNTBLANK(D4:BH4)=57,"Falta pedir","Ok"))</f>
        <v>Ok</v>
      </c>
      <c r="D4" s="142" t="s">
        <v>7</v>
      </c>
      <c r="E4" s="142" t="s">
        <v>8</v>
      </c>
      <c r="G4" s="14"/>
      <c r="H4" s="14"/>
      <c r="I4" s="14"/>
      <c r="J4" s="14"/>
      <c r="K4" s="14"/>
      <c r="L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</row>
    <row r="5" spans="1:148">
      <c r="A5" s="10" t="s">
        <v>12</v>
      </c>
      <c r="B5" s="11" t="s">
        <v>11</v>
      </c>
      <c r="C5" s="11" t="s">
        <v>13</v>
      </c>
      <c r="D5" s="14" t="s">
        <v>7</v>
      </c>
      <c r="E5" s="14" t="s">
        <v>8</v>
      </c>
      <c r="G5" s="14"/>
      <c r="H5" s="14"/>
      <c r="I5" s="14"/>
      <c r="J5" s="14"/>
      <c r="K5" s="14"/>
      <c r="L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</row>
    <row r="6" spans="1:148">
      <c r="A6" s="148" t="s">
        <v>14</v>
      </c>
      <c r="B6" s="149" t="s">
        <v>11</v>
      </c>
      <c r="C6" s="149"/>
      <c r="D6" s="150" t="s">
        <v>7</v>
      </c>
      <c r="E6" s="150" t="s">
        <v>8</v>
      </c>
      <c r="G6" s="14"/>
      <c r="H6" s="14"/>
      <c r="I6" s="14"/>
      <c r="J6" s="14"/>
      <c r="K6" s="14"/>
      <c r="L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</row>
    <row r="7" spans="1:148">
      <c r="A7" s="10" t="s">
        <v>15</v>
      </c>
      <c r="B7" s="30" t="s">
        <v>16</v>
      </c>
      <c r="C7" s="12" t="str">
        <f t="shared" ref="C7:C32" si="0">IF(COUNTBLANK((F7:BH7))=54,"Check",IF(COUNTBLANK(D7:BH7)=57,"Falta pedir","Ok"))</f>
        <v>Ok</v>
      </c>
      <c r="D7" s="14" t="s">
        <v>17</v>
      </c>
      <c r="E7" s="14" t="s">
        <v>18</v>
      </c>
      <c r="G7" s="14"/>
      <c r="H7" s="14"/>
      <c r="I7" s="14"/>
      <c r="J7" s="14"/>
      <c r="K7" s="14"/>
      <c r="L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</row>
    <row r="8" spans="1:148">
      <c r="A8" s="18" t="s">
        <v>19</v>
      </c>
      <c r="B8" s="26" t="s">
        <v>16</v>
      </c>
      <c r="C8" s="12" t="str">
        <f t="shared" si="0"/>
        <v>Ok</v>
      </c>
      <c r="D8" s="14" t="s">
        <v>17</v>
      </c>
      <c r="E8" s="14" t="s">
        <v>18</v>
      </c>
      <c r="G8" s="14"/>
      <c r="H8" s="14"/>
      <c r="I8" s="14"/>
      <c r="J8" s="14"/>
      <c r="K8" s="14"/>
      <c r="L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</row>
    <row r="9" spans="1:148">
      <c r="A9" s="18" t="s">
        <v>20</v>
      </c>
      <c r="B9" s="26" t="s">
        <v>16</v>
      </c>
      <c r="C9" s="12" t="str">
        <f t="shared" si="0"/>
        <v>Ok</v>
      </c>
      <c r="D9" s="14" t="s">
        <v>17</v>
      </c>
      <c r="E9" s="14" t="s">
        <v>18</v>
      </c>
      <c r="G9" s="14"/>
      <c r="H9" s="14"/>
      <c r="I9" s="14"/>
      <c r="J9" s="14"/>
      <c r="K9" s="14"/>
      <c r="L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</row>
    <row r="10" spans="1:148">
      <c r="A10" s="18" t="s">
        <v>21</v>
      </c>
      <c r="B10" s="26" t="s">
        <v>16</v>
      </c>
      <c r="C10" s="12" t="str">
        <f t="shared" si="0"/>
        <v>Ok</v>
      </c>
      <c r="D10" s="14" t="s">
        <v>17</v>
      </c>
      <c r="E10" s="14" t="s">
        <v>18</v>
      </c>
      <c r="G10" s="14"/>
      <c r="H10" s="14"/>
      <c r="I10" s="14"/>
      <c r="J10" s="14"/>
      <c r="K10" s="14"/>
      <c r="L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</row>
    <row r="11" spans="1:148">
      <c r="A11" s="18" t="s">
        <v>22</v>
      </c>
      <c r="B11" s="26" t="s">
        <v>16</v>
      </c>
      <c r="C11" s="12" t="str">
        <f t="shared" si="0"/>
        <v>Ok</v>
      </c>
      <c r="D11" s="14" t="s">
        <v>17</v>
      </c>
      <c r="E11" s="14" t="s">
        <v>18</v>
      </c>
      <c r="G11" s="14"/>
      <c r="H11" s="14"/>
      <c r="I11" s="14"/>
      <c r="J11" s="14"/>
      <c r="K11" s="14"/>
      <c r="L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</row>
    <row r="12" spans="1:148">
      <c r="A12" s="18" t="s">
        <v>23</v>
      </c>
      <c r="B12" s="26" t="s">
        <v>16</v>
      </c>
      <c r="C12" s="12" t="str">
        <f t="shared" si="0"/>
        <v>Ok</v>
      </c>
      <c r="D12" s="14" t="s">
        <v>17</v>
      </c>
      <c r="E12" s="14" t="s">
        <v>18</v>
      </c>
      <c r="G12" s="14"/>
      <c r="H12" s="14"/>
      <c r="I12" s="14"/>
      <c r="J12" s="14"/>
      <c r="K12" s="14"/>
      <c r="L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</row>
    <row r="13" spans="1:148">
      <c r="A13" s="18" t="s">
        <v>24</v>
      </c>
      <c r="B13" s="26" t="s">
        <v>16</v>
      </c>
      <c r="C13" s="12" t="str">
        <f t="shared" si="0"/>
        <v>Ok</v>
      </c>
      <c r="D13" s="14" t="s">
        <v>17</v>
      </c>
      <c r="E13" s="14" t="s">
        <v>18</v>
      </c>
      <c r="G13" s="14"/>
      <c r="H13" s="14"/>
      <c r="I13" s="14"/>
      <c r="J13" s="14"/>
      <c r="K13" s="14"/>
      <c r="L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</row>
    <row r="14" spans="1:148">
      <c r="A14" s="18" t="s">
        <v>25</v>
      </c>
      <c r="B14" s="26" t="s">
        <v>16</v>
      </c>
      <c r="C14" s="12" t="str">
        <f t="shared" si="0"/>
        <v>Ok</v>
      </c>
      <c r="D14" s="14" t="s">
        <v>17</v>
      </c>
      <c r="E14" s="14" t="s">
        <v>18</v>
      </c>
      <c r="G14" s="14"/>
      <c r="H14" s="14"/>
      <c r="I14" s="14"/>
      <c r="J14" s="14"/>
      <c r="K14" s="14"/>
      <c r="L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</row>
    <row r="15" spans="1:148">
      <c r="A15" s="18" t="s">
        <v>26</v>
      </c>
      <c r="B15" s="26" t="s">
        <v>16</v>
      </c>
      <c r="C15" s="12" t="str">
        <f t="shared" si="0"/>
        <v>Ok</v>
      </c>
      <c r="D15" s="14" t="s">
        <v>17</v>
      </c>
      <c r="E15" s="14" t="s">
        <v>18</v>
      </c>
      <c r="G15" s="14"/>
      <c r="H15" s="14"/>
      <c r="I15" s="14"/>
      <c r="J15" s="14"/>
      <c r="K15" s="14"/>
      <c r="L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</row>
    <row r="16" spans="1:148">
      <c r="A16" s="6" t="s">
        <v>27</v>
      </c>
      <c r="B16" s="31" t="s">
        <v>16</v>
      </c>
      <c r="C16" s="146" t="str">
        <f t="shared" si="0"/>
        <v>Ok</v>
      </c>
      <c r="D16" s="5" t="s">
        <v>17</v>
      </c>
      <c r="E16" s="14" t="s">
        <v>18</v>
      </c>
    </row>
    <row r="17" spans="1:148">
      <c r="A17" s="6" t="s">
        <v>28</v>
      </c>
      <c r="B17" s="31" t="s">
        <v>16</v>
      </c>
      <c r="C17" s="146" t="str">
        <f t="shared" si="0"/>
        <v>Ok</v>
      </c>
      <c r="D17" s="5" t="s">
        <v>17</v>
      </c>
      <c r="E17" s="14" t="s">
        <v>18</v>
      </c>
    </row>
    <row r="18" spans="1:148">
      <c r="A18" s="18" t="s">
        <v>29</v>
      </c>
      <c r="B18" s="26" t="s">
        <v>16</v>
      </c>
      <c r="C18" s="12" t="str">
        <f t="shared" si="0"/>
        <v>Ok</v>
      </c>
      <c r="D18" s="14" t="s">
        <v>17</v>
      </c>
      <c r="E18" s="14" t="s">
        <v>18</v>
      </c>
      <c r="G18" s="14"/>
      <c r="H18" s="14"/>
      <c r="I18" s="14"/>
      <c r="J18" s="14"/>
      <c r="K18" s="14"/>
      <c r="L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</row>
    <row r="19" spans="1:148">
      <c r="A19" s="18" t="s">
        <v>30</v>
      </c>
      <c r="B19" s="26" t="s">
        <v>16</v>
      </c>
      <c r="C19" s="12" t="str">
        <f t="shared" si="0"/>
        <v>Ok</v>
      </c>
      <c r="D19" s="14" t="s">
        <v>17</v>
      </c>
      <c r="E19" s="14" t="s">
        <v>18</v>
      </c>
      <c r="G19" s="14"/>
      <c r="H19" s="14"/>
      <c r="I19" s="14"/>
      <c r="J19" s="14"/>
      <c r="K19" s="14"/>
      <c r="L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</row>
    <row r="20" spans="1:148">
      <c r="A20" s="18" t="s">
        <v>31</v>
      </c>
      <c r="B20" s="26" t="s">
        <v>16</v>
      </c>
      <c r="C20" s="12" t="str">
        <f t="shared" si="0"/>
        <v>Ok</v>
      </c>
      <c r="D20" s="14" t="s">
        <v>17</v>
      </c>
      <c r="E20" s="14" t="s">
        <v>18</v>
      </c>
      <c r="G20" s="14"/>
      <c r="H20" s="14"/>
      <c r="I20" s="14"/>
      <c r="J20" s="14"/>
      <c r="K20" s="14"/>
      <c r="L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</row>
    <row r="21" spans="1:148">
      <c r="A21" s="18" t="s">
        <v>32</v>
      </c>
      <c r="B21" s="26" t="s">
        <v>16</v>
      </c>
      <c r="C21" s="12" t="str">
        <f t="shared" si="0"/>
        <v>Ok</v>
      </c>
      <c r="D21" s="14" t="s">
        <v>17</v>
      </c>
      <c r="E21" s="14" t="s">
        <v>18</v>
      </c>
      <c r="G21" s="14"/>
      <c r="H21" s="14"/>
      <c r="I21" s="14"/>
      <c r="J21" s="14"/>
      <c r="K21" s="14"/>
      <c r="L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</row>
    <row r="22" spans="1:148">
      <c r="A22" s="18" t="s">
        <v>33</v>
      </c>
      <c r="B22" s="26" t="s">
        <v>16</v>
      </c>
      <c r="C22" s="12" t="str">
        <f t="shared" si="0"/>
        <v>Ok</v>
      </c>
      <c r="D22" s="14" t="s">
        <v>17</v>
      </c>
      <c r="E22" s="14" t="s">
        <v>18</v>
      </c>
      <c r="G22" s="14"/>
      <c r="H22" s="14"/>
      <c r="I22" s="14"/>
      <c r="J22" s="14"/>
      <c r="K22" s="14"/>
      <c r="L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</row>
    <row r="23" spans="1:148">
      <c r="A23" s="18" t="s">
        <v>34</v>
      </c>
      <c r="B23" s="26" t="s">
        <v>16</v>
      </c>
      <c r="C23" s="12" t="str">
        <f t="shared" si="0"/>
        <v>Ok</v>
      </c>
      <c r="D23" s="14" t="s">
        <v>17</v>
      </c>
      <c r="E23" s="14" t="s">
        <v>18</v>
      </c>
      <c r="G23" s="14"/>
      <c r="H23" s="14"/>
      <c r="I23" s="14"/>
      <c r="J23" s="14"/>
      <c r="K23" s="14"/>
      <c r="L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</row>
    <row r="24" spans="1:148">
      <c r="A24" s="10" t="s">
        <v>35</v>
      </c>
      <c r="B24" s="30" t="s">
        <v>16</v>
      </c>
      <c r="C24" s="12" t="str">
        <f t="shared" si="0"/>
        <v>Ok</v>
      </c>
      <c r="D24" s="14" t="s">
        <v>17</v>
      </c>
      <c r="E24" s="14" t="s">
        <v>18</v>
      </c>
      <c r="G24" s="14"/>
      <c r="H24" s="14"/>
      <c r="I24" s="14"/>
      <c r="J24" s="14"/>
      <c r="K24" s="14"/>
      <c r="L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</row>
    <row r="25" spans="1:148">
      <c r="A25" s="18" t="s">
        <v>36</v>
      </c>
      <c r="B25" s="26" t="s">
        <v>16</v>
      </c>
      <c r="C25" s="12" t="str">
        <f t="shared" si="0"/>
        <v>Ok</v>
      </c>
      <c r="D25" s="14" t="s">
        <v>17</v>
      </c>
      <c r="E25" s="14" t="s">
        <v>18</v>
      </c>
      <c r="G25" s="14"/>
      <c r="H25" s="14"/>
      <c r="I25" s="14"/>
      <c r="J25" s="14"/>
      <c r="K25" s="14"/>
      <c r="L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</row>
    <row r="26" spans="1:148">
      <c r="A26" s="18" t="s">
        <v>37</v>
      </c>
      <c r="B26" s="26" t="s">
        <v>16</v>
      </c>
      <c r="C26" s="12" t="str">
        <f t="shared" si="0"/>
        <v>Ok</v>
      </c>
      <c r="D26" s="14" t="s">
        <v>17</v>
      </c>
      <c r="E26" s="14" t="s">
        <v>18</v>
      </c>
      <c r="G26" s="14"/>
      <c r="H26" s="14"/>
      <c r="I26" s="14"/>
      <c r="J26" s="14"/>
      <c r="K26" s="14"/>
      <c r="L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</row>
    <row r="27" spans="1:148">
      <c r="A27" s="18" t="s">
        <v>38</v>
      </c>
      <c r="B27" s="26" t="s">
        <v>16</v>
      </c>
      <c r="C27" s="12" t="str">
        <f t="shared" si="0"/>
        <v>Ok</v>
      </c>
      <c r="D27" s="14" t="s">
        <v>17</v>
      </c>
      <c r="E27" s="14" t="s">
        <v>18</v>
      </c>
      <c r="G27" s="14"/>
      <c r="H27" s="14"/>
      <c r="I27" s="14"/>
      <c r="J27" s="14"/>
      <c r="K27" s="14"/>
      <c r="L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</row>
    <row r="28" spans="1:148">
      <c r="A28" s="6" t="s">
        <v>39</v>
      </c>
      <c r="B28" s="31" t="s">
        <v>16</v>
      </c>
      <c r="C28" s="146" t="str">
        <f t="shared" si="0"/>
        <v>Ok</v>
      </c>
      <c r="D28" s="5" t="s">
        <v>17</v>
      </c>
      <c r="E28" s="14" t="s">
        <v>18</v>
      </c>
      <c r="G28" s="14"/>
      <c r="H28" s="14"/>
      <c r="I28" s="14"/>
      <c r="J28" s="14"/>
      <c r="K28" s="14"/>
      <c r="L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</row>
    <row r="29" spans="1:148">
      <c r="A29" s="6" t="s">
        <v>40</v>
      </c>
      <c r="B29" s="161" t="s">
        <v>16</v>
      </c>
      <c r="C29" s="146" t="str">
        <f t="shared" si="0"/>
        <v>Ok</v>
      </c>
      <c r="D29" s="5" t="s">
        <v>17</v>
      </c>
      <c r="E29" s="14" t="s">
        <v>18</v>
      </c>
      <c r="G29" s="14"/>
      <c r="H29" s="14"/>
      <c r="I29" s="14"/>
      <c r="J29" s="14"/>
      <c r="K29" s="14"/>
      <c r="L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</row>
    <row r="30" spans="1:148">
      <c r="A30" s="6" t="s">
        <v>41</v>
      </c>
      <c r="B30" s="31" t="s">
        <v>16</v>
      </c>
      <c r="C30" s="146" t="str">
        <f t="shared" si="0"/>
        <v>Ok</v>
      </c>
      <c r="D30" s="5" t="s">
        <v>17</v>
      </c>
      <c r="E30" s="14" t="s">
        <v>18</v>
      </c>
    </row>
    <row r="31" spans="1:148">
      <c r="A31" s="6" t="s">
        <v>42</v>
      </c>
      <c r="B31" s="31" t="s">
        <v>16</v>
      </c>
      <c r="C31" s="146" t="str">
        <f t="shared" si="0"/>
        <v>Ok</v>
      </c>
      <c r="D31" s="5" t="s">
        <v>17</v>
      </c>
      <c r="E31" s="14" t="s">
        <v>18</v>
      </c>
    </row>
    <row r="32" spans="1:148">
      <c r="A32" s="6" t="s">
        <v>43</v>
      </c>
      <c r="B32" s="31" t="s">
        <v>16</v>
      </c>
      <c r="C32" s="146" t="str">
        <f t="shared" si="0"/>
        <v>Ok</v>
      </c>
      <c r="D32" s="5" t="s">
        <v>17</v>
      </c>
      <c r="E32" s="14" t="s">
        <v>18</v>
      </c>
    </row>
    <row r="33" spans="1:148">
      <c r="A33" s="33" t="s">
        <v>44</v>
      </c>
      <c r="B33" s="34" t="s">
        <v>45</v>
      </c>
      <c r="C33" s="97" t="e">
        <f>IF(COUNTBLANK((#REF!))=54,"Check",IF(COUNTBLANK(#REF!)=57,"Falta pedir","Ok"))</f>
        <v>#REF!</v>
      </c>
      <c r="D33" s="144" t="s">
        <v>17</v>
      </c>
      <c r="E33" s="144" t="s">
        <v>18</v>
      </c>
      <c r="G33" s="14"/>
      <c r="H33" s="14"/>
      <c r="I33" s="14"/>
      <c r="J33" s="14"/>
      <c r="K33" s="14"/>
      <c r="L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</row>
    <row r="34" spans="1:148">
      <c r="A34" s="174" t="s">
        <v>46</v>
      </c>
      <c r="B34" s="11" t="s">
        <v>6</v>
      </c>
      <c r="C34" s="12" t="s">
        <v>13</v>
      </c>
      <c r="D34" s="13" t="s">
        <v>47</v>
      </c>
      <c r="E34" s="13" t="s">
        <v>48</v>
      </c>
      <c r="G34" s="14"/>
      <c r="H34" s="14"/>
      <c r="I34" s="14"/>
      <c r="J34" s="14"/>
      <c r="K34" s="14"/>
      <c r="L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</row>
    <row r="35" spans="1:148">
      <c r="A35" s="152" t="s">
        <v>49</v>
      </c>
      <c r="B35" s="141" t="s">
        <v>6</v>
      </c>
      <c r="C35" s="141" t="str">
        <f>IF(COUNTBLANK((G35:BJ35))=54,"Check",IF(COUNTBLANK(D35:BJ35)=57,"Falta pedir","Ok"))</f>
        <v>Falta pedir</v>
      </c>
      <c r="D35" s="142" t="s">
        <v>47</v>
      </c>
      <c r="E35" s="142" t="s">
        <v>48</v>
      </c>
      <c r="G35" s="14"/>
      <c r="H35" s="14"/>
      <c r="I35" s="14"/>
      <c r="J35" s="14"/>
      <c r="K35" s="14"/>
      <c r="L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</row>
    <row r="36" spans="1:148">
      <c r="A36" s="163" t="s">
        <v>50</v>
      </c>
      <c r="B36" s="163" t="s">
        <v>6</v>
      </c>
      <c r="C36" s="141" t="str">
        <f>IF(COUNTBLANK((G36:BJ36))=54,"Check",IF(COUNTBLANK(D36:BJ36)=57,"Falta pedir","Ok"))</f>
        <v>Falta pedir</v>
      </c>
      <c r="D36" s="168" t="s">
        <v>47</v>
      </c>
      <c r="E36" s="168" t="s">
        <v>48</v>
      </c>
    </row>
    <row r="37" spans="1:148">
      <c r="A37" s="173" t="s">
        <v>51</v>
      </c>
      <c r="B37" s="12" t="s">
        <v>6</v>
      </c>
      <c r="C37" s="12" t="s">
        <v>13</v>
      </c>
      <c r="D37" s="13" t="s">
        <v>47</v>
      </c>
      <c r="E37" s="13" t="s">
        <v>48</v>
      </c>
      <c r="G37" s="14"/>
      <c r="H37" s="14"/>
      <c r="I37" s="14"/>
      <c r="J37" s="14"/>
      <c r="K37" s="14"/>
      <c r="L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</row>
    <row r="38" spans="1:148">
      <c r="A38" s="173" t="s">
        <v>52</v>
      </c>
      <c r="B38" s="12" t="s">
        <v>6</v>
      </c>
      <c r="C38" s="12" t="s">
        <v>13</v>
      </c>
      <c r="D38" s="13" t="s">
        <v>47</v>
      </c>
      <c r="E38" s="13" t="s">
        <v>48</v>
      </c>
      <c r="G38" s="14"/>
      <c r="H38" s="14"/>
      <c r="I38" s="14"/>
      <c r="J38" s="14"/>
      <c r="K38" s="14"/>
      <c r="L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</row>
    <row r="39" spans="1:148">
      <c r="A39" s="174" t="s">
        <v>53</v>
      </c>
      <c r="B39" s="25" t="s">
        <v>6</v>
      </c>
      <c r="C39" s="154" t="s">
        <v>54</v>
      </c>
      <c r="D39" s="13" t="s">
        <v>47</v>
      </c>
      <c r="E39" s="13" t="s">
        <v>48</v>
      </c>
      <c r="G39" s="14"/>
      <c r="H39" s="14"/>
      <c r="I39" s="14"/>
      <c r="J39" s="14"/>
      <c r="K39" s="14"/>
      <c r="L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</row>
    <row r="40" spans="1:148">
      <c r="A40" s="174" t="s">
        <v>55</v>
      </c>
      <c r="B40" s="25" t="s">
        <v>6</v>
      </c>
      <c r="C40" s="154" t="s">
        <v>54</v>
      </c>
      <c r="D40" s="13" t="s">
        <v>47</v>
      </c>
      <c r="E40" s="13" t="s">
        <v>48</v>
      </c>
      <c r="G40" s="14"/>
      <c r="H40" s="14"/>
      <c r="I40" s="14"/>
      <c r="J40" s="14"/>
      <c r="K40" s="14"/>
      <c r="L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</row>
    <row r="41" spans="1:148">
      <c r="A41" s="169" t="s">
        <v>56</v>
      </c>
      <c r="B41" s="12" t="s">
        <v>6</v>
      </c>
      <c r="C41" s="12" t="s">
        <v>13</v>
      </c>
      <c r="D41" s="13" t="s">
        <v>47</v>
      </c>
      <c r="E41" s="13" t="s">
        <v>48</v>
      </c>
      <c r="G41" s="14"/>
      <c r="H41" s="14"/>
      <c r="I41" s="14"/>
      <c r="J41" s="14"/>
      <c r="K41" s="14"/>
      <c r="L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</row>
    <row r="42" spans="1:148">
      <c r="A42" s="175" t="s">
        <v>57</v>
      </c>
      <c r="B42" s="10" t="s">
        <v>6</v>
      </c>
      <c r="C42" s="12" t="s">
        <v>13</v>
      </c>
      <c r="D42" s="13" t="s">
        <v>47</v>
      </c>
      <c r="E42" s="13" t="s">
        <v>48</v>
      </c>
      <c r="G42" s="14"/>
      <c r="H42" s="14"/>
      <c r="I42" s="14"/>
      <c r="J42" s="14"/>
      <c r="K42" s="14"/>
      <c r="L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</row>
    <row r="43" spans="1:148">
      <c r="A43" s="176" t="s">
        <v>58</v>
      </c>
      <c r="B43" s="18" t="s">
        <v>59</v>
      </c>
      <c r="C43" s="146" t="s">
        <v>13</v>
      </c>
      <c r="D43" s="13" t="s">
        <v>47</v>
      </c>
      <c r="E43" s="13" t="s">
        <v>48</v>
      </c>
      <c r="G43" s="14"/>
      <c r="H43" s="14"/>
      <c r="I43" s="14"/>
      <c r="J43" s="14"/>
      <c r="K43" s="14"/>
      <c r="L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</row>
    <row r="44" spans="1:148">
      <c r="A44" s="176" t="s">
        <v>60</v>
      </c>
      <c r="B44" s="18" t="s">
        <v>59</v>
      </c>
      <c r="C44" s="146" t="s">
        <v>13</v>
      </c>
      <c r="D44" s="13" t="s">
        <v>47</v>
      </c>
      <c r="E44" s="13" t="s">
        <v>48</v>
      </c>
      <c r="G44" s="14"/>
      <c r="H44" s="14"/>
      <c r="I44" s="14"/>
      <c r="J44" s="14"/>
      <c r="K44" s="14"/>
      <c r="L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</row>
    <row r="45" spans="1:148">
      <c r="A45" s="176" t="s">
        <v>61</v>
      </c>
      <c r="B45" s="18" t="s">
        <v>59</v>
      </c>
      <c r="C45" s="146" t="s">
        <v>13</v>
      </c>
      <c r="D45" s="13" t="s">
        <v>47</v>
      </c>
      <c r="E45" s="13" t="s">
        <v>48</v>
      </c>
      <c r="G45" s="14"/>
      <c r="H45" s="14"/>
      <c r="I45" s="14"/>
      <c r="J45" s="14"/>
      <c r="K45" s="14"/>
      <c r="L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</row>
    <row r="46" spans="1:148">
      <c r="A46" s="173" t="s">
        <v>62</v>
      </c>
      <c r="B46" s="12" t="s">
        <v>59</v>
      </c>
      <c r="C46" s="12" t="s">
        <v>13</v>
      </c>
      <c r="D46" s="13" t="s">
        <v>47</v>
      </c>
      <c r="E46" s="13" t="s">
        <v>48</v>
      </c>
      <c r="G46" s="14"/>
      <c r="H46" s="14"/>
      <c r="I46" s="14"/>
      <c r="J46" s="14"/>
      <c r="K46" s="14"/>
      <c r="L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</row>
    <row r="47" spans="1:148">
      <c r="A47" s="173" t="s">
        <v>63</v>
      </c>
      <c r="B47" s="12" t="s">
        <v>59</v>
      </c>
      <c r="C47" s="12" t="s">
        <v>13</v>
      </c>
      <c r="D47" s="13" t="s">
        <v>47</v>
      </c>
      <c r="E47" s="13" t="s">
        <v>48</v>
      </c>
      <c r="G47" s="14"/>
      <c r="H47" s="14"/>
      <c r="I47" s="14"/>
      <c r="J47" s="14"/>
      <c r="K47" s="14"/>
      <c r="L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</row>
    <row r="48" spans="1:148">
      <c r="A48" s="174" t="s">
        <v>64</v>
      </c>
      <c r="B48" s="95" t="s">
        <v>65</v>
      </c>
      <c r="C48" s="12" t="s">
        <v>13</v>
      </c>
      <c r="D48" s="13" t="s">
        <v>47</v>
      </c>
      <c r="E48" s="13" t="s">
        <v>48</v>
      </c>
      <c r="G48" s="14"/>
      <c r="H48" s="14"/>
      <c r="I48" s="14"/>
      <c r="J48" s="14"/>
      <c r="K48" s="14"/>
      <c r="L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</row>
    <row r="49" spans="1:148">
      <c r="A49" s="28" t="s">
        <v>66</v>
      </c>
      <c r="B49" s="29" t="s">
        <v>67</v>
      </c>
      <c r="C49" s="141" t="s">
        <v>68</v>
      </c>
      <c r="D49" s="142" t="s">
        <v>47</v>
      </c>
      <c r="E49" s="142" t="s">
        <v>48</v>
      </c>
      <c r="G49" s="14"/>
      <c r="H49" s="14"/>
      <c r="I49" s="14"/>
      <c r="J49" s="14"/>
      <c r="K49" s="14"/>
      <c r="L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</row>
    <row r="50" spans="1:148">
      <c r="A50" s="173" t="s">
        <v>69</v>
      </c>
      <c r="B50" s="12" t="s">
        <v>6</v>
      </c>
      <c r="C50" s="12" t="str">
        <f t="shared" ref="C50:C55" si="1">IF(COUNTBLANK((F50:BH50))=54,"Check",IF(COUNTBLANK(D50:BH50)=57,"Falta pedir","Ok"))</f>
        <v>Ok</v>
      </c>
      <c r="D50" s="13" t="s">
        <v>7</v>
      </c>
      <c r="E50" s="13" t="s">
        <v>48</v>
      </c>
      <c r="G50" s="14"/>
      <c r="H50" s="14"/>
      <c r="I50" s="14"/>
      <c r="J50" s="14"/>
      <c r="K50" s="14"/>
      <c r="L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</row>
    <row r="51" spans="1:148">
      <c r="A51" s="173" t="s">
        <v>70</v>
      </c>
      <c r="B51" s="12" t="s">
        <v>6</v>
      </c>
      <c r="C51" s="12" t="str">
        <f t="shared" si="1"/>
        <v>Ok</v>
      </c>
      <c r="D51" s="13" t="s">
        <v>7</v>
      </c>
      <c r="E51" s="13" t="s">
        <v>48</v>
      </c>
      <c r="G51" s="14"/>
      <c r="H51" s="14"/>
      <c r="I51" s="14"/>
      <c r="J51" s="14"/>
      <c r="K51" s="14"/>
      <c r="L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</row>
    <row r="52" spans="1:148">
      <c r="A52" s="173" t="s">
        <v>71</v>
      </c>
      <c r="B52" s="12" t="s">
        <v>6</v>
      </c>
      <c r="C52" s="12" t="str">
        <f t="shared" si="1"/>
        <v>Ok</v>
      </c>
      <c r="D52" s="23" t="s">
        <v>7</v>
      </c>
      <c r="E52" s="23" t="s">
        <v>48</v>
      </c>
      <c r="G52" s="14"/>
      <c r="H52" s="14"/>
      <c r="I52" s="14"/>
      <c r="J52" s="14"/>
      <c r="K52" s="14"/>
      <c r="L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</row>
    <row r="53" spans="1:148">
      <c r="A53" s="180" t="s">
        <v>72</v>
      </c>
      <c r="B53" s="12" t="s">
        <v>6</v>
      </c>
      <c r="C53" s="12" t="str">
        <f t="shared" si="1"/>
        <v>Ok</v>
      </c>
      <c r="D53" s="13" t="s">
        <v>7</v>
      </c>
      <c r="E53" s="13" t="s">
        <v>48</v>
      </c>
      <c r="G53" s="14"/>
      <c r="H53" s="14"/>
      <c r="I53" s="14"/>
      <c r="J53" s="14"/>
      <c r="K53" s="14"/>
      <c r="L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</row>
    <row r="54" spans="1:148">
      <c r="A54" s="175" t="s">
        <v>73</v>
      </c>
      <c r="B54" s="21" t="s">
        <v>6</v>
      </c>
      <c r="C54" s="12" t="str">
        <f t="shared" si="1"/>
        <v>Ok</v>
      </c>
      <c r="D54" s="23" t="s">
        <v>7</v>
      </c>
      <c r="E54" s="23" t="s">
        <v>48</v>
      </c>
      <c r="G54" s="14"/>
      <c r="H54" s="14"/>
      <c r="I54" s="14"/>
      <c r="J54" s="14"/>
      <c r="K54" s="14"/>
      <c r="L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</row>
    <row r="55" spans="1:148">
      <c r="A55" s="173" t="s">
        <v>74</v>
      </c>
      <c r="B55" s="25" t="s">
        <v>6</v>
      </c>
      <c r="C55" s="12" t="str">
        <f t="shared" si="1"/>
        <v>Ok</v>
      </c>
      <c r="D55" s="14" t="s">
        <v>7</v>
      </c>
      <c r="E55" s="14" t="s">
        <v>48</v>
      </c>
      <c r="G55" s="14"/>
      <c r="H55" s="14"/>
      <c r="I55" s="14"/>
      <c r="J55" s="14"/>
      <c r="K55" s="14"/>
      <c r="L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</row>
    <row r="56" spans="1:148">
      <c r="A56" s="174" t="s">
        <v>75</v>
      </c>
      <c r="B56" s="25" t="s">
        <v>6</v>
      </c>
      <c r="C56" s="154" t="s">
        <v>54</v>
      </c>
      <c r="D56" s="14" t="s">
        <v>7</v>
      </c>
      <c r="E56" s="14" t="s">
        <v>48</v>
      </c>
      <c r="G56" s="14"/>
      <c r="H56" s="14"/>
      <c r="I56" s="14"/>
      <c r="J56" s="14"/>
      <c r="K56" s="14"/>
      <c r="L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</row>
    <row r="57" spans="1:148">
      <c r="A57" s="174" t="s">
        <v>76</v>
      </c>
      <c r="B57" s="25" t="s">
        <v>6</v>
      </c>
      <c r="C57" s="154" t="s">
        <v>54</v>
      </c>
      <c r="D57" s="14" t="s">
        <v>7</v>
      </c>
      <c r="E57" s="14" t="s">
        <v>48</v>
      </c>
      <c r="G57" s="14"/>
      <c r="H57" s="14"/>
      <c r="I57" s="14"/>
      <c r="J57" s="14"/>
      <c r="K57" s="14"/>
      <c r="L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</row>
    <row r="58" spans="1:148">
      <c r="A58" s="174" t="s">
        <v>77</v>
      </c>
      <c r="B58" s="25" t="s">
        <v>6</v>
      </c>
      <c r="C58" s="154" t="s">
        <v>54</v>
      </c>
      <c r="D58" s="14" t="s">
        <v>7</v>
      </c>
      <c r="E58" s="14" t="s">
        <v>48</v>
      </c>
      <c r="G58" s="14"/>
      <c r="H58" s="14"/>
      <c r="I58" s="14"/>
      <c r="J58" s="14"/>
      <c r="K58" s="14"/>
      <c r="L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</row>
    <row r="59" spans="1:148">
      <c r="A59" s="174" t="s">
        <v>78</v>
      </c>
      <c r="B59" s="11" t="s">
        <v>59</v>
      </c>
      <c r="C59" s="12" t="str">
        <f>IF(COUNTBLANK((F59:BH59))=54,"Check",IF(COUNTBLANK(D59:BH59)=57,"Falta pedir","Ok"))</f>
        <v>Ok</v>
      </c>
      <c r="D59" s="13" t="s">
        <v>7</v>
      </c>
      <c r="E59" s="13" t="s">
        <v>48</v>
      </c>
      <c r="G59" s="14"/>
      <c r="H59" s="14"/>
      <c r="I59" s="14"/>
      <c r="J59" s="14"/>
      <c r="K59" s="14"/>
      <c r="L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</row>
    <row r="60" spans="1:148">
      <c r="A60" s="174" t="s">
        <v>79</v>
      </c>
      <c r="B60" s="11" t="s">
        <v>59</v>
      </c>
      <c r="C60" s="12" t="str">
        <f>IF(COUNTBLANK((F60:BH60))=54,"Check",IF(COUNTBLANK(D60:BH60)=57,"Falta pedir","Ok"))</f>
        <v>Ok</v>
      </c>
      <c r="D60" s="13" t="s">
        <v>7</v>
      </c>
      <c r="E60" s="13" t="s">
        <v>48</v>
      </c>
      <c r="G60" s="14"/>
      <c r="H60" s="14"/>
      <c r="I60" s="14"/>
      <c r="J60" s="14"/>
      <c r="K60" s="14"/>
      <c r="L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</row>
    <row r="61" spans="1:148">
      <c r="A61" s="173" t="s">
        <v>80</v>
      </c>
      <c r="B61" s="11" t="s">
        <v>59</v>
      </c>
      <c r="C61" s="12" t="str">
        <f>IF(COUNTBLANK((F61:BH61))=54,"Check",IF(COUNTBLANK(D61:BH61)=57,"Falta pedir","Ok"))</f>
        <v>Ok</v>
      </c>
      <c r="D61" s="13" t="s">
        <v>7</v>
      </c>
      <c r="E61" s="13" t="s">
        <v>48</v>
      </c>
      <c r="G61" s="14"/>
      <c r="H61" s="14"/>
      <c r="I61" s="14"/>
      <c r="J61" s="14"/>
      <c r="K61" s="14"/>
      <c r="L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</row>
    <row r="62" spans="1:148">
      <c r="A62" s="176" t="s">
        <v>81</v>
      </c>
      <c r="B62" s="21" t="s">
        <v>59</v>
      </c>
      <c r="C62" s="116" t="s">
        <v>54</v>
      </c>
      <c r="D62" s="14" t="s">
        <v>7</v>
      </c>
      <c r="E62" s="14" t="s">
        <v>48</v>
      </c>
      <c r="G62" s="14"/>
      <c r="H62" s="14"/>
      <c r="I62" s="14"/>
      <c r="J62" s="14"/>
      <c r="K62" s="14"/>
      <c r="L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</row>
    <row r="63" spans="1:148">
      <c r="A63" s="180" t="s">
        <v>82</v>
      </c>
      <c r="B63" s="11" t="s">
        <v>6</v>
      </c>
      <c r="C63" s="146" t="s">
        <v>13</v>
      </c>
      <c r="D63" s="13" t="s">
        <v>47</v>
      </c>
      <c r="E63" s="13" t="s">
        <v>83</v>
      </c>
      <c r="G63" s="14"/>
      <c r="H63" s="14"/>
      <c r="I63" s="14"/>
      <c r="J63" s="14"/>
      <c r="K63" s="14"/>
      <c r="L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</row>
    <row r="64" spans="1:148">
      <c r="A64" s="176" t="s">
        <v>84</v>
      </c>
      <c r="B64" s="11" t="s">
        <v>6</v>
      </c>
      <c r="C64" s="116" t="s">
        <v>54</v>
      </c>
      <c r="D64" s="14" t="s">
        <v>47</v>
      </c>
      <c r="E64" s="14" t="s">
        <v>83</v>
      </c>
      <c r="G64" s="14"/>
      <c r="H64" s="14"/>
      <c r="I64" s="14"/>
      <c r="J64" s="14"/>
      <c r="K64" s="14"/>
      <c r="L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</row>
    <row r="65" spans="1:148">
      <c r="A65" s="175" t="s">
        <v>85</v>
      </c>
      <c r="B65" s="12" t="s">
        <v>6</v>
      </c>
      <c r="C65" s="146" t="s">
        <v>13</v>
      </c>
      <c r="D65" s="13" t="s">
        <v>47</v>
      </c>
      <c r="E65" s="13" t="s">
        <v>83</v>
      </c>
      <c r="G65" s="14"/>
      <c r="H65" s="14"/>
      <c r="I65" s="14"/>
      <c r="J65" s="14"/>
      <c r="K65" s="14"/>
      <c r="L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</row>
    <row r="66" spans="1:148">
      <c r="A66" s="176" t="s">
        <v>86</v>
      </c>
      <c r="B66" s="6" t="s">
        <v>6</v>
      </c>
      <c r="C66" s="146" t="s">
        <v>13</v>
      </c>
      <c r="D66" s="155" t="s">
        <v>47</v>
      </c>
      <c r="E66" s="13" t="s">
        <v>83</v>
      </c>
      <c r="G66" s="14"/>
      <c r="H66" s="14"/>
      <c r="I66" s="14"/>
      <c r="J66" s="14"/>
      <c r="K66" s="14"/>
      <c r="L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</row>
    <row r="67" spans="1:148">
      <c r="A67" s="174" t="s">
        <v>87</v>
      </c>
      <c r="B67" s="11" t="s">
        <v>6</v>
      </c>
      <c r="C67" s="170" t="s">
        <v>88</v>
      </c>
      <c r="D67" s="13" t="s">
        <v>47</v>
      </c>
      <c r="E67" s="13" t="s">
        <v>83</v>
      </c>
      <c r="G67" s="14"/>
      <c r="H67" s="14"/>
      <c r="I67" s="14"/>
      <c r="J67" s="14"/>
      <c r="K67" s="14"/>
      <c r="L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</row>
    <row r="68" spans="1:148">
      <c r="A68" s="174" t="s">
        <v>89</v>
      </c>
      <c r="B68" s="11" t="s">
        <v>59</v>
      </c>
      <c r="C68" s="12" t="str">
        <f>IF(COUNTBLANK((G68:BJ68))=54,"Check",IF(COUNTBLANK(D68:BJ68)=57,"Falta pedir","Ok"))</f>
        <v>Falta pedir</v>
      </c>
      <c r="D68" s="13" t="s">
        <v>47</v>
      </c>
      <c r="E68" s="13" t="s">
        <v>83</v>
      </c>
      <c r="G68" s="14"/>
      <c r="H68" s="14"/>
      <c r="I68" s="14"/>
      <c r="J68" s="14"/>
      <c r="K68" s="14"/>
      <c r="L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</row>
    <row r="69" spans="1:148">
      <c r="A69" s="173" t="s">
        <v>90</v>
      </c>
      <c r="B69" s="21" t="s">
        <v>59</v>
      </c>
      <c r="C69" s="12" t="s">
        <v>13</v>
      </c>
      <c r="D69" s="13" t="s">
        <v>47</v>
      </c>
      <c r="E69" s="13" t="s">
        <v>83</v>
      </c>
      <c r="G69" s="14"/>
      <c r="H69" s="14"/>
      <c r="I69" s="14"/>
      <c r="J69" s="14"/>
      <c r="K69" s="14"/>
      <c r="L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</row>
    <row r="70" spans="1:148">
      <c r="A70" s="174" t="s">
        <v>91</v>
      </c>
      <c r="B70" s="21" t="s">
        <v>59</v>
      </c>
      <c r="C70" s="154" t="s">
        <v>92</v>
      </c>
      <c r="D70" s="14" t="s">
        <v>47</v>
      </c>
      <c r="E70" s="14" t="s">
        <v>83</v>
      </c>
      <c r="G70" s="14"/>
      <c r="H70" s="14"/>
      <c r="I70" s="14"/>
      <c r="J70" s="14"/>
      <c r="K70" s="14"/>
      <c r="L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</row>
    <row r="71" spans="1:148">
      <c r="A71" s="173" t="s">
        <v>93</v>
      </c>
      <c r="B71" s="21" t="s">
        <v>59</v>
      </c>
      <c r="C71" s="12" t="str">
        <f>IF(COUNTBLANK((G71:BJ71))=54,"Check",IF(COUNTBLANK(D71:BJ71)=57,"Falta pedir","Ok"))</f>
        <v>Falta pedir</v>
      </c>
      <c r="D71" s="13" t="s">
        <v>47</v>
      </c>
      <c r="E71" s="13" t="s">
        <v>83</v>
      </c>
      <c r="G71" s="14"/>
      <c r="H71" s="14"/>
      <c r="I71" s="14"/>
      <c r="J71" s="14"/>
      <c r="K71" s="14"/>
      <c r="L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</row>
    <row r="72" spans="1:148">
      <c r="A72" s="173" t="s">
        <v>94</v>
      </c>
      <c r="B72" s="21" t="s">
        <v>59</v>
      </c>
      <c r="C72" s="12" t="str">
        <f>IF(COUNTBLANK((G72:BJ72))=54,"Check",IF(COUNTBLANK(D72:BJ72)=57,"Falta pedir","Ok"))</f>
        <v>Falta pedir</v>
      </c>
      <c r="D72" s="13" t="s">
        <v>47</v>
      </c>
      <c r="E72" s="13" t="s">
        <v>83</v>
      </c>
      <c r="G72" s="14"/>
      <c r="H72" s="14"/>
      <c r="I72" s="14"/>
      <c r="J72" s="14"/>
      <c r="K72" s="14"/>
      <c r="L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</row>
    <row r="73" spans="1:148">
      <c r="A73" s="174" t="s">
        <v>95</v>
      </c>
      <c r="B73" s="11" t="s">
        <v>65</v>
      </c>
      <c r="C73" s="11" t="str">
        <f>IF(COUNTBLANK((G73:BJ73))=54,"Check",IF(COUNTBLANK(D73:BJ73)=57,"Falta pedir","Ok"))</f>
        <v>Falta pedir</v>
      </c>
      <c r="D73" s="13" t="s">
        <v>47</v>
      </c>
      <c r="E73" s="13" t="s">
        <v>83</v>
      </c>
    </row>
    <row r="74" spans="1:148">
      <c r="A74" s="28" t="s">
        <v>96</v>
      </c>
      <c r="B74" s="29" t="s">
        <v>67</v>
      </c>
      <c r="C74" s="141" t="s">
        <v>68</v>
      </c>
      <c r="D74" s="143" t="s">
        <v>47</v>
      </c>
      <c r="E74" s="143" t="s">
        <v>83</v>
      </c>
    </row>
    <row r="75" spans="1:148">
      <c r="A75" s="177" t="s">
        <v>97</v>
      </c>
      <c r="B75" s="141" t="s">
        <v>6</v>
      </c>
      <c r="C75" s="141" t="str">
        <f t="shared" ref="C75:C85" si="2">IF(COUNTBLANK((F75:BH75))=54,"Check",IF(COUNTBLANK(D75:BH75)=57,"Falta pedir","Ok"))</f>
        <v>Ok</v>
      </c>
      <c r="D75" s="142" t="s">
        <v>7</v>
      </c>
      <c r="E75" s="142" t="s">
        <v>83</v>
      </c>
    </row>
    <row r="76" spans="1:148">
      <c r="A76" s="175" t="s">
        <v>98</v>
      </c>
      <c r="B76" s="37" t="s">
        <v>6</v>
      </c>
      <c r="C76" s="146" t="str">
        <f t="shared" si="2"/>
        <v>Ok</v>
      </c>
      <c r="D76" s="155" t="s">
        <v>7</v>
      </c>
      <c r="E76" s="155" t="s">
        <v>83</v>
      </c>
    </row>
    <row r="77" spans="1:148">
      <c r="A77" s="173" t="s">
        <v>99</v>
      </c>
      <c r="B77" s="21" t="s">
        <v>6</v>
      </c>
      <c r="C77" s="12" t="str">
        <f t="shared" si="2"/>
        <v>Ok</v>
      </c>
      <c r="D77" s="13" t="s">
        <v>7</v>
      </c>
      <c r="E77" s="13" t="s">
        <v>83</v>
      </c>
    </row>
    <row r="78" spans="1:148">
      <c r="A78" s="174" t="s">
        <v>100</v>
      </c>
      <c r="B78" s="11" t="s">
        <v>6</v>
      </c>
      <c r="C78" s="12" t="str">
        <f t="shared" si="2"/>
        <v>Ok</v>
      </c>
      <c r="D78" s="13" t="s">
        <v>7</v>
      </c>
      <c r="E78" s="13" t="s">
        <v>83</v>
      </c>
    </row>
    <row r="79" spans="1:148">
      <c r="A79" s="179" t="s">
        <v>101</v>
      </c>
      <c r="B79" s="11" t="s">
        <v>6</v>
      </c>
      <c r="C79" s="12" t="str">
        <f t="shared" si="2"/>
        <v>Ok</v>
      </c>
      <c r="D79" s="13" t="s">
        <v>7</v>
      </c>
      <c r="E79" s="13" t="s">
        <v>83</v>
      </c>
    </row>
    <row r="80" spans="1:148">
      <c r="A80" s="174" t="s">
        <v>102</v>
      </c>
      <c r="B80" s="11" t="s">
        <v>6</v>
      </c>
      <c r="C80" s="12" t="str">
        <f t="shared" si="2"/>
        <v>Ok</v>
      </c>
      <c r="D80" s="13" t="s">
        <v>7</v>
      </c>
      <c r="E80" s="13" t="s">
        <v>83</v>
      </c>
    </row>
    <row r="81" spans="1:5">
      <c r="A81" s="174" t="s">
        <v>103</v>
      </c>
      <c r="B81" s="11" t="s">
        <v>6</v>
      </c>
      <c r="C81" s="12" t="str">
        <f t="shared" si="2"/>
        <v>Ok</v>
      </c>
      <c r="D81" s="13" t="s">
        <v>7</v>
      </c>
      <c r="E81" s="13" t="s">
        <v>83</v>
      </c>
    </row>
    <row r="82" spans="1:5">
      <c r="A82" s="174" t="s">
        <v>104</v>
      </c>
      <c r="B82" s="11" t="s">
        <v>6</v>
      </c>
      <c r="C82" s="12" t="str">
        <f t="shared" si="2"/>
        <v>Ok</v>
      </c>
      <c r="D82" s="13" t="s">
        <v>7</v>
      </c>
      <c r="E82" s="14" t="s">
        <v>83</v>
      </c>
    </row>
    <row r="83" spans="1:5">
      <c r="A83" s="174" t="s">
        <v>105</v>
      </c>
      <c r="B83" s="11" t="s">
        <v>6</v>
      </c>
      <c r="C83" s="12" t="str">
        <f t="shared" si="2"/>
        <v>Ok</v>
      </c>
      <c r="D83" s="13" t="s">
        <v>7</v>
      </c>
      <c r="E83" s="14" t="s">
        <v>83</v>
      </c>
    </row>
    <row r="84" spans="1:5">
      <c r="A84" s="174" t="s">
        <v>106</v>
      </c>
      <c r="B84" s="11" t="s">
        <v>6</v>
      </c>
      <c r="C84" s="12" t="str">
        <f t="shared" si="2"/>
        <v>Ok</v>
      </c>
      <c r="D84" s="13" t="s">
        <v>7</v>
      </c>
      <c r="E84" s="14" t="s">
        <v>83</v>
      </c>
    </row>
    <row r="85" spans="1:5">
      <c r="A85" s="174" t="s">
        <v>107</v>
      </c>
      <c r="B85" s="11" t="s">
        <v>6</v>
      </c>
      <c r="C85" s="12" t="str">
        <f t="shared" si="2"/>
        <v>Ok</v>
      </c>
      <c r="D85" s="13" t="s">
        <v>7</v>
      </c>
      <c r="E85" s="14" t="s">
        <v>83</v>
      </c>
    </row>
    <row r="86" spans="1:5">
      <c r="A86" s="163" t="s">
        <v>108</v>
      </c>
      <c r="B86" s="172" t="s">
        <v>59</v>
      </c>
      <c r="C86" s="151" t="s">
        <v>109</v>
      </c>
      <c r="D86" s="164" t="s">
        <v>7</v>
      </c>
      <c r="E86" s="143" t="s">
        <v>83</v>
      </c>
    </row>
    <row r="87" spans="1:5">
      <c r="A87" s="176" t="s">
        <v>110</v>
      </c>
      <c r="B87" s="20" t="s">
        <v>59</v>
      </c>
      <c r="C87" s="116" t="s">
        <v>109</v>
      </c>
      <c r="D87" s="5" t="s">
        <v>7</v>
      </c>
      <c r="E87" s="14" t="s">
        <v>83</v>
      </c>
    </row>
    <row r="88" spans="1:5">
      <c r="A88" s="175" t="s">
        <v>111</v>
      </c>
      <c r="B88" s="20" t="s">
        <v>59</v>
      </c>
      <c r="C88" s="146" t="str">
        <f>IF(COUNTBLANK((F88:BH88))=54,"Check",IF(COUNTBLANK(D88:BH88)=57,"Falta pedir","Ok"))</f>
        <v>Ok</v>
      </c>
      <c r="D88" s="155" t="s">
        <v>7</v>
      </c>
      <c r="E88" s="13" t="s">
        <v>83</v>
      </c>
    </row>
    <row r="89" spans="1:5">
      <c r="A89" s="175" t="s">
        <v>112</v>
      </c>
      <c r="B89" s="20" t="s">
        <v>59</v>
      </c>
      <c r="C89" s="146" t="str">
        <f>IF(COUNTBLANK((F89:BH89))=54,"Check",IF(COUNTBLANK(D89:BH89)=57,"Falta pedir","Ok"))</f>
        <v>Ok</v>
      </c>
      <c r="D89" s="155" t="s">
        <v>7</v>
      </c>
      <c r="E89" s="13" t="s">
        <v>83</v>
      </c>
    </row>
    <row r="90" spans="1:5">
      <c r="A90" s="152" t="s">
        <v>113</v>
      </c>
      <c r="B90" s="141" t="s">
        <v>6</v>
      </c>
      <c r="C90" s="141" t="str">
        <f>IF(COUNTBLANK((G90:BJ90))=54,"Check",IF(COUNTBLANK(D90:BJ90)=57,"Falta pedir","Ok"))</f>
        <v>Falta pedir</v>
      </c>
      <c r="D90" s="142" t="s">
        <v>47</v>
      </c>
      <c r="E90" s="142" t="s">
        <v>114</v>
      </c>
    </row>
    <row r="91" spans="1:5">
      <c r="A91" s="173" t="s">
        <v>115</v>
      </c>
      <c r="B91" s="12" t="s">
        <v>6</v>
      </c>
      <c r="C91" s="12" t="str">
        <f>IF(COUNTBLANK((G91:BJ91))=54,"Check",IF(COUNTBLANK(D91:BJ91)=57,"Falta pedir","Ok"))</f>
        <v>Falta pedir</v>
      </c>
      <c r="D91" s="13" t="s">
        <v>47</v>
      </c>
      <c r="E91" s="13" t="s">
        <v>114</v>
      </c>
    </row>
    <row r="92" spans="1:5">
      <c r="A92" s="179" t="s">
        <v>116</v>
      </c>
      <c r="B92" s="11" t="s">
        <v>6</v>
      </c>
      <c r="C92" s="12" t="str">
        <f>IF(COUNTBLANK((G92:BJ92))=54,"Check",IF(COUNTBLANK(D92:BJ92)=57,"Falta pedir","Ok"))</f>
        <v>Falta pedir</v>
      </c>
      <c r="D92" s="13" t="s">
        <v>47</v>
      </c>
      <c r="E92" s="13" t="s">
        <v>114</v>
      </c>
    </row>
    <row r="93" spans="1:5">
      <c r="A93" s="173" t="s">
        <v>117</v>
      </c>
      <c r="B93" s="12" t="s">
        <v>6</v>
      </c>
      <c r="C93" s="12" t="str">
        <f>IF(COUNTBLANK((G93:BJ93))=54,"Check",IF(COUNTBLANK(D93:BJ93)=57,"Falta pedir","Ok"))</f>
        <v>Falta pedir</v>
      </c>
      <c r="D93" s="13" t="s">
        <v>47</v>
      </c>
      <c r="E93" s="13" t="s">
        <v>114</v>
      </c>
    </row>
    <row r="94" spans="1:5">
      <c r="A94" s="174" t="s">
        <v>118</v>
      </c>
      <c r="B94" s="11" t="s">
        <v>6</v>
      </c>
      <c r="C94" s="12" t="str">
        <f>IF(COUNTBLANK((G94:BJ94))=54,"Check",IF(COUNTBLANK(D94:BJ94)=57,"Falta pedir","Ok"))</f>
        <v>Falta pedir</v>
      </c>
      <c r="D94" s="13" t="s">
        <v>47</v>
      </c>
      <c r="E94" s="13" t="s">
        <v>114</v>
      </c>
    </row>
    <row r="95" spans="1:5">
      <c r="A95" s="178" t="s">
        <v>119</v>
      </c>
      <c r="B95" s="12" t="s">
        <v>11</v>
      </c>
      <c r="C95" s="154" t="s">
        <v>120</v>
      </c>
      <c r="D95" s="14" t="s">
        <v>47</v>
      </c>
      <c r="E95" s="14" t="s">
        <v>114</v>
      </c>
    </row>
    <row r="96" spans="1:5">
      <c r="A96" s="178" t="s">
        <v>121</v>
      </c>
      <c r="B96" s="12" t="s">
        <v>11</v>
      </c>
      <c r="C96" s="154" t="s">
        <v>120</v>
      </c>
      <c r="D96" s="14" t="s">
        <v>47</v>
      </c>
      <c r="E96" s="14" t="s">
        <v>114</v>
      </c>
    </row>
    <row r="97" spans="1:5">
      <c r="A97" s="178" t="s">
        <v>122</v>
      </c>
      <c r="B97" s="12" t="s">
        <v>11</v>
      </c>
      <c r="C97" s="154" t="s">
        <v>120</v>
      </c>
      <c r="D97" s="14" t="s">
        <v>47</v>
      </c>
      <c r="E97" s="14" t="s">
        <v>114</v>
      </c>
    </row>
    <row r="98" spans="1:5">
      <c r="A98" s="178" t="s">
        <v>123</v>
      </c>
      <c r="B98" s="12" t="s">
        <v>11</v>
      </c>
      <c r="C98" s="154" t="s">
        <v>120</v>
      </c>
      <c r="D98" s="14" t="s">
        <v>47</v>
      </c>
      <c r="E98" s="14" t="s">
        <v>114</v>
      </c>
    </row>
    <row r="99" spans="1:5">
      <c r="A99" s="175" t="s">
        <v>124</v>
      </c>
      <c r="B99" s="37" t="s">
        <v>59</v>
      </c>
      <c r="C99" s="12" t="str">
        <f>IF(COUNTBLANK((G99:BJ99))=54,"Check",IF(COUNTBLANK(D99:BJ99)=57,"Falta pedir","Ok"))</f>
        <v>Falta pedir</v>
      </c>
      <c r="D99" s="13" t="s">
        <v>47</v>
      </c>
      <c r="E99" s="23" t="s">
        <v>114</v>
      </c>
    </row>
    <row r="100" spans="1:5">
      <c r="A100" s="175" t="s">
        <v>125</v>
      </c>
      <c r="B100" s="37" t="s">
        <v>59</v>
      </c>
      <c r="C100" s="12" t="str">
        <f>IF(COUNTBLANK((G100:BJ100))=54,"Check",IF(COUNTBLANK(D100:BJ100)=57,"Falta pedir","Ok"))</f>
        <v>Falta pedir</v>
      </c>
      <c r="D100" s="13" t="s">
        <v>47</v>
      </c>
      <c r="E100" s="23" t="s">
        <v>114</v>
      </c>
    </row>
    <row r="101" spans="1:5">
      <c r="A101" s="176" t="s">
        <v>126</v>
      </c>
      <c r="B101" s="6" t="s">
        <v>59</v>
      </c>
      <c r="C101" s="12" t="str">
        <f>IF(COUNTBLANK((G101:BJ101))=54,"Check",IF(COUNTBLANK(D101:BJ101)=57,"Falta pedir","Ok"))</f>
        <v>Falta pedir</v>
      </c>
      <c r="D101" s="13" t="s">
        <v>47</v>
      </c>
      <c r="E101" s="23" t="s">
        <v>114</v>
      </c>
    </row>
    <row r="102" spans="1:5">
      <c r="A102" s="158" t="s">
        <v>127</v>
      </c>
      <c r="B102" s="171" t="s">
        <v>65</v>
      </c>
      <c r="C102" s="141" t="s">
        <v>68</v>
      </c>
      <c r="D102" s="142" t="s">
        <v>47</v>
      </c>
      <c r="E102" s="142" t="s">
        <v>114</v>
      </c>
    </row>
    <row r="103" spans="1:5">
      <c r="A103" s="148" t="s">
        <v>128</v>
      </c>
      <c r="B103" s="149" t="s">
        <v>129</v>
      </c>
      <c r="C103" s="149" t="str">
        <f>IF(COUNTBLANK((G103:BJ103))=54,"Check",IF(COUNTBLANK(D103:BJ103)=57,"Falta pedir","Ok"))</f>
        <v>Falta pedir</v>
      </c>
      <c r="D103" s="150" t="s">
        <v>47</v>
      </c>
      <c r="E103" s="150" t="s">
        <v>114</v>
      </c>
    </row>
    <row r="104" spans="1:5">
      <c r="A104" s="28" t="s">
        <v>130</v>
      </c>
      <c r="B104" s="29" t="s">
        <v>67</v>
      </c>
      <c r="C104" s="141" t="s">
        <v>68</v>
      </c>
      <c r="D104" s="14" t="s">
        <v>47</v>
      </c>
      <c r="E104" s="143" t="s">
        <v>114</v>
      </c>
    </row>
    <row r="105" spans="1:5">
      <c r="A105" s="174" t="s">
        <v>131</v>
      </c>
      <c r="B105" s="11" t="s">
        <v>6</v>
      </c>
      <c r="C105" s="12" t="str">
        <f t="shared" ref="C105:C111" si="3">IF(COUNTBLANK((F105:BH105))=54,"Check",IF(COUNTBLANK(D105:BH105)=57,"Falta pedir","Ok"))</f>
        <v>Ok</v>
      </c>
      <c r="D105" s="13" t="s">
        <v>7</v>
      </c>
      <c r="E105" s="13" t="s">
        <v>114</v>
      </c>
    </row>
    <row r="106" spans="1:5">
      <c r="A106" s="179" t="s">
        <v>132</v>
      </c>
      <c r="B106" s="11" t="s">
        <v>6</v>
      </c>
      <c r="C106" s="12" t="str">
        <f t="shared" si="3"/>
        <v>Ok</v>
      </c>
      <c r="D106" s="13" t="s">
        <v>7</v>
      </c>
      <c r="E106" s="13" t="s">
        <v>114</v>
      </c>
    </row>
    <row r="107" spans="1:5">
      <c r="A107" s="174" t="s">
        <v>133</v>
      </c>
      <c r="B107" s="11" t="s">
        <v>6</v>
      </c>
      <c r="C107" s="12" t="str">
        <f t="shared" si="3"/>
        <v>Ok</v>
      </c>
      <c r="D107" s="13" t="s">
        <v>7</v>
      </c>
      <c r="E107" s="13" t="s">
        <v>114</v>
      </c>
    </row>
    <row r="108" spans="1:5">
      <c r="A108" s="174" t="s">
        <v>134</v>
      </c>
      <c r="B108" s="11" t="s">
        <v>6</v>
      </c>
      <c r="C108" s="12" t="str">
        <f t="shared" si="3"/>
        <v>Ok</v>
      </c>
      <c r="D108" s="13" t="s">
        <v>7</v>
      </c>
      <c r="E108" s="13" t="s">
        <v>114</v>
      </c>
    </row>
    <row r="109" spans="1:5">
      <c r="A109" s="173" t="s">
        <v>135</v>
      </c>
      <c r="B109" s="12" t="s">
        <v>6</v>
      </c>
      <c r="C109" s="12" t="str">
        <f t="shared" si="3"/>
        <v>Ok</v>
      </c>
      <c r="D109" s="13" t="s">
        <v>7</v>
      </c>
      <c r="E109" s="13" t="s">
        <v>114</v>
      </c>
    </row>
    <row r="110" spans="1:5">
      <c r="A110" s="173" t="s">
        <v>136</v>
      </c>
      <c r="B110" s="12" t="s">
        <v>6</v>
      </c>
      <c r="C110" s="12" t="str">
        <f t="shared" si="3"/>
        <v>Ok</v>
      </c>
      <c r="D110" s="13" t="s">
        <v>7</v>
      </c>
      <c r="E110" s="13" t="s">
        <v>114</v>
      </c>
    </row>
    <row r="111" spans="1:5">
      <c r="A111" s="173" t="s">
        <v>137</v>
      </c>
      <c r="B111" s="12" t="s">
        <v>11</v>
      </c>
      <c r="C111" s="12" t="str">
        <f t="shared" si="3"/>
        <v>Ok</v>
      </c>
      <c r="D111" s="13" t="s">
        <v>7</v>
      </c>
      <c r="E111" s="13" t="s">
        <v>114</v>
      </c>
    </row>
    <row r="112" spans="1:5">
      <c r="A112" s="178" t="s">
        <v>138</v>
      </c>
      <c r="B112" s="12" t="s">
        <v>11</v>
      </c>
      <c r="C112" s="154" t="s">
        <v>139</v>
      </c>
      <c r="D112" s="143" t="s">
        <v>7</v>
      </c>
      <c r="E112" s="14" t="s">
        <v>114</v>
      </c>
    </row>
    <row r="113" spans="1:5">
      <c r="A113" s="178" t="s">
        <v>140</v>
      </c>
      <c r="B113" s="12" t="s">
        <v>11</v>
      </c>
      <c r="C113" s="154" t="s">
        <v>139</v>
      </c>
      <c r="D113" s="143" t="s">
        <v>7</v>
      </c>
      <c r="E113" s="14" t="s">
        <v>114</v>
      </c>
    </row>
    <row r="114" spans="1:5">
      <c r="A114" s="175" t="s">
        <v>141</v>
      </c>
      <c r="B114" s="18" t="s">
        <v>59</v>
      </c>
      <c r="C114" s="146" t="str">
        <f>IF(COUNTBLANK((F114:BH114))=54,"Check",IF(COUNTBLANK(D114:BH114)=57,"Falta pedir","Ok"))</f>
        <v>Ok</v>
      </c>
      <c r="D114" s="13" t="s">
        <v>7</v>
      </c>
      <c r="E114" s="13" t="s">
        <v>114</v>
      </c>
    </row>
    <row r="115" spans="1:5">
      <c r="A115" s="180" t="s">
        <v>142</v>
      </c>
      <c r="B115" s="10" t="s">
        <v>59</v>
      </c>
      <c r="C115" s="146" t="str">
        <f>IF(COUNTBLANK((F115:BH115))=54,"Check",IF(COUNTBLANK(D115:BH115)=57,"Falta pedir","Ok"))</f>
        <v>Ok</v>
      </c>
      <c r="D115" s="13" t="s">
        <v>7</v>
      </c>
      <c r="E115" s="13" t="s">
        <v>114</v>
      </c>
    </row>
    <row r="116" spans="1:5">
      <c r="A116" s="174" t="s">
        <v>143</v>
      </c>
      <c r="B116" s="11" t="s">
        <v>59</v>
      </c>
      <c r="C116" s="12" t="str">
        <f>IF(COUNTBLANK((F116:BH116))=54,"Check",IF(COUNTBLANK(D116:BH116)=57,"Falta pedir","Ok"))</f>
        <v>Ok</v>
      </c>
      <c r="D116" s="13" t="s">
        <v>7</v>
      </c>
      <c r="E116" s="13" t="s">
        <v>114</v>
      </c>
    </row>
    <row r="117" spans="1:5">
      <c r="A117" s="28" t="s">
        <v>144</v>
      </c>
      <c r="B117" s="29" t="s">
        <v>67</v>
      </c>
      <c r="C117" s="141" t="s">
        <v>68</v>
      </c>
      <c r="D117" s="143" t="s">
        <v>7</v>
      </c>
      <c r="E117" s="143" t="s">
        <v>114</v>
      </c>
    </row>
    <row r="118" spans="1:5">
      <c r="A118" s="174" t="s">
        <v>145</v>
      </c>
      <c r="B118" s="12" t="s">
        <v>6</v>
      </c>
      <c r="C118" s="11" t="s">
        <v>54</v>
      </c>
      <c r="D118" s="13" t="s">
        <v>47</v>
      </c>
      <c r="E118" s="13" t="s">
        <v>146</v>
      </c>
    </row>
    <row r="119" spans="1:5">
      <c r="A119" s="174" t="s">
        <v>147</v>
      </c>
      <c r="B119" s="11" t="s">
        <v>6</v>
      </c>
      <c r="C119" s="11" t="s">
        <v>13</v>
      </c>
      <c r="D119" s="13" t="s">
        <v>47</v>
      </c>
      <c r="E119" s="13" t="s">
        <v>146</v>
      </c>
    </row>
    <row r="120" spans="1:5">
      <c r="A120" s="174" t="s">
        <v>148</v>
      </c>
      <c r="B120" s="12" t="s">
        <v>6</v>
      </c>
      <c r="C120" s="11" t="s">
        <v>54</v>
      </c>
      <c r="D120" s="13" t="s">
        <v>47</v>
      </c>
      <c r="E120" s="13" t="s">
        <v>146</v>
      </c>
    </row>
    <row r="121" spans="1:5">
      <c r="A121" s="173" t="s">
        <v>149</v>
      </c>
      <c r="B121" s="12" t="s">
        <v>6</v>
      </c>
      <c r="C121" s="12" t="s">
        <v>13</v>
      </c>
      <c r="D121" s="13" t="s">
        <v>47</v>
      </c>
      <c r="E121" s="13" t="s">
        <v>146</v>
      </c>
    </row>
    <row r="122" spans="1:5">
      <c r="A122" s="173" t="s">
        <v>150</v>
      </c>
      <c r="B122" s="12" t="s">
        <v>6</v>
      </c>
      <c r="C122" s="12" t="s">
        <v>54</v>
      </c>
      <c r="D122" s="13" t="s">
        <v>47</v>
      </c>
      <c r="E122" s="13" t="s">
        <v>146</v>
      </c>
    </row>
    <row r="123" spans="1:5">
      <c r="A123" s="175" t="s">
        <v>151</v>
      </c>
      <c r="B123" s="12" t="s">
        <v>59</v>
      </c>
      <c r="C123" s="12" t="s">
        <v>13</v>
      </c>
      <c r="D123" s="13" t="s">
        <v>47</v>
      </c>
      <c r="E123" s="13" t="s">
        <v>146</v>
      </c>
    </row>
    <row r="124" spans="1:5">
      <c r="A124" s="176" t="s">
        <v>152</v>
      </c>
      <c r="B124" s="11" t="s">
        <v>59</v>
      </c>
      <c r="C124" s="12" t="s">
        <v>13</v>
      </c>
      <c r="D124" s="13" t="s">
        <v>47</v>
      </c>
      <c r="E124" s="13" t="s">
        <v>146</v>
      </c>
    </row>
    <row r="125" spans="1:5">
      <c r="A125" s="174" t="s">
        <v>153</v>
      </c>
      <c r="B125" s="11" t="s">
        <v>59</v>
      </c>
      <c r="C125" s="12" t="s">
        <v>13</v>
      </c>
      <c r="D125" s="13" t="s">
        <v>47</v>
      </c>
      <c r="E125" s="13" t="s">
        <v>146</v>
      </c>
    </row>
    <row r="126" spans="1:5">
      <c r="A126" s="28" t="s">
        <v>154</v>
      </c>
      <c r="B126" s="29" t="s">
        <v>155</v>
      </c>
      <c r="C126" s="141" t="str">
        <f>IF(COUNTBLANK((G126:BJ126))=54,"Check",IF(COUNTBLANK(D126:BJ126)=57,"Falta pedir","Ok"))</f>
        <v>Falta pedir</v>
      </c>
      <c r="D126" s="142" t="s">
        <v>47</v>
      </c>
      <c r="E126" s="142" t="s">
        <v>146</v>
      </c>
    </row>
    <row r="127" spans="1:5">
      <c r="A127" s="174" t="s">
        <v>156</v>
      </c>
      <c r="B127" s="11" t="s">
        <v>6</v>
      </c>
      <c r="C127" s="12" t="str">
        <f>IF(COUNTBLANK((F127:BH127))=54,"Check",IF(COUNTBLANK(D127:BH127)=57,"Falta pedir","Ok"))</f>
        <v>Ok</v>
      </c>
      <c r="D127" s="13" t="s">
        <v>7</v>
      </c>
      <c r="E127" s="13" t="s">
        <v>146</v>
      </c>
    </row>
    <row r="128" spans="1:5">
      <c r="A128" s="179" t="s">
        <v>157</v>
      </c>
      <c r="B128" s="11" t="s">
        <v>6</v>
      </c>
      <c r="C128" s="12" t="str">
        <f>IF(COUNTBLANK((F128:BH128))=54,"Check",IF(COUNTBLANK(D128:BH128)=57,"Falta pedir","Ok"))</f>
        <v>Ok</v>
      </c>
      <c r="D128" s="13" t="s">
        <v>7</v>
      </c>
      <c r="E128" s="13" t="s">
        <v>146</v>
      </c>
    </row>
    <row r="129" spans="1:5">
      <c r="A129" s="174" t="s">
        <v>158</v>
      </c>
      <c r="B129" s="11" t="s">
        <v>6</v>
      </c>
      <c r="C129" s="12" t="str">
        <f>IF(COUNTBLANK((F129:BH129))=54,"Check",IF(COUNTBLANK(D129:BH129)=57,"Falta pedir","Ok"))</f>
        <v>Ok</v>
      </c>
      <c r="D129" s="13" t="s">
        <v>7</v>
      </c>
      <c r="E129" s="13" t="s">
        <v>146</v>
      </c>
    </row>
    <row r="130" spans="1:5">
      <c r="A130" s="173" t="s">
        <v>159</v>
      </c>
      <c r="B130" s="12" t="s">
        <v>6</v>
      </c>
      <c r="C130" s="12" t="str">
        <f>IF(COUNTBLANK((F130:BH130))=54,"Check",IF(COUNTBLANK(D130:BH130)=57,"Falta pedir","Ok"))</f>
        <v>Ok</v>
      </c>
      <c r="D130" s="13" t="s">
        <v>7</v>
      </c>
      <c r="E130" s="13" t="s">
        <v>146</v>
      </c>
    </row>
    <row r="131" spans="1:5">
      <c r="A131" s="176" t="s">
        <v>160</v>
      </c>
      <c r="B131" s="12" t="s">
        <v>6</v>
      </c>
      <c r="C131" s="12" t="s">
        <v>54</v>
      </c>
      <c r="D131" s="13" t="s">
        <v>7</v>
      </c>
      <c r="E131" s="13" t="s">
        <v>146</v>
      </c>
    </row>
    <row r="132" spans="1:5">
      <c r="A132" s="176" t="s">
        <v>161</v>
      </c>
      <c r="B132" s="12" t="s">
        <v>6</v>
      </c>
      <c r="C132" s="12" t="s">
        <v>54</v>
      </c>
      <c r="D132" s="13" t="s">
        <v>7</v>
      </c>
      <c r="E132" s="13" t="s">
        <v>146</v>
      </c>
    </row>
    <row r="133" spans="1:5">
      <c r="A133" s="175" t="s">
        <v>162</v>
      </c>
      <c r="B133" s="21" t="s">
        <v>59</v>
      </c>
      <c r="C133" s="12" t="str">
        <f>IF(COUNTBLANK((F133:BH133))=54,"Check",IF(COUNTBLANK(D133:BH133)=57,"Falta pedir","Ok"))</f>
        <v>Ok</v>
      </c>
      <c r="D133" s="13" t="s">
        <v>7</v>
      </c>
      <c r="E133" s="23" t="s">
        <v>146</v>
      </c>
    </row>
    <row r="134" spans="1:5">
      <c r="A134" s="174" t="s">
        <v>163</v>
      </c>
      <c r="B134" s="11" t="s">
        <v>59</v>
      </c>
      <c r="C134" s="12" t="str">
        <f>IF(COUNTBLANK((F134:BH134))=54,"Check",IF(COUNTBLANK(D134:BH134)=57,"Falta pedir","Ok"))</f>
        <v>Ok</v>
      </c>
      <c r="D134" s="13" t="s">
        <v>7</v>
      </c>
      <c r="E134" s="23" t="s">
        <v>146</v>
      </c>
    </row>
    <row r="135" spans="1:5">
      <c r="A135" s="96" t="s">
        <v>164</v>
      </c>
      <c r="B135" s="97" t="s">
        <v>59</v>
      </c>
      <c r="C135" s="162" t="s">
        <v>165</v>
      </c>
      <c r="D135" s="144"/>
      <c r="E135" s="144" t="s">
        <v>146</v>
      </c>
    </row>
    <row r="136" spans="1:5">
      <c r="A136" s="181" t="s">
        <v>166</v>
      </c>
      <c r="B136" s="12" t="s">
        <v>6</v>
      </c>
      <c r="C136" s="140" t="s">
        <v>13</v>
      </c>
      <c r="D136" s="13" t="s">
        <v>47</v>
      </c>
      <c r="E136" s="13" t="s">
        <v>167</v>
      </c>
    </row>
    <row r="137" spans="1:5">
      <c r="A137" s="174" t="s">
        <v>168</v>
      </c>
      <c r="B137" s="12" t="s">
        <v>6</v>
      </c>
      <c r="C137" s="6" t="s">
        <v>54</v>
      </c>
      <c r="D137" s="155" t="s">
        <v>47</v>
      </c>
      <c r="E137" s="14" t="s">
        <v>167</v>
      </c>
    </row>
    <row r="138" spans="1:5">
      <c r="A138" s="174" t="s">
        <v>169</v>
      </c>
      <c r="B138" s="12" t="s">
        <v>6</v>
      </c>
      <c r="C138" s="6" t="s">
        <v>54</v>
      </c>
      <c r="D138" s="155" t="s">
        <v>47</v>
      </c>
      <c r="E138" s="14" t="s">
        <v>167</v>
      </c>
    </row>
    <row r="139" spans="1:5">
      <c r="A139" s="174" t="s">
        <v>170</v>
      </c>
      <c r="B139" s="12" t="s">
        <v>6</v>
      </c>
      <c r="C139" s="11" t="s">
        <v>54</v>
      </c>
      <c r="D139" s="13" t="s">
        <v>47</v>
      </c>
      <c r="E139" s="14" t="s">
        <v>167</v>
      </c>
    </row>
    <row r="140" spans="1:5">
      <c r="A140" s="173" t="s">
        <v>171</v>
      </c>
      <c r="B140" s="12" t="s">
        <v>6</v>
      </c>
      <c r="C140" s="12" t="s">
        <v>13</v>
      </c>
      <c r="D140" s="13" t="s">
        <v>47</v>
      </c>
      <c r="E140" s="13" t="s">
        <v>167</v>
      </c>
    </row>
    <row r="141" spans="1:5">
      <c r="A141" s="174" t="s">
        <v>172</v>
      </c>
      <c r="B141" s="12" t="s">
        <v>6</v>
      </c>
      <c r="C141" s="11" t="s">
        <v>54</v>
      </c>
      <c r="D141" s="13" t="s">
        <v>47</v>
      </c>
      <c r="E141" s="14" t="s">
        <v>167</v>
      </c>
    </row>
    <row r="142" spans="1:5">
      <c r="A142" s="173" t="s">
        <v>173</v>
      </c>
      <c r="B142" s="12" t="s">
        <v>6</v>
      </c>
      <c r="C142" s="12" t="s">
        <v>13</v>
      </c>
      <c r="D142" s="13" t="s">
        <v>47</v>
      </c>
      <c r="E142" s="13" t="s">
        <v>167</v>
      </c>
    </row>
    <row r="143" spans="1:5">
      <c r="A143" s="173" t="s">
        <v>174</v>
      </c>
      <c r="B143" s="12" t="s">
        <v>6</v>
      </c>
      <c r="C143" s="12" t="s">
        <v>54</v>
      </c>
      <c r="D143" s="13" t="s">
        <v>47</v>
      </c>
      <c r="E143" s="13" t="s">
        <v>167</v>
      </c>
    </row>
    <row r="144" spans="1:5">
      <c r="A144" s="174" t="s">
        <v>175</v>
      </c>
      <c r="B144" s="11" t="s">
        <v>59</v>
      </c>
      <c r="C144" s="11" t="s">
        <v>54</v>
      </c>
      <c r="D144" s="14" t="s">
        <v>47</v>
      </c>
      <c r="E144" s="14" t="s">
        <v>167</v>
      </c>
    </row>
    <row r="145" spans="1:5">
      <c r="A145" s="177" t="s">
        <v>176</v>
      </c>
      <c r="B145" s="153" t="s">
        <v>59</v>
      </c>
      <c r="C145" s="141" t="s">
        <v>177</v>
      </c>
      <c r="D145" s="142" t="s">
        <v>47</v>
      </c>
      <c r="E145" s="142" t="s">
        <v>167</v>
      </c>
    </row>
    <row r="146" spans="1:5">
      <c r="A146" s="173" t="s">
        <v>178</v>
      </c>
      <c r="B146" s="21" t="s">
        <v>59</v>
      </c>
      <c r="C146" s="12" t="str">
        <f>IF(COUNTBLANK((G149:BJ149))=54,"Check",IF(COUNTBLANK(F149:BJ149)=57,"Falta pedir","Ok"))</f>
        <v>Falta pedir</v>
      </c>
      <c r="D146" s="13" t="s">
        <v>47</v>
      </c>
      <c r="E146" s="23" t="s">
        <v>167</v>
      </c>
    </row>
    <row r="147" spans="1:5">
      <c r="A147" s="173" t="s">
        <v>179</v>
      </c>
      <c r="B147" s="12" t="s">
        <v>59</v>
      </c>
      <c r="C147" s="12" t="str">
        <f>IF(COUNTBLANK((G147:BJ147))=54,"Check",IF(COUNTBLANK(D147:BJ147)=57,"Falta pedir","Ok"))</f>
        <v>Falta pedir</v>
      </c>
      <c r="D147" s="13" t="s">
        <v>47</v>
      </c>
      <c r="E147" s="23" t="s">
        <v>167</v>
      </c>
    </row>
    <row r="148" spans="1:5">
      <c r="A148" s="152" t="s">
        <v>180</v>
      </c>
      <c r="B148" s="141" t="s">
        <v>6</v>
      </c>
      <c r="C148" s="141" t="s">
        <v>68</v>
      </c>
      <c r="D148" s="182" t="s">
        <v>7</v>
      </c>
      <c r="E148" s="182" t="s">
        <v>167</v>
      </c>
    </row>
    <row r="149" spans="1:5">
      <c r="A149" s="173" t="s">
        <v>181</v>
      </c>
      <c r="B149" s="12" t="s">
        <v>6</v>
      </c>
      <c r="C149" s="12" t="str">
        <f t="shared" ref="C149:C157" si="4">IF(COUNTBLANK((F149:BH149))=54,"Check",IF(COUNTBLANK(D149:BH149)=57,"Falta pedir","Ok"))</f>
        <v>Ok</v>
      </c>
      <c r="D149" s="13" t="s">
        <v>7</v>
      </c>
      <c r="E149" s="13" t="s">
        <v>167</v>
      </c>
    </row>
    <row r="150" spans="1:5">
      <c r="A150" s="181" t="s">
        <v>182</v>
      </c>
      <c r="B150" s="12" t="s">
        <v>6</v>
      </c>
      <c r="C150" s="12" t="str">
        <f t="shared" si="4"/>
        <v>Ok</v>
      </c>
      <c r="D150" s="13" t="s">
        <v>7</v>
      </c>
      <c r="E150" s="13" t="s">
        <v>167</v>
      </c>
    </row>
    <row r="151" spans="1:5">
      <c r="A151" s="173" t="s">
        <v>183</v>
      </c>
      <c r="B151" s="12" t="s">
        <v>6</v>
      </c>
      <c r="C151" s="12" t="str">
        <f t="shared" si="4"/>
        <v>Ok</v>
      </c>
      <c r="D151" s="13" t="s">
        <v>7</v>
      </c>
      <c r="E151" s="13" t="s">
        <v>167</v>
      </c>
    </row>
    <row r="152" spans="1:5">
      <c r="A152" s="174" t="s">
        <v>184</v>
      </c>
      <c r="B152" s="12" t="s">
        <v>6</v>
      </c>
      <c r="C152" s="12" t="str">
        <f t="shared" si="4"/>
        <v>Ok</v>
      </c>
      <c r="D152" s="13" t="s">
        <v>7</v>
      </c>
      <c r="E152" s="14" t="s">
        <v>167</v>
      </c>
    </row>
    <row r="153" spans="1:5">
      <c r="A153" s="174" t="s">
        <v>185</v>
      </c>
      <c r="B153" s="12" t="s">
        <v>6</v>
      </c>
      <c r="C153" s="12" t="str">
        <f t="shared" si="4"/>
        <v>Ok</v>
      </c>
      <c r="D153" s="13" t="s">
        <v>7</v>
      </c>
      <c r="E153" s="14" t="s">
        <v>167</v>
      </c>
    </row>
    <row r="154" spans="1:5">
      <c r="A154" s="174" t="s">
        <v>186</v>
      </c>
      <c r="B154" s="12" t="s">
        <v>6</v>
      </c>
      <c r="C154" s="12" t="str">
        <f t="shared" si="4"/>
        <v>Ok</v>
      </c>
      <c r="D154" s="13" t="s">
        <v>7</v>
      </c>
      <c r="E154" s="14" t="s">
        <v>167</v>
      </c>
    </row>
    <row r="155" spans="1:5">
      <c r="A155" s="174" t="s">
        <v>187</v>
      </c>
      <c r="B155" s="12" t="s">
        <v>6</v>
      </c>
      <c r="C155" s="12" t="str">
        <f t="shared" si="4"/>
        <v>Ok</v>
      </c>
      <c r="D155" s="13" t="s">
        <v>7</v>
      </c>
      <c r="E155" s="14" t="s">
        <v>167</v>
      </c>
    </row>
    <row r="156" spans="1:5">
      <c r="A156" s="174" t="s">
        <v>188</v>
      </c>
      <c r="B156" s="11" t="s">
        <v>59</v>
      </c>
      <c r="C156" s="12" t="str">
        <f t="shared" si="4"/>
        <v>Ok</v>
      </c>
      <c r="D156" s="13" t="s">
        <v>7</v>
      </c>
      <c r="E156" s="13" t="s">
        <v>167</v>
      </c>
    </row>
    <row r="157" spans="1:5">
      <c r="A157" s="174" t="s">
        <v>189</v>
      </c>
      <c r="B157" s="11" t="s">
        <v>59</v>
      </c>
      <c r="C157" s="12" t="str">
        <f t="shared" si="4"/>
        <v>Ok</v>
      </c>
      <c r="D157" s="13" t="s">
        <v>7</v>
      </c>
      <c r="E157" s="13" t="s">
        <v>167</v>
      </c>
    </row>
    <row r="158" spans="1:5">
      <c r="A158" s="28" t="s">
        <v>190</v>
      </c>
      <c r="B158" s="29" t="s">
        <v>67</v>
      </c>
      <c r="C158" s="141" t="s">
        <v>68</v>
      </c>
      <c r="D158" s="143" t="s">
        <v>7</v>
      </c>
      <c r="E158" s="143" t="s">
        <v>167</v>
      </c>
    </row>
    <row r="159" spans="1:5">
      <c r="A159" s="18" t="s">
        <v>191</v>
      </c>
      <c r="B159" s="11" t="s">
        <v>192</v>
      </c>
      <c r="C159" s="12" t="str">
        <f t="shared" ref="C159:C165" si="5">IF(COUNTBLANK((F159:BH159))=54,"Check",IF(COUNTBLANK(D159:BH159)=57,"Falta pedir","Ok"))</f>
        <v>Ok</v>
      </c>
      <c r="D159" s="14" t="s">
        <v>88</v>
      </c>
      <c r="E159" s="14" t="s">
        <v>193</v>
      </c>
    </row>
    <row r="160" spans="1:5">
      <c r="A160" s="18" t="s">
        <v>194</v>
      </c>
      <c r="B160" s="11" t="s">
        <v>192</v>
      </c>
      <c r="C160" s="12" t="str">
        <f t="shared" si="5"/>
        <v>Ok</v>
      </c>
      <c r="D160" s="14" t="s">
        <v>88</v>
      </c>
      <c r="E160" s="14" t="s">
        <v>193</v>
      </c>
    </row>
    <row r="161" spans="1:5">
      <c r="A161" s="18" t="s">
        <v>195</v>
      </c>
      <c r="B161" s="11" t="s">
        <v>192</v>
      </c>
      <c r="C161" s="12" t="str">
        <f t="shared" si="5"/>
        <v>Ok</v>
      </c>
      <c r="D161" s="14" t="s">
        <v>88</v>
      </c>
      <c r="E161" s="14" t="s">
        <v>193</v>
      </c>
    </row>
    <row r="162" spans="1:5">
      <c r="A162" s="18" t="s">
        <v>196</v>
      </c>
      <c r="B162" s="11" t="s">
        <v>192</v>
      </c>
      <c r="C162" s="12" t="str">
        <f t="shared" si="5"/>
        <v>Ok</v>
      </c>
      <c r="D162" s="14" t="s">
        <v>88</v>
      </c>
      <c r="E162" s="14" t="s">
        <v>193</v>
      </c>
    </row>
    <row r="163" spans="1:5">
      <c r="A163" s="18" t="s">
        <v>197</v>
      </c>
      <c r="B163" s="11" t="s">
        <v>192</v>
      </c>
      <c r="C163" s="12" t="str">
        <f t="shared" si="5"/>
        <v>Ok</v>
      </c>
      <c r="D163" s="14" t="s">
        <v>88</v>
      </c>
      <c r="E163" s="14" t="s">
        <v>193</v>
      </c>
    </row>
    <row r="164" spans="1:5">
      <c r="A164" s="18" t="s">
        <v>198</v>
      </c>
      <c r="B164" s="11" t="s">
        <v>192</v>
      </c>
      <c r="C164" s="12" t="str">
        <f t="shared" si="5"/>
        <v>Ok</v>
      </c>
      <c r="D164" s="14" t="s">
        <v>88</v>
      </c>
      <c r="E164" s="14" t="s">
        <v>193</v>
      </c>
    </row>
    <row r="165" spans="1:5">
      <c r="A165" s="18" t="s">
        <v>199</v>
      </c>
      <c r="B165" s="11" t="s">
        <v>192</v>
      </c>
      <c r="C165" s="12" t="str">
        <f t="shared" si="5"/>
        <v>Ok</v>
      </c>
      <c r="D165" s="14" t="s">
        <v>88</v>
      </c>
      <c r="E165" s="14" t="s">
        <v>193</v>
      </c>
    </row>
    <row r="166" spans="1:5">
      <c r="A166" s="173" t="s">
        <v>200</v>
      </c>
      <c r="B166" s="26" t="s">
        <v>201</v>
      </c>
      <c r="C166" s="12" t="str">
        <f>IF(COUNTBLANK((G166:BJ166))=54,"Check",IF(COUNTBLANK(D166:BJ166)=57,"Falta pedir","Ok"))</f>
        <v>Falta pedir</v>
      </c>
      <c r="D166" s="13" t="s">
        <v>47</v>
      </c>
      <c r="E166" s="13" t="s">
        <v>202</v>
      </c>
    </row>
    <row r="167" spans="1:5">
      <c r="A167" s="174" t="s">
        <v>203</v>
      </c>
      <c r="B167" s="26" t="s">
        <v>201</v>
      </c>
      <c r="C167" s="12" t="str">
        <f>IF(COUNTBLANK((G167:BJ167))=54,"Check",IF(COUNTBLANK(D167:BJ167)=57,"Falta pedir","Ok"))</f>
        <v>Falta pedir</v>
      </c>
      <c r="D167" s="13" t="s">
        <v>47</v>
      </c>
      <c r="E167" s="13" t="s">
        <v>202</v>
      </c>
    </row>
    <row r="168" spans="1:5">
      <c r="A168" s="174" t="s">
        <v>204</v>
      </c>
      <c r="B168" s="26" t="s">
        <v>201</v>
      </c>
      <c r="C168" s="12" t="str">
        <f>IF(COUNTBLANK((G168:BJ168))=54,"Check",IF(COUNTBLANK(D168:BJ168)=57,"Falta pedir","Ok"))</f>
        <v>Falta pedir</v>
      </c>
      <c r="D168" s="13" t="s">
        <v>47</v>
      </c>
      <c r="E168" s="13" t="s">
        <v>202</v>
      </c>
    </row>
    <row r="169" spans="1:5">
      <c r="A169" s="174" t="s">
        <v>205</v>
      </c>
      <c r="B169" s="26" t="s">
        <v>201</v>
      </c>
      <c r="C169" s="12" t="str">
        <f>IF(COUNTBLANK((G169:BJ169))=54,"Check",IF(COUNTBLANK(D169:BJ169)=57,"Falta pedir","Ok"))</f>
        <v>Falta pedir</v>
      </c>
      <c r="D169" s="13" t="s">
        <v>47</v>
      </c>
      <c r="E169" s="13" t="s">
        <v>202</v>
      </c>
    </row>
    <row r="170" spans="1:5">
      <c r="A170" s="174" t="s">
        <v>206</v>
      </c>
      <c r="B170" s="26" t="s">
        <v>201</v>
      </c>
      <c r="C170" s="12" t="str">
        <f t="shared" ref="C170:C201" si="6">IF(COUNTBLANK((F170:BH170))=54,"Check",IF(COUNTBLANK(D170:BH170)=57,"Falta pedir","Ok"))</f>
        <v>Ok</v>
      </c>
      <c r="D170" s="14" t="s">
        <v>7</v>
      </c>
      <c r="E170" s="14" t="s">
        <v>202</v>
      </c>
    </row>
    <row r="171" spans="1:5">
      <c r="A171" s="173" t="s">
        <v>207</v>
      </c>
      <c r="B171" s="26" t="s">
        <v>201</v>
      </c>
      <c r="C171" s="12" t="str">
        <f t="shared" si="6"/>
        <v>Ok</v>
      </c>
      <c r="D171" s="14" t="s">
        <v>7</v>
      </c>
      <c r="E171" s="14" t="s">
        <v>202</v>
      </c>
    </row>
    <row r="172" spans="1:5">
      <c r="A172" s="173" t="s">
        <v>208</v>
      </c>
      <c r="B172" s="31" t="s">
        <v>201</v>
      </c>
      <c r="C172" s="12" t="str">
        <f t="shared" si="6"/>
        <v>Ok</v>
      </c>
      <c r="D172" s="14" t="s">
        <v>7</v>
      </c>
      <c r="E172" s="14" t="s">
        <v>202</v>
      </c>
    </row>
    <row r="173" spans="1:5">
      <c r="A173" s="174" t="s">
        <v>209</v>
      </c>
      <c r="B173" s="26" t="s">
        <v>201</v>
      </c>
      <c r="C173" s="12" t="str">
        <f t="shared" si="6"/>
        <v>Ok</v>
      </c>
      <c r="D173" s="14" t="s">
        <v>7</v>
      </c>
      <c r="E173" s="14" t="s">
        <v>202</v>
      </c>
    </row>
    <row r="174" spans="1:5">
      <c r="A174" s="10" t="s">
        <v>210</v>
      </c>
      <c r="B174" s="26" t="s">
        <v>211</v>
      </c>
      <c r="C174" s="12" t="str">
        <f t="shared" si="6"/>
        <v>Ok</v>
      </c>
      <c r="D174" s="14" t="s">
        <v>212</v>
      </c>
      <c r="E174" s="14" t="s">
        <v>213</v>
      </c>
    </row>
    <row r="175" spans="1:5">
      <c r="A175" s="10" t="s">
        <v>214</v>
      </c>
      <c r="B175" s="26" t="s">
        <v>211</v>
      </c>
      <c r="C175" s="12" t="str">
        <f t="shared" si="6"/>
        <v>Ok</v>
      </c>
      <c r="D175" s="14" t="s">
        <v>212</v>
      </c>
      <c r="E175" s="14" t="s">
        <v>213</v>
      </c>
    </row>
    <row r="176" spans="1:5">
      <c r="A176" s="10" t="s">
        <v>215</v>
      </c>
      <c r="B176" s="26" t="s">
        <v>211</v>
      </c>
      <c r="C176" s="12" t="str">
        <f t="shared" si="6"/>
        <v>Ok</v>
      </c>
      <c r="D176" s="14" t="s">
        <v>212</v>
      </c>
      <c r="E176" s="14" t="s">
        <v>213</v>
      </c>
    </row>
    <row r="177" spans="1:5">
      <c r="A177" s="10" t="s">
        <v>216</v>
      </c>
      <c r="B177" s="26" t="s">
        <v>211</v>
      </c>
      <c r="C177" s="12" t="str">
        <f t="shared" si="6"/>
        <v>Ok</v>
      </c>
      <c r="D177" s="14" t="s">
        <v>212</v>
      </c>
      <c r="E177" s="14" t="s">
        <v>213</v>
      </c>
    </row>
    <row r="178" spans="1:5">
      <c r="A178" s="10" t="s">
        <v>217</v>
      </c>
      <c r="B178" s="26" t="s">
        <v>211</v>
      </c>
      <c r="C178" s="12" t="str">
        <f t="shared" si="6"/>
        <v>Ok</v>
      </c>
      <c r="D178" s="14" t="s">
        <v>212</v>
      </c>
      <c r="E178" s="14" t="s">
        <v>213</v>
      </c>
    </row>
    <row r="179" spans="1:5">
      <c r="A179" s="10" t="s">
        <v>218</v>
      </c>
      <c r="B179" s="26" t="s">
        <v>211</v>
      </c>
      <c r="C179" s="12" t="str">
        <f t="shared" si="6"/>
        <v>Ok</v>
      </c>
      <c r="D179" s="14" t="s">
        <v>212</v>
      </c>
      <c r="E179" s="14" t="s">
        <v>213</v>
      </c>
    </row>
    <row r="180" spans="1:5">
      <c r="A180" s="10" t="s">
        <v>219</v>
      </c>
      <c r="B180" s="26" t="s">
        <v>211</v>
      </c>
      <c r="C180" s="12" t="str">
        <f t="shared" si="6"/>
        <v>Ok</v>
      </c>
      <c r="D180" s="14" t="s">
        <v>212</v>
      </c>
      <c r="E180" s="14" t="s">
        <v>213</v>
      </c>
    </row>
    <row r="181" spans="1:5">
      <c r="A181" s="10" t="s">
        <v>220</v>
      </c>
      <c r="B181" s="26" t="s">
        <v>211</v>
      </c>
      <c r="C181" s="12" t="str">
        <f t="shared" si="6"/>
        <v>Ok</v>
      </c>
      <c r="D181" s="14" t="s">
        <v>212</v>
      </c>
      <c r="E181" s="14" t="s">
        <v>213</v>
      </c>
    </row>
    <row r="182" spans="1:5">
      <c r="A182" s="10" t="s">
        <v>221</v>
      </c>
      <c r="B182" s="26" t="s">
        <v>211</v>
      </c>
      <c r="C182" s="12" t="str">
        <f t="shared" si="6"/>
        <v>Ok</v>
      </c>
      <c r="D182" s="14" t="s">
        <v>212</v>
      </c>
      <c r="E182" s="14" t="s">
        <v>213</v>
      </c>
    </row>
    <row r="183" spans="1:5">
      <c r="A183" s="10" t="s">
        <v>222</v>
      </c>
      <c r="B183" s="26" t="s">
        <v>211</v>
      </c>
      <c r="C183" s="12" t="str">
        <f t="shared" si="6"/>
        <v>Ok</v>
      </c>
      <c r="D183" s="14" t="s">
        <v>212</v>
      </c>
      <c r="E183" s="14" t="s">
        <v>213</v>
      </c>
    </row>
    <row r="184" spans="1:5">
      <c r="A184" s="10" t="s">
        <v>223</v>
      </c>
      <c r="B184" s="31" t="s">
        <v>211</v>
      </c>
      <c r="C184" s="12" t="str">
        <f t="shared" si="6"/>
        <v>Ok</v>
      </c>
      <c r="D184" s="14" t="s">
        <v>212</v>
      </c>
      <c r="E184" s="14" t="s">
        <v>213</v>
      </c>
    </row>
    <row r="185" spans="1:5">
      <c r="A185" s="10" t="s">
        <v>224</v>
      </c>
      <c r="B185" s="31" t="s">
        <v>211</v>
      </c>
      <c r="C185" s="12" t="str">
        <f t="shared" si="6"/>
        <v>Ok</v>
      </c>
      <c r="D185" s="14" t="s">
        <v>212</v>
      </c>
      <c r="E185" s="14" t="s">
        <v>213</v>
      </c>
    </row>
    <row r="186" spans="1:5">
      <c r="A186" s="10" t="s">
        <v>225</v>
      </c>
      <c r="B186" s="26" t="s">
        <v>211</v>
      </c>
      <c r="C186" s="12" t="str">
        <f t="shared" si="6"/>
        <v>Ok</v>
      </c>
      <c r="D186" s="14" t="s">
        <v>212</v>
      </c>
      <c r="E186" s="14" t="s">
        <v>213</v>
      </c>
    </row>
    <row r="187" spans="1:5">
      <c r="A187" s="10" t="s">
        <v>226</v>
      </c>
      <c r="B187" s="26" t="s">
        <v>211</v>
      </c>
      <c r="C187" s="12" t="str">
        <f t="shared" si="6"/>
        <v>Ok</v>
      </c>
      <c r="D187" s="14" t="s">
        <v>212</v>
      </c>
      <c r="E187" s="14" t="s">
        <v>213</v>
      </c>
    </row>
    <row r="188" spans="1:5">
      <c r="A188" s="10" t="s">
        <v>227</v>
      </c>
      <c r="B188" s="26" t="s">
        <v>211</v>
      </c>
      <c r="C188" s="12" t="str">
        <f t="shared" si="6"/>
        <v>Ok</v>
      </c>
      <c r="D188" s="14" t="s">
        <v>212</v>
      </c>
      <c r="E188" s="14" t="s">
        <v>213</v>
      </c>
    </row>
    <row r="189" spans="1:5">
      <c r="A189" s="10" t="s">
        <v>228</v>
      </c>
      <c r="B189" s="26" t="s">
        <v>211</v>
      </c>
      <c r="C189" s="12" t="str">
        <f t="shared" si="6"/>
        <v>Ok</v>
      </c>
      <c r="D189" s="14" t="s">
        <v>212</v>
      </c>
      <c r="E189" s="14" t="s">
        <v>213</v>
      </c>
    </row>
    <row r="190" spans="1:5">
      <c r="A190" s="10" t="s">
        <v>229</v>
      </c>
      <c r="B190" s="26" t="s">
        <v>211</v>
      </c>
      <c r="C190" s="12" t="str">
        <f t="shared" si="6"/>
        <v>Ok</v>
      </c>
      <c r="D190" s="14" t="s">
        <v>212</v>
      </c>
      <c r="E190" s="14" t="s">
        <v>213</v>
      </c>
    </row>
    <row r="191" spans="1:5">
      <c r="A191" s="10" t="s">
        <v>230</v>
      </c>
      <c r="B191" s="31" t="s">
        <v>211</v>
      </c>
      <c r="C191" s="12" t="str">
        <f t="shared" si="6"/>
        <v>Ok</v>
      </c>
      <c r="D191" s="14" t="s">
        <v>212</v>
      </c>
      <c r="E191" s="14" t="s">
        <v>213</v>
      </c>
    </row>
    <row r="192" spans="1:5">
      <c r="A192" s="10" t="s">
        <v>231</v>
      </c>
      <c r="B192" s="26" t="s">
        <v>211</v>
      </c>
      <c r="C192" s="12" t="str">
        <f t="shared" si="6"/>
        <v>Ok</v>
      </c>
      <c r="D192" s="14" t="s">
        <v>212</v>
      </c>
      <c r="E192" s="14" t="s">
        <v>213</v>
      </c>
    </row>
    <row r="193" spans="1:148">
      <c r="A193" s="10" t="s">
        <v>232</v>
      </c>
      <c r="B193" s="26" t="s">
        <v>211</v>
      </c>
      <c r="C193" s="12" t="str">
        <f t="shared" si="6"/>
        <v>Ok</v>
      </c>
      <c r="D193" s="14" t="s">
        <v>212</v>
      </c>
      <c r="E193" s="14" t="s">
        <v>213</v>
      </c>
    </row>
    <row r="194" spans="1:148">
      <c r="A194" s="167" t="s">
        <v>233</v>
      </c>
      <c r="B194" s="26" t="s">
        <v>211</v>
      </c>
      <c r="C194" s="12" t="str">
        <f t="shared" si="6"/>
        <v>Ok</v>
      </c>
      <c r="D194" s="14" t="s">
        <v>212</v>
      </c>
      <c r="E194" s="14" t="s">
        <v>213</v>
      </c>
    </row>
    <row r="195" spans="1:148">
      <c r="A195" s="166" t="s">
        <v>234</v>
      </c>
      <c r="B195" s="26" t="s">
        <v>211</v>
      </c>
      <c r="C195" s="12" t="str">
        <f t="shared" si="6"/>
        <v>Ok</v>
      </c>
      <c r="D195" s="14" t="s">
        <v>212</v>
      </c>
      <c r="E195" s="14" t="s">
        <v>213</v>
      </c>
    </row>
    <row r="196" spans="1:148">
      <c r="A196" s="10" t="s">
        <v>235</v>
      </c>
      <c r="B196" s="26" t="s">
        <v>211</v>
      </c>
      <c r="C196" s="12" t="str">
        <f t="shared" si="6"/>
        <v>Ok</v>
      </c>
      <c r="D196" s="14" t="s">
        <v>212</v>
      </c>
      <c r="E196" s="14" t="s">
        <v>213</v>
      </c>
    </row>
    <row r="197" spans="1:148">
      <c r="A197" s="10" t="s">
        <v>236</v>
      </c>
      <c r="B197" s="26" t="s">
        <v>211</v>
      </c>
      <c r="C197" s="12" t="str">
        <f t="shared" si="6"/>
        <v>Ok</v>
      </c>
      <c r="D197" s="14" t="s">
        <v>212</v>
      </c>
      <c r="E197" s="14" t="s">
        <v>213</v>
      </c>
    </row>
    <row r="198" spans="1:148">
      <c r="A198" s="10" t="s">
        <v>237</v>
      </c>
      <c r="B198" s="26" t="s">
        <v>211</v>
      </c>
      <c r="C198" s="12" t="str">
        <f t="shared" si="6"/>
        <v>Ok</v>
      </c>
      <c r="D198" s="14" t="s">
        <v>212</v>
      </c>
      <c r="E198" s="14" t="s">
        <v>213</v>
      </c>
    </row>
    <row r="199" spans="1:148">
      <c r="A199" s="10" t="s">
        <v>238</v>
      </c>
      <c r="B199" s="26" t="s">
        <v>211</v>
      </c>
      <c r="C199" s="12" t="str">
        <f t="shared" si="6"/>
        <v>Ok</v>
      </c>
      <c r="D199" s="14" t="s">
        <v>212</v>
      </c>
      <c r="E199" s="14" t="s">
        <v>213</v>
      </c>
    </row>
    <row r="200" spans="1:148">
      <c r="A200" s="146" t="s">
        <v>239</v>
      </c>
      <c r="B200" s="31" t="s">
        <v>211</v>
      </c>
      <c r="C200" s="146" t="str">
        <f t="shared" si="6"/>
        <v>Ok</v>
      </c>
      <c r="D200" s="5" t="s">
        <v>212</v>
      </c>
      <c r="E200" s="14" t="s">
        <v>213</v>
      </c>
    </row>
    <row r="201" spans="1:148">
      <c r="A201" s="10" t="s">
        <v>240</v>
      </c>
      <c r="B201" s="26" t="s">
        <v>211</v>
      </c>
      <c r="C201" s="12" t="str">
        <f t="shared" si="6"/>
        <v>Ok</v>
      </c>
      <c r="D201" s="14" t="s">
        <v>212</v>
      </c>
      <c r="E201" s="14" t="s">
        <v>213</v>
      </c>
      <c r="G201" s="14"/>
      <c r="H201" s="14"/>
      <c r="I201" s="14"/>
      <c r="J201" s="14"/>
      <c r="K201" s="14"/>
      <c r="L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</row>
    <row r="202" spans="1:148">
      <c r="A202" s="159"/>
      <c r="B202" s="160"/>
      <c r="C202" s="160"/>
      <c r="D202" s="165"/>
      <c r="E202" s="165"/>
    </row>
    <row r="203" spans="1:148">
      <c r="A203" s="159"/>
      <c r="B203" s="160"/>
      <c r="C203" s="160"/>
      <c r="D203" s="165"/>
      <c r="E203" s="165"/>
    </row>
  </sheetData>
  <autoFilter ref="A1:E201" xr:uid="{722B8065-B2AA-4847-9635-3453389B30A5}"/>
  <conditionalFormatting sqref="A29:D32 A66:E75 A86:D89 D99:D102 A100:A102">
    <cfRule type="cellIs" dxfId="101" priority="3" operator="equal">
      <formula>"S"</formula>
    </cfRule>
  </conditionalFormatting>
  <conditionalFormatting sqref="A136:D136 E136:E138 A137:B138 D137:D138">
    <cfRule type="cellIs" dxfId="100" priority="4" operator="equal">
      <formula>"S"</formula>
    </cfRule>
  </conditionalFormatting>
  <conditionalFormatting sqref="A1:E35">
    <cfRule type="cellIs" dxfId="99" priority="1" operator="equal">
      <formula>"S"</formula>
    </cfRule>
  </conditionalFormatting>
  <conditionalFormatting sqref="F1:L1 N1:EQ1 G2:L35 N2:ER35 C36 A37:E61 G37:L72 N37:ER72 A62:B65 D62:E66 C63:C65 A77:E135 A139:E203 G201:L201 N201:ER201">
    <cfRule type="cellIs" dxfId="98" priority="7" operator="equal">
      <formula>"S"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showGridLines="0" zoomScale="70" zoomScaleNormal="70" workbookViewId="0">
      <selection activeCell="I46" sqref="I46"/>
    </sheetView>
  </sheetViews>
  <sheetFormatPr defaultColWidth="8.5703125" defaultRowHeight="15"/>
  <cols>
    <col min="1" max="6" width="16" customWidth="1"/>
    <col min="7" max="10" width="13" customWidth="1"/>
    <col min="11" max="11" width="14.5703125" customWidth="1"/>
    <col min="12" max="12" width="13" customWidth="1"/>
    <col min="13" max="13" width="21" customWidth="1"/>
    <col min="14" max="18" width="13" customWidth="1"/>
    <col min="20" max="20" width="36.42578125" bestFit="1" customWidth="1"/>
  </cols>
  <sheetData>
    <row r="1" spans="1:20" ht="34.5" customHeight="1">
      <c r="A1" s="449" t="s">
        <v>241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T1" s="191" t="s">
        <v>242</v>
      </c>
    </row>
    <row r="2" spans="1:20" ht="7.5" customHeight="1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</row>
    <row r="3" spans="1:20" ht="19.5" customHeight="1">
      <c r="A3" s="450" t="s">
        <v>243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T3" s="192" t="s">
        <v>244</v>
      </c>
    </row>
    <row r="4" spans="1:20" ht="35.25" customHeight="1">
      <c r="A4" s="1" t="s">
        <v>245</v>
      </c>
      <c r="B4" s="1" t="s">
        <v>246</v>
      </c>
      <c r="C4" s="1" t="s">
        <v>244</v>
      </c>
      <c r="D4" s="1" t="s">
        <v>247</v>
      </c>
      <c r="E4" s="1" t="s">
        <v>248</v>
      </c>
      <c r="F4" s="1" t="s">
        <v>249</v>
      </c>
      <c r="G4" s="1" t="s">
        <v>250</v>
      </c>
      <c r="I4" s="1" t="s">
        <v>251</v>
      </c>
      <c r="K4" s="1" t="s">
        <v>252</v>
      </c>
      <c r="L4" s="248">
        <v>2659</v>
      </c>
      <c r="M4" s="250" t="s">
        <v>253</v>
      </c>
      <c r="T4" s="193"/>
    </row>
    <row r="5" spans="1:20" ht="21.75" customHeight="1">
      <c r="A5" s="2" t="s">
        <v>254</v>
      </c>
      <c r="B5" s="3">
        <f ca="1">'Linea 1'!A2</f>
        <v>4</v>
      </c>
      <c r="C5" s="3">
        <f ca="1">'Linea 2'!A2</f>
        <v>3</v>
      </c>
      <c r="D5" s="3">
        <f ca="1">'Linea 3'!A2</f>
        <v>6</v>
      </c>
      <c r="E5" s="3">
        <f ca="1">'Linea 4'!A2</f>
        <v>2</v>
      </c>
      <c r="F5" s="3">
        <f ca="1">'Linea 5'!A2</f>
        <v>5</v>
      </c>
      <c r="G5" s="3">
        <f ca="1">SUM(B5:F5)</f>
        <v>20</v>
      </c>
      <c r="H5" s="2" t="s">
        <v>254</v>
      </c>
      <c r="I5" s="3">
        <f ca="1">Cuadros!K2</f>
        <v>8</v>
      </c>
      <c r="K5" s="1" t="s">
        <v>255</v>
      </c>
      <c r="L5" s="249">
        <f ca="1">L4-I12</f>
        <v>409</v>
      </c>
      <c r="M5" s="251" t="s">
        <v>256</v>
      </c>
    </row>
    <row r="6" spans="1:20" ht="21.75" customHeight="1">
      <c r="A6" s="2" t="s">
        <v>257</v>
      </c>
      <c r="B6" s="4">
        <f ca="1">'Linea 1'!C2</f>
        <v>5</v>
      </c>
      <c r="C6" s="4">
        <f ca="1">'Linea 2'!C2</f>
        <v>4</v>
      </c>
      <c r="D6" s="4">
        <f ca="1">'Linea 3'!C2</f>
        <v>5</v>
      </c>
      <c r="E6" s="265">
        <f ca="1">'Linea 4'!C2</f>
        <v>3</v>
      </c>
      <c r="F6" s="4">
        <f ca="1">'Linea 5'!C2</f>
        <v>3</v>
      </c>
      <c r="G6" s="4">
        <f ca="1">SUM(B6:F6)</f>
        <v>20</v>
      </c>
      <c r="H6" s="2" t="s">
        <v>257</v>
      </c>
      <c r="I6" s="4">
        <f ca="1">Cuadros!K3</f>
        <v>7</v>
      </c>
      <c r="M6" s="252" t="s">
        <v>258</v>
      </c>
    </row>
    <row r="7" spans="1:20" ht="21.75" customHeight="1">
      <c r="A7" s="2" t="s">
        <v>259</v>
      </c>
      <c r="B7" s="223">
        <f ca="1">'Linea 1'!D2</f>
        <v>6</v>
      </c>
      <c r="C7" s="223">
        <f ca="1">'Linea 2'!D2</f>
        <v>9</v>
      </c>
      <c r="D7" s="3">
        <f ca="1">'Linea 3'!D2</f>
        <v>7</v>
      </c>
      <c r="E7" s="265">
        <f ca="1">'Linea 4'!D2</f>
        <v>4</v>
      </c>
      <c r="F7" s="3">
        <f ca="1">'Linea 5'!D2</f>
        <v>8</v>
      </c>
      <c r="G7" s="3">
        <f ca="1">SUM(B7:F7)</f>
        <v>34</v>
      </c>
      <c r="H7" s="2" t="s">
        <v>260</v>
      </c>
      <c r="I7" s="3">
        <f ca="1">Cuadros!K4</f>
        <v>0</v>
      </c>
      <c r="M7" s="253" t="s">
        <v>261</v>
      </c>
    </row>
    <row r="8" spans="1:20" ht="21.75" customHeight="1">
      <c r="A8" s="2" t="s">
        <v>262</v>
      </c>
      <c r="B8" s="224">
        <f ca="1">'Linea 1'!E2</f>
        <v>9</v>
      </c>
      <c r="C8" s="224">
        <f ca="1">'Linea 2'!E2</f>
        <v>9</v>
      </c>
      <c r="D8" s="185">
        <f ca="1">'Linea 3'!E2</f>
        <v>7</v>
      </c>
      <c r="E8" s="185">
        <f ca="1">'Linea 4'!E2</f>
        <v>5</v>
      </c>
      <c r="F8" s="185">
        <v>6</v>
      </c>
      <c r="G8" s="4">
        <f ca="1">SUM(B8:F8)</f>
        <v>36</v>
      </c>
      <c r="M8" s="252" t="s">
        <v>256</v>
      </c>
    </row>
    <row r="9" spans="1:20">
      <c r="B9" s="186">
        <f t="shared" ref="B9:F9" ca="1" si="0">SUM(B5:B8)</f>
        <v>24</v>
      </c>
      <c r="C9" s="186">
        <f t="shared" ca="1" si="0"/>
        <v>25</v>
      </c>
      <c r="D9" s="186">
        <f t="shared" ca="1" si="0"/>
        <v>25</v>
      </c>
      <c r="E9" s="186">
        <f t="shared" ca="1" si="0"/>
        <v>14</v>
      </c>
      <c r="F9" s="186">
        <f t="shared" ca="1" si="0"/>
        <v>22</v>
      </c>
      <c r="I9" s="186">
        <f ca="1">SUM(I5:I8)</f>
        <v>15</v>
      </c>
    </row>
    <row r="10" spans="1:20">
      <c r="A10" s="1" t="s">
        <v>263</v>
      </c>
      <c r="B10" s="1">
        <f ca="1">B9*7.5</f>
        <v>180</v>
      </c>
      <c r="C10" s="1">
        <f t="shared" ref="C10:F10" ca="1" si="1">C9*7.5</f>
        <v>187.5</v>
      </c>
      <c r="D10" s="1">
        <f t="shared" ca="1" si="1"/>
        <v>187.5</v>
      </c>
      <c r="E10" s="1">
        <f t="shared" ca="1" si="1"/>
        <v>105</v>
      </c>
      <c r="F10" s="1">
        <f t="shared" ca="1" si="1"/>
        <v>165</v>
      </c>
      <c r="G10" s="1">
        <f ca="1">SUM(B10:F10)</f>
        <v>825</v>
      </c>
      <c r="I10" s="1">
        <f t="shared" ref="I10" ca="1" si="2">I9*7.5</f>
        <v>112.5</v>
      </c>
      <c r="J10" t="s">
        <v>264</v>
      </c>
    </row>
    <row r="11" spans="1:20">
      <c r="A11" s="1" t="s">
        <v>265</v>
      </c>
      <c r="B11" s="1">
        <f ca="1">5*B10</f>
        <v>900</v>
      </c>
      <c r="C11" s="1">
        <f t="shared" ref="C11:F11" ca="1" si="3">5*C10</f>
        <v>937.5</v>
      </c>
      <c r="D11" s="1">
        <f t="shared" ca="1" si="3"/>
        <v>937.5</v>
      </c>
      <c r="E11" s="1">
        <f t="shared" ca="1" si="3"/>
        <v>525</v>
      </c>
      <c r="F11" s="1">
        <f t="shared" ca="1" si="3"/>
        <v>825</v>
      </c>
      <c r="G11" s="1">
        <f ca="1">SUM(B11:F11)</f>
        <v>4125</v>
      </c>
      <c r="I11" s="1">
        <f t="shared" ref="I11" ca="1" si="4">5*I10</f>
        <v>562.5</v>
      </c>
      <c r="J11" t="s">
        <v>266</v>
      </c>
    </row>
    <row r="12" spans="1:20">
      <c r="A12" s="1" t="s">
        <v>267</v>
      </c>
      <c r="B12" s="1">
        <f ca="1">4*B11</f>
        <v>3600</v>
      </c>
      <c r="C12" s="1">
        <f t="shared" ref="C12:F12" ca="1" si="5">4*C11</f>
        <v>3750</v>
      </c>
      <c r="D12" s="1">
        <f t="shared" ca="1" si="5"/>
        <v>3750</v>
      </c>
      <c r="E12" s="1">
        <f t="shared" ca="1" si="5"/>
        <v>2100</v>
      </c>
      <c r="F12" s="1">
        <f t="shared" ca="1" si="5"/>
        <v>3300</v>
      </c>
      <c r="G12" s="1">
        <f ca="1">SUM(B12:F12)</f>
        <v>16500</v>
      </c>
      <c r="I12" s="1">
        <f t="shared" ref="I12" ca="1" si="6">4*I11</f>
        <v>2250</v>
      </c>
      <c r="J12" t="s">
        <v>268</v>
      </c>
    </row>
    <row r="13" spans="1:20">
      <c r="A13" s="1" t="s">
        <v>269</v>
      </c>
      <c r="B13" s="1">
        <f ca="1">B5+B6*7.55</f>
        <v>41.75</v>
      </c>
      <c r="C13" s="1">
        <f t="shared" ref="C13:F13" ca="1" si="7">C5+C6*7.55</f>
        <v>33.200000000000003</v>
      </c>
      <c r="D13" s="1">
        <f t="shared" ca="1" si="7"/>
        <v>43.75</v>
      </c>
      <c r="E13" s="1">
        <f t="shared" ca="1" si="7"/>
        <v>24.65</v>
      </c>
      <c r="F13" s="1">
        <f t="shared" ca="1" si="7"/>
        <v>27.65</v>
      </c>
      <c r="G13" s="1">
        <f ca="1">G5+G6*7.55</f>
        <v>171</v>
      </c>
    </row>
    <row r="14" spans="1:20">
      <c r="A14" s="1" t="s">
        <v>270</v>
      </c>
      <c r="B14" s="1">
        <f ca="1">B7+B8*7.55</f>
        <v>73.95</v>
      </c>
      <c r="C14" s="1">
        <f t="shared" ref="C14:G14" ca="1" si="8">C7+C8*7.55</f>
        <v>76.95</v>
      </c>
      <c r="D14" s="1">
        <f t="shared" ca="1" si="8"/>
        <v>59.85</v>
      </c>
      <c r="E14" s="1">
        <f t="shared" ca="1" si="8"/>
        <v>41.75</v>
      </c>
      <c r="F14" s="1">
        <f t="shared" ca="1" si="8"/>
        <v>53.3</v>
      </c>
      <c r="G14" s="1">
        <f t="shared" ca="1" si="8"/>
        <v>305.8</v>
      </c>
    </row>
    <row r="15" spans="1:20" ht="27" customHeight="1">
      <c r="A15" s="1" t="s">
        <v>271</v>
      </c>
      <c r="B15" s="1">
        <f ca="1">B13*5</f>
        <v>208.75</v>
      </c>
      <c r="C15" s="1">
        <f t="shared" ref="C15:G15" ca="1" si="9">C13*5</f>
        <v>166</v>
      </c>
      <c r="D15" s="1">
        <f t="shared" ca="1" si="9"/>
        <v>218.75</v>
      </c>
      <c r="E15" s="1">
        <f t="shared" ca="1" si="9"/>
        <v>123.25</v>
      </c>
      <c r="F15" s="1">
        <f t="shared" ca="1" si="9"/>
        <v>138.25</v>
      </c>
      <c r="G15" s="1">
        <f t="shared" ca="1" si="9"/>
        <v>855</v>
      </c>
    </row>
    <row r="16" spans="1:20" s="222" customFormat="1">
      <c r="A16" s="221"/>
      <c r="B16" s="221"/>
      <c r="C16" s="221"/>
      <c r="D16" s="221"/>
      <c r="E16" s="221"/>
      <c r="F16" s="221"/>
      <c r="G16" s="221"/>
    </row>
    <row r="35" spans="1:11">
      <c r="B35" s="388" t="s">
        <v>246</v>
      </c>
      <c r="C35" s="388" t="s">
        <v>244</v>
      </c>
      <c r="D35" s="388" t="s">
        <v>247</v>
      </c>
      <c r="E35" s="388" t="s">
        <v>248</v>
      </c>
      <c r="F35" s="388" t="s">
        <v>249</v>
      </c>
      <c r="G35" s="388" t="s">
        <v>272</v>
      </c>
      <c r="H35" s="388" t="s">
        <v>273</v>
      </c>
      <c r="I35" s="388" t="s">
        <v>274</v>
      </c>
      <c r="J35" s="388" t="s">
        <v>275</v>
      </c>
      <c r="K35" s="388" t="s">
        <v>274</v>
      </c>
    </row>
    <row r="36" spans="1:11">
      <c r="A36" s="387" t="s">
        <v>276</v>
      </c>
      <c r="B36" s="193">
        <v>38</v>
      </c>
      <c r="C36" s="193">
        <v>34</v>
      </c>
      <c r="D36" s="193">
        <v>22</v>
      </c>
      <c r="E36" s="193">
        <v>11</v>
      </c>
      <c r="F36" s="193">
        <v>34</v>
      </c>
      <c r="G36" s="193">
        <v>0</v>
      </c>
      <c r="H36" s="193">
        <f>SUM(B36:G36)</f>
        <v>139</v>
      </c>
      <c r="I36" s="193">
        <f>H36*8</f>
        <v>1112</v>
      </c>
      <c r="J36" s="193"/>
      <c r="K36" s="193">
        <f>J36*8</f>
        <v>0</v>
      </c>
    </row>
    <row r="37" spans="1:11">
      <c r="A37" s="387" t="s">
        <v>277</v>
      </c>
      <c r="B37" s="193">
        <v>85</v>
      </c>
      <c r="C37" s="193">
        <v>50</v>
      </c>
      <c r="D37" s="193">
        <v>97</v>
      </c>
      <c r="E37" s="193">
        <v>39</v>
      </c>
      <c r="F37" s="193">
        <v>53</v>
      </c>
      <c r="G37" s="193">
        <v>2</v>
      </c>
      <c r="H37" s="193">
        <f>SUM(B37:G37)</f>
        <v>326</v>
      </c>
      <c r="I37" s="193">
        <f t="shared" ref="I37:I43" si="10">H37*8</f>
        <v>2608</v>
      </c>
      <c r="J37" s="193">
        <v>13</v>
      </c>
      <c r="K37" s="193">
        <f t="shared" ref="K37:K43" si="11">J37*8</f>
        <v>104</v>
      </c>
    </row>
    <row r="38" spans="1:11">
      <c r="A38" s="387" t="s">
        <v>278</v>
      </c>
      <c r="B38" s="193"/>
      <c r="C38" s="193"/>
      <c r="D38" s="193"/>
      <c r="E38" s="193"/>
      <c r="F38" s="193"/>
      <c r="G38" s="193"/>
      <c r="H38" s="193">
        <v>421</v>
      </c>
      <c r="I38" s="193">
        <f t="shared" si="10"/>
        <v>3368</v>
      </c>
      <c r="J38" s="193"/>
      <c r="K38" s="193">
        <f t="shared" si="11"/>
        <v>0</v>
      </c>
    </row>
    <row r="39" spans="1:11">
      <c r="A39" s="387" t="s">
        <v>279</v>
      </c>
      <c r="B39" s="193"/>
      <c r="C39" s="193"/>
      <c r="D39" s="193"/>
      <c r="E39" s="193"/>
      <c r="F39" s="193"/>
      <c r="G39" s="193"/>
      <c r="H39" s="193">
        <f>SUM(B39:G39)</f>
        <v>0</v>
      </c>
      <c r="I39" s="193">
        <f t="shared" si="10"/>
        <v>0</v>
      </c>
      <c r="J39" s="193"/>
      <c r="K39" s="193">
        <f t="shared" si="11"/>
        <v>0</v>
      </c>
    </row>
    <row r="40" spans="1:11">
      <c r="A40" s="387" t="s">
        <v>280</v>
      </c>
      <c r="B40" s="193"/>
      <c r="C40" s="193"/>
      <c r="D40" s="193"/>
      <c r="E40" s="193"/>
      <c r="F40" s="193"/>
      <c r="G40" s="193"/>
      <c r="H40" s="193">
        <f>SUM(B40:G40)</f>
        <v>0</v>
      </c>
      <c r="I40" s="193">
        <f t="shared" si="10"/>
        <v>0</v>
      </c>
      <c r="J40" s="193"/>
      <c r="K40" s="193">
        <f t="shared" si="11"/>
        <v>0</v>
      </c>
    </row>
    <row r="41" spans="1:11">
      <c r="A41" s="387" t="s">
        <v>281</v>
      </c>
      <c r="B41" s="193"/>
      <c r="C41" s="193"/>
      <c r="D41" s="193"/>
      <c r="E41" s="193"/>
      <c r="F41" s="193"/>
      <c r="G41" s="193"/>
      <c r="H41" s="193">
        <f>SUM(B41:G41)</f>
        <v>0</v>
      </c>
      <c r="I41" s="193">
        <f t="shared" si="10"/>
        <v>0</v>
      </c>
      <c r="J41" s="193"/>
      <c r="K41" s="193">
        <f t="shared" si="11"/>
        <v>0</v>
      </c>
    </row>
    <row r="42" spans="1:11">
      <c r="A42" s="387" t="s">
        <v>282</v>
      </c>
      <c r="B42" s="193"/>
      <c r="C42" s="193"/>
      <c r="D42" s="193"/>
      <c r="E42" s="193"/>
      <c r="F42" s="193"/>
      <c r="G42" s="193"/>
      <c r="H42" s="193">
        <f>SUM(B42:G42)</f>
        <v>0</v>
      </c>
      <c r="I42" s="193">
        <f t="shared" si="10"/>
        <v>0</v>
      </c>
      <c r="J42" s="193"/>
      <c r="K42" s="193">
        <f t="shared" si="11"/>
        <v>0</v>
      </c>
    </row>
    <row r="43" spans="1:11">
      <c r="A43" s="387" t="s">
        <v>283</v>
      </c>
      <c r="B43" s="193"/>
      <c r="C43" s="193"/>
      <c r="D43" s="193"/>
      <c r="E43" s="193"/>
      <c r="F43" s="193"/>
      <c r="G43" s="193"/>
      <c r="H43" s="193">
        <f>SUM(B43:G43)</f>
        <v>0</v>
      </c>
      <c r="I43" s="193">
        <f t="shared" si="10"/>
        <v>0</v>
      </c>
      <c r="J43" s="193"/>
      <c r="K43" s="193">
        <f t="shared" si="11"/>
        <v>0</v>
      </c>
    </row>
  </sheetData>
  <mergeCells count="2">
    <mergeCell ref="A1:R2"/>
    <mergeCell ref="A3:R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B476-392E-419B-9C87-9FE5F17D24B5}">
  <dimension ref="A2:A30"/>
  <sheetViews>
    <sheetView topLeftCell="A5" workbookViewId="0">
      <selection activeCell="E20" sqref="E20"/>
    </sheetView>
  </sheetViews>
  <sheetFormatPr defaultColWidth="9.140625" defaultRowHeight="15"/>
  <cols>
    <col min="1" max="1" width="118.28515625" bestFit="1" customWidth="1"/>
  </cols>
  <sheetData>
    <row r="2" spans="1:1" ht="15.75">
      <c r="A2" s="189" t="s">
        <v>284</v>
      </c>
    </row>
    <row r="4" spans="1:1" ht="15.75">
      <c r="A4" s="189" t="s">
        <v>285</v>
      </c>
    </row>
    <row r="5" spans="1:1" ht="15.75">
      <c r="A5" s="188" t="s">
        <v>286</v>
      </c>
    </row>
    <row r="6" spans="1:1" ht="15.75">
      <c r="A6" s="188" t="s">
        <v>287</v>
      </c>
    </row>
    <row r="7" spans="1:1" ht="15.75">
      <c r="A7" s="188" t="s">
        <v>288</v>
      </c>
    </row>
    <row r="9" spans="1:1" ht="15.75">
      <c r="A9" s="189" t="s">
        <v>289</v>
      </c>
    </row>
    <row r="10" spans="1:1" ht="15.75">
      <c r="A10" s="188" t="s">
        <v>290</v>
      </c>
    </row>
    <row r="11" spans="1:1" ht="15.75">
      <c r="A11" s="188" t="s">
        <v>291</v>
      </c>
    </row>
    <row r="13" spans="1:1" ht="15.75">
      <c r="A13" s="189" t="s">
        <v>292</v>
      </c>
    </row>
    <row r="14" spans="1:1" ht="15.75">
      <c r="A14" s="188" t="s">
        <v>293</v>
      </c>
    </row>
    <row r="15" spans="1:1" ht="15.75">
      <c r="A15" s="188" t="s">
        <v>294</v>
      </c>
    </row>
    <row r="17" spans="1:1" ht="15.75">
      <c r="A17" s="189" t="s">
        <v>295</v>
      </c>
    </row>
    <row r="19" spans="1:1" ht="15.75">
      <c r="A19" s="188" t="s">
        <v>296</v>
      </c>
    </row>
    <row r="20" spans="1:1" ht="15.75">
      <c r="A20" s="188" t="s">
        <v>297</v>
      </c>
    </row>
    <row r="22" spans="1:1" ht="15.75">
      <c r="A22" s="189" t="s">
        <v>298</v>
      </c>
    </row>
    <row r="23" spans="1:1" ht="15.75">
      <c r="A23" s="188" t="s">
        <v>299</v>
      </c>
    </row>
    <row r="24" spans="1:1" ht="15.75">
      <c r="A24" s="188" t="s">
        <v>300</v>
      </c>
    </row>
    <row r="26" spans="1:1" ht="15.75">
      <c r="A26" s="187"/>
    </row>
    <row r="28" spans="1:1" ht="15.75">
      <c r="A28" s="188"/>
    </row>
    <row r="29" spans="1:1" ht="15.75">
      <c r="A29" s="188"/>
    </row>
    <row r="30" spans="1:1" ht="15.75">
      <c r="A30" s="1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EQ212"/>
  <sheetViews>
    <sheetView showGridLines="0" zoomScale="96" zoomScaleNormal="96" workbookViewId="0">
      <pane xSplit="3" ySplit="2" topLeftCell="D100" activePane="bottomRight" state="frozen"/>
      <selection pane="bottomRight" activeCell="K126" sqref="K126"/>
      <selection pane="bottomLeft" activeCell="A22" sqref="A22"/>
      <selection pane="topRight" activeCell="D1" sqref="D1"/>
    </sheetView>
  </sheetViews>
  <sheetFormatPr defaultColWidth="11.42578125" defaultRowHeight="15"/>
  <cols>
    <col min="1" max="1" width="2.7109375" style="5" customWidth="1"/>
    <col min="2" max="2" width="34.28515625" style="6" customWidth="1"/>
    <col min="3" max="3" width="44.140625" style="6" customWidth="1"/>
    <col min="4" max="4" width="10.42578125" style="6" customWidth="1"/>
    <col min="5" max="30" width="7.7109375" style="5" customWidth="1"/>
    <col min="31" max="31" width="9.28515625" style="5" customWidth="1"/>
    <col min="32" max="61" width="7.7109375" style="5" customWidth="1"/>
    <col min="62" max="16384" width="11.42578125" style="5"/>
  </cols>
  <sheetData>
    <row r="1" spans="2:147" ht="16.5" customHeight="1">
      <c r="E1" s="5">
        <f t="shared" ref="E1:F1" si="0">COUNTA(E3:E171)</f>
        <v>103</v>
      </c>
      <c r="F1" s="5">
        <f t="shared" si="0"/>
        <v>105</v>
      </c>
    </row>
    <row r="2" spans="2:147" ht="16.5" customHeight="1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</row>
    <row r="3" spans="2:147" ht="16.5" customHeight="1">
      <c r="B3" s="10" t="s">
        <v>49</v>
      </c>
      <c r="C3" s="11" t="s">
        <v>6</v>
      </c>
      <c r="D3" s="12" t="str">
        <f t="shared" ref="D3:D25" si="1">IF(COUNTBLANK((G3:BI3))=54,"Check",IF(COUNTBLANK(E3:BI3)=57,"Falta pedir","Ok"))</f>
        <v>Ok</v>
      </c>
      <c r="E3" s="13" t="s">
        <v>47</v>
      </c>
      <c r="F3" s="13" t="s">
        <v>48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</row>
    <row r="4" spans="2:147" ht="16.5" customHeight="1">
      <c r="B4" s="10" t="s">
        <v>301</v>
      </c>
      <c r="C4" s="12" t="s">
        <v>6</v>
      </c>
      <c r="D4" s="12" t="str">
        <f t="shared" si="1"/>
        <v>Ok</v>
      </c>
      <c r="E4" s="13" t="s">
        <v>47</v>
      </c>
      <c r="F4" s="13" t="s">
        <v>48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</row>
    <row r="5" spans="2:147" ht="16.5" customHeight="1">
      <c r="B5" s="18" t="s">
        <v>302</v>
      </c>
      <c r="C5" s="11" t="s">
        <v>6</v>
      </c>
      <c r="D5" s="12" t="str">
        <f t="shared" si="1"/>
        <v>Ok</v>
      </c>
      <c r="E5" s="13" t="s">
        <v>47</v>
      </c>
      <c r="F5" s="13" t="s">
        <v>48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</row>
    <row r="6" spans="2:147" ht="16.5" customHeight="1">
      <c r="B6" s="18" t="s">
        <v>303</v>
      </c>
      <c r="C6" s="11" t="s">
        <v>6</v>
      </c>
      <c r="D6" s="12" t="str">
        <f t="shared" si="1"/>
        <v>Ok</v>
      </c>
      <c r="E6" s="13" t="s">
        <v>47</v>
      </c>
      <c r="F6" s="13" t="s">
        <v>48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</row>
    <row r="7" spans="2:147" ht="16.5" customHeight="1">
      <c r="B7" s="10" t="s">
        <v>304</v>
      </c>
      <c r="C7" s="12" t="s">
        <v>6</v>
      </c>
      <c r="D7" s="12" t="str">
        <f t="shared" si="1"/>
        <v>Ok</v>
      </c>
      <c r="E7" s="13" t="s">
        <v>47</v>
      </c>
      <c r="F7" s="13" t="s">
        <v>48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</row>
    <row r="8" spans="2:147" ht="16.5" customHeight="1">
      <c r="B8" s="10" t="s">
        <v>56</v>
      </c>
      <c r="C8" s="12" t="s">
        <v>6</v>
      </c>
      <c r="D8" s="12" t="str">
        <f t="shared" si="1"/>
        <v>Ok</v>
      </c>
      <c r="E8" s="13" t="s">
        <v>47</v>
      </c>
      <c r="F8" s="13" t="s">
        <v>48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</row>
    <row r="9" spans="2:147" ht="16.5" customHeight="1">
      <c r="B9" s="10" t="s">
        <v>305</v>
      </c>
      <c r="C9" s="12" t="s">
        <v>6</v>
      </c>
      <c r="D9" s="12" t="str">
        <f t="shared" si="1"/>
        <v>Ok</v>
      </c>
      <c r="E9" s="13" t="s">
        <v>47</v>
      </c>
      <c r="F9" s="13" t="s">
        <v>48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</row>
    <row r="10" spans="2:147" ht="16.5" customHeight="1">
      <c r="B10" s="18" t="s">
        <v>306</v>
      </c>
      <c r="C10" s="11" t="s">
        <v>6</v>
      </c>
      <c r="D10" s="12" t="str">
        <f t="shared" si="1"/>
        <v>Ok</v>
      </c>
      <c r="E10" s="13" t="s">
        <v>47</v>
      </c>
      <c r="F10" s="13" t="s">
        <v>83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</row>
    <row r="11" spans="2:147" ht="16.5" customHeight="1">
      <c r="B11" s="18" t="s">
        <v>307</v>
      </c>
      <c r="C11" s="11" t="s">
        <v>6</v>
      </c>
      <c r="D11" s="12" t="str">
        <f t="shared" si="1"/>
        <v>Ok</v>
      </c>
      <c r="E11" s="13" t="s">
        <v>47</v>
      </c>
      <c r="F11" s="13" t="s">
        <v>83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</row>
    <row r="12" spans="2:147" ht="16.5" customHeight="1">
      <c r="B12" s="10" t="s">
        <v>308</v>
      </c>
      <c r="C12" s="12" t="s">
        <v>6</v>
      </c>
      <c r="D12" s="12" t="str">
        <f t="shared" si="1"/>
        <v>Ok</v>
      </c>
      <c r="E12" s="13" t="s">
        <v>47</v>
      </c>
      <c r="F12" s="13" t="s">
        <v>83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</row>
    <row r="13" spans="2:147" ht="16.5" customHeight="1">
      <c r="B13" s="10" t="s">
        <v>82</v>
      </c>
      <c r="C13" s="11" t="s">
        <v>6</v>
      </c>
      <c r="D13" s="12" t="str">
        <f t="shared" si="1"/>
        <v>Ok</v>
      </c>
      <c r="E13" s="13" t="s">
        <v>47</v>
      </c>
      <c r="F13" s="13" t="s">
        <v>83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</row>
    <row r="14" spans="2:147" ht="16.5" customHeight="1">
      <c r="B14" s="10" t="s">
        <v>309</v>
      </c>
      <c r="C14" s="12" t="s">
        <v>6</v>
      </c>
      <c r="D14" s="12" t="str">
        <f t="shared" si="1"/>
        <v>Ok</v>
      </c>
      <c r="E14" s="13" t="s">
        <v>47</v>
      </c>
      <c r="F14" s="13" t="s">
        <v>114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</row>
    <row r="15" spans="2:147" ht="16.5" customHeight="1">
      <c r="B15" s="10" t="s">
        <v>310</v>
      </c>
      <c r="C15" s="12" t="s">
        <v>6</v>
      </c>
      <c r="D15" s="12" t="str">
        <f t="shared" si="1"/>
        <v>Ok</v>
      </c>
      <c r="E15" s="13" t="s">
        <v>47</v>
      </c>
      <c r="F15" s="13" t="s">
        <v>114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</row>
    <row r="16" spans="2:147" ht="16.5" customHeight="1">
      <c r="B16" s="10" t="s">
        <v>113</v>
      </c>
      <c r="C16" s="12" t="s">
        <v>6</v>
      </c>
      <c r="D16" s="12" t="str">
        <f t="shared" si="1"/>
        <v>Ok</v>
      </c>
      <c r="E16" s="13" t="s">
        <v>47</v>
      </c>
      <c r="F16" s="13" t="s">
        <v>114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</row>
    <row r="17" spans="2:147" ht="16.5" customHeight="1">
      <c r="B17" s="18" t="s">
        <v>116</v>
      </c>
      <c r="C17" s="11" t="s">
        <v>6</v>
      </c>
      <c r="D17" s="12" t="str">
        <f t="shared" si="1"/>
        <v>Ok</v>
      </c>
      <c r="E17" s="13" t="s">
        <v>47</v>
      </c>
      <c r="F17" s="13" t="s">
        <v>114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</row>
    <row r="18" spans="2:147" ht="16.5" customHeight="1">
      <c r="B18" s="18" t="s">
        <v>311</v>
      </c>
      <c r="C18" s="11" t="s">
        <v>6</v>
      </c>
      <c r="D18" s="12" t="str">
        <f t="shared" si="1"/>
        <v>Ok</v>
      </c>
      <c r="E18" s="13" t="s">
        <v>47</v>
      </c>
      <c r="F18" s="13" t="s">
        <v>114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</row>
    <row r="19" spans="2:147" ht="16.5" customHeight="1">
      <c r="B19" s="96" t="s">
        <v>128</v>
      </c>
      <c r="C19" s="97" t="s">
        <v>129</v>
      </c>
      <c r="D19" s="97" t="str">
        <f t="shared" si="1"/>
        <v>Ok</v>
      </c>
      <c r="E19" s="144" t="s">
        <v>47</v>
      </c>
      <c r="F19" s="144" t="s">
        <v>114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</row>
    <row r="20" spans="2:147" ht="16.5" customHeight="1">
      <c r="B20" s="10" t="s">
        <v>312</v>
      </c>
      <c r="C20" s="12" t="s">
        <v>6</v>
      </c>
      <c r="D20" s="12" t="str">
        <f t="shared" si="1"/>
        <v>Ok</v>
      </c>
      <c r="E20" s="13" t="s">
        <v>47</v>
      </c>
      <c r="F20" s="13" t="s">
        <v>146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</row>
    <row r="21" spans="2:147" ht="16.5" customHeight="1">
      <c r="B21" s="10" t="s">
        <v>313</v>
      </c>
      <c r="C21" s="12" t="s">
        <v>6</v>
      </c>
      <c r="D21" s="12" t="str">
        <f t="shared" si="1"/>
        <v>Ok</v>
      </c>
      <c r="E21" s="13" t="s">
        <v>47</v>
      </c>
      <c r="F21" s="13" t="s">
        <v>146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</row>
    <row r="22" spans="2:147">
      <c r="B22" s="10" t="s">
        <v>166</v>
      </c>
      <c r="C22" s="12" t="s">
        <v>6</v>
      </c>
      <c r="D22" s="12" t="str">
        <f t="shared" si="1"/>
        <v>Ok</v>
      </c>
      <c r="E22" s="13" t="s">
        <v>47</v>
      </c>
      <c r="F22" s="13" t="s">
        <v>167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</row>
    <row r="23" spans="2:147">
      <c r="B23" s="10" t="s">
        <v>314</v>
      </c>
      <c r="C23" s="12" t="s">
        <v>6</v>
      </c>
      <c r="D23" s="12" t="str">
        <f t="shared" si="1"/>
        <v>Ok</v>
      </c>
      <c r="E23" s="13" t="s">
        <v>47</v>
      </c>
      <c r="F23" s="13" t="s">
        <v>167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</row>
    <row r="24" spans="2:147">
      <c r="B24" s="10" t="s">
        <v>315</v>
      </c>
      <c r="C24" s="12" t="s">
        <v>6</v>
      </c>
      <c r="D24" s="12" t="str">
        <f t="shared" si="1"/>
        <v>Ok</v>
      </c>
      <c r="E24" s="13" t="s">
        <v>47</v>
      </c>
      <c r="F24" s="13" t="s">
        <v>167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</row>
    <row r="25" spans="2:147">
      <c r="B25" s="10" t="s">
        <v>316</v>
      </c>
      <c r="C25" s="12" t="s">
        <v>6</v>
      </c>
      <c r="D25" s="12" t="str">
        <f t="shared" si="1"/>
        <v>Ok</v>
      </c>
      <c r="E25" s="13" t="s">
        <v>47</v>
      </c>
      <c r="F25" s="13" t="s">
        <v>167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</row>
    <row r="26" spans="2:147">
      <c r="B26" s="10" t="s">
        <v>5</v>
      </c>
      <c r="C26" s="12" t="s">
        <v>6</v>
      </c>
      <c r="D26" s="12" t="str">
        <f>IF(COUNTBLANK((G26:BI26))=54,"Check",IF(COUNTBLANK(E26:BI26)=57,"Falta pedir","Ok"))</f>
        <v>Ok</v>
      </c>
      <c r="E26" s="13" t="s">
        <v>7</v>
      </c>
      <c r="F26" s="13" t="s">
        <v>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</row>
    <row r="27" spans="2:147">
      <c r="B27" s="18" t="s">
        <v>9</v>
      </c>
      <c r="C27" s="11" t="s">
        <v>6</v>
      </c>
      <c r="D27" s="12" t="str">
        <f>IF(COUNTBLANK((G27:BI27))=54,"Check",IF(COUNTBLANK(E27:BI27)=57,"Falta pedir","Ok"))</f>
        <v>Ok</v>
      </c>
      <c r="E27" s="13" t="s">
        <v>7</v>
      </c>
      <c r="F27" s="13" t="s">
        <v>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</row>
    <row r="28" spans="2:147">
      <c r="B28" s="10" t="s">
        <v>10</v>
      </c>
      <c r="C28" s="11" t="s">
        <v>11</v>
      </c>
      <c r="D28" s="12" t="str">
        <f>IF(COUNTBLANK((G28:BI28))=54,"Check",IF(COUNTBLANK(E28:BI28)=57,"Falta pedir","Ok"))</f>
        <v>Ok</v>
      </c>
      <c r="E28" s="13" t="s">
        <v>7</v>
      </c>
      <c r="F28" s="13" t="s">
        <v>8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</row>
    <row r="29" spans="2:147">
      <c r="B29" s="147" t="s">
        <v>14</v>
      </c>
      <c r="C29" s="11" t="s">
        <v>11</v>
      </c>
      <c r="D29" s="11"/>
      <c r="E29" s="14" t="s">
        <v>7</v>
      </c>
      <c r="F29" s="14" t="s">
        <v>8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</row>
    <row r="30" spans="2:147">
      <c r="B30" s="10" t="s">
        <v>12</v>
      </c>
      <c r="C30" s="11" t="s">
        <v>11</v>
      </c>
      <c r="D30" s="11"/>
      <c r="E30" s="14" t="s">
        <v>7</v>
      </c>
      <c r="F30" s="14" t="s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</row>
    <row r="31" spans="2:147">
      <c r="B31" s="10" t="s">
        <v>317</v>
      </c>
      <c r="C31" s="12" t="s">
        <v>6</v>
      </c>
      <c r="D31" s="12" t="str">
        <f t="shared" ref="D31:D62" si="2">IF(COUNTBLANK((G31:BI31))=54,"Check",IF(COUNTBLANK(E31:BI31)=57,"Falta pedir","Ok"))</f>
        <v>Ok</v>
      </c>
      <c r="E31" s="13" t="s">
        <v>7</v>
      </c>
      <c r="F31" s="13" t="s">
        <v>48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</row>
    <row r="32" spans="2:147">
      <c r="B32" s="10" t="s">
        <v>318</v>
      </c>
      <c r="C32" s="12" t="s">
        <v>6</v>
      </c>
      <c r="D32" s="12" t="str">
        <f t="shared" si="2"/>
        <v>Ok</v>
      </c>
      <c r="E32" s="13" t="s">
        <v>7</v>
      </c>
      <c r="F32" s="13" t="s">
        <v>48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</row>
    <row r="33" spans="2:147">
      <c r="B33" s="10" t="s">
        <v>319</v>
      </c>
      <c r="C33" s="12" t="s">
        <v>6</v>
      </c>
      <c r="D33" s="12" t="str">
        <f t="shared" si="2"/>
        <v>Ok</v>
      </c>
      <c r="E33" s="23" t="s">
        <v>7</v>
      </c>
      <c r="F33" s="23" t="s">
        <v>48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</row>
    <row r="34" spans="2:147">
      <c r="B34" s="10" t="s">
        <v>72</v>
      </c>
      <c r="C34" s="12" t="s">
        <v>6</v>
      </c>
      <c r="D34" s="12" t="str">
        <f t="shared" si="2"/>
        <v>Ok</v>
      </c>
      <c r="E34" s="13" t="s">
        <v>7</v>
      </c>
      <c r="F34" s="13" t="s">
        <v>48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</row>
    <row r="35" spans="2:147">
      <c r="B35" s="20" t="s">
        <v>320</v>
      </c>
      <c r="C35" s="21" t="s">
        <v>6</v>
      </c>
      <c r="D35" s="12" t="str">
        <f t="shared" si="2"/>
        <v>Ok</v>
      </c>
      <c r="E35" s="23" t="s">
        <v>7</v>
      </c>
      <c r="F35" s="23" t="s">
        <v>48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</row>
    <row r="36" spans="2:147">
      <c r="B36" s="10" t="s">
        <v>321</v>
      </c>
      <c r="C36" s="25" t="s">
        <v>6</v>
      </c>
      <c r="D36" s="12" t="str">
        <f t="shared" si="2"/>
        <v>Ok</v>
      </c>
      <c r="E36" s="14" t="s">
        <v>7</v>
      </c>
      <c r="F36" s="14" t="s">
        <v>48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</row>
    <row r="37" spans="2:147">
      <c r="B37" s="18" t="s">
        <v>322</v>
      </c>
      <c r="C37" s="11" t="s">
        <v>59</v>
      </c>
      <c r="D37" s="12" t="str">
        <f t="shared" si="2"/>
        <v>Ok</v>
      </c>
      <c r="E37" s="13" t="s">
        <v>7</v>
      </c>
      <c r="F37" s="13" t="s">
        <v>48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</row>
    <row r="38" spans="2:147">
      <c r="B38" s="18" t="s">
        <v>323</v>
      </c>
      <c r="C38" s="11" t="s">
        <v>59</v>
      </c>
      <c r="D38" s="12" t="str">
        <f t="shared" si="2"/>
        <v>Ok</v>
      </c>
      <c r="E38" s="13" t="s">
        <v>7</v>
      </c>
      <c r="F38" s="13" t="s">
        <v>48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</row>
    <row r="39" spans="2:147">
      <c r="B39" s="10" t="s">
        <v>324</v>
      </c>
      <c r="C39" s="11" t="s">
        <v>59</v>
      </c>
      <c r="D39" s="12" t="str">
        <f t="shared" si="2"/>
        <v>Ok</v>
      </c>
      <c r="E39" s="13" t="s">
        <v>7</v>
      </c>
      <c r="F39" s="13" t="s">
        <v>48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</row>
    <row r="40" spans="2:147">
      <c r="B40" s="18" t="s">
        <v>325</v>
      </c>
      <c r="C40" s="11" t="s">
        <v>6</v>
      </c>
      <c r="D40" s="12" t="str">
        <f t="shared" si="2"/>
        <v>Ok</v>
      </c>
      <c r="E40" s="13" t="s">
        <v>7</v>
      </c>
      <c r="F40" s="13" t="s">
        <v>83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</row>
    <row r="41" spans="2:147">
      <c r="B41" s="20" t="s">
        <v>326</v>
      </c>
      <c r="C41" s="21" t="s">
        <v>6</v>
      </c>
      <c r="D41" s="12" t="str">
        <f t="shared" si="2"/>
        <v>Ok</v>
      </c>
      <c r="E41" s="13" t="s">
        <v>7</v>
      </c>
      <c r="F41" s="13" t="s">
        <v>83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</row>
    <row r="42" spans="2:147">
      <c r="B42" s="20" t="s">
        <v>327</v>
      </c>
      <c r="C42" s="21" t="s">
        <v>6</v>
      </c>
      <c r="D42" s="12" t="str">
        <f t="shared" si="2"/>
        <v>Ok</v>
      </c>
      <c r="E42" s="13" t="s">
        <v>7</v>
      </c>
      <c r="F42" s="13" t="s">
        <v>83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</row>
    <row r="43" spans="2:147">
      <c r="B43" s="18" t="s">
        <v>328</v>
      </c>
      <c r="C43" s="11" t="s">
        <v>6</v>
      </c>
      <c r="D43" s="12" t="str">
        <f t="shared" si="2"/>
        <v>Ok</v>
      </c>
      <c r="E43" s="13" t="s">
        <v>7</v>
      </c>
      <c r="F43" s="13" t="s">
        <v>83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</row>
    <row r="44" spans="2:147">
      <c r="B44" s="18" t="s">
        <v>101</v>
      </c>
      <c r="C44" s="11" t="s">
        <v>6</v>
      </c>
      <c r="D44" s="12" t="str">
        <f t="shared" si="2"/>
        <v>Ok</v>
      </c>
      <c r="E44" s="13" t="s">
        <v>7</v>
      </c>
      <c r="F44" s="13" t="s">
        <v>83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</row>
    <row r="45" spans="2:147">
      <c r="B45" s="18" t="s">
        <v>329</v>
      </c>
      <c r="C45" s="11" t="s">
        <v>6</v>
      </c>
      <c r="D45" s="12" t="str">
        <f t="shared" si="2"/>
        <v>Ok</v>
      </c>
      <c r="E45" s="13" t="s">
        <v>7</v>
      </c>
      <c r="F45" s="13" t="s">
        <v>83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</row>
    <row r="46" spans="2:147">
      <c r="B46" s="18" t="s">
        <v>330</v>
      </c>
      <c r="C46" s="11" t="s">
        <v>6</v>
      </c>
      <c r="D46" s="12" t="str">
        <f t="shared" si="2"/>
        <v>Ok</v>
      </c>
      <c r="E46" s="13" t="s">
        <v>7</v>
      </c>
      <c r="F46" s="13" t="s">
        <v>83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</row>
    <row r="47" spans="2:147">
      <c r="B47" s="20" t="s">
        <v>331</v>
      </c>
      <c r="C47" s="21" t="s">
        <v>59</v>
      </c>
      <c r="D47" s="12" t="str">
        <f t="shared" si="2"/>
        <v>Ok</v>
      </c>
      <c r="E47" s="13" t="s">
        <v>7</v>
      </c>
      <c r="F47" s="13" t="s">
        <v>83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</row>
    <row r="48" spans="2:147">
      <c r="B48" s="20" t="s">
        <v>332</v>
      </c>
      <c r="C48" s="21" t="s">
        <v>59</v>
      </c>
      <c r="D48" s="12" t="str">
        <f t="shared" si="2"/>
        <v>Ok</v>
      </c>
      <c r="E48" s="13" t="s">
        <v>7</v>
      </c>
      <c r="F48" s="13" t="s">
        <v>83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</row>
    <row r="49" spans="2:147">
      <c r="B49" s="18" t="s">
        <v>333</v>
      </c>
      <c r="C49" s="11" t="s">
        <v>6</v>
      </c>
      <c r="D49" s="12" t="str">
        <f t="shared" si="2"/>
        <v>Ok</v>
      </c>
      <c r="E49" s="13" t="s">
        <v>7</v>
      </c>
      <c r="F49" s="13" t="s">
        <v>114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</row>
    <row r="50" spans="2:147">
      <c r="B50" s="18" t="s">
        <v>132</v>
      </c>
      <c r="C50" s="11" t="s">
        <v>6</v>
      </c>
      <c r="D50" s="12" t="str">
        <f t="shared" si="2"/>
        <v>Ok</v>
      </c>
      <c r="E50" s="13" t="s">
        <v>7</v>
      </c>
      <c r="F50" s="13" t="s">
        <v>114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</row>
    <row r="51" spans="2:147">
      <c r="B51" s="18" t="s">
        <v>334</v>
      </c>
      <c r="C51" s="11" t="s">
        <v>6</v>
      </c>
      <c r="D51" s="12" t="str">
        <f t="shared" si="2"/>
        <v>Ok</v>
      </c>
      <c r="E51" s="13" t="s">
        <v>7</v>
      </c>
      <c r="F51" s="13" t="s">
        <v>114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</row>
    <row r="52" spans="2:147">
      <c r="B52" s="18" t="s">
        <v>335</v>
      </c>
      <c r="C52" s="11" t="s">
        <v>6</v>
      </c>
      <c r="D52" s="12" t="str">
        <f t="shared" si="2"/>
        <v>Ok</v>
      </c>
      <c r="E52" s="13" t="s">
        <v>7</v>
      </c>
      <c r="F52" s="13" t="s">
        <v>114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</row>
    <row r="53" spans="2:147">
      <c r="B53" s="10" t="s">
        <v>336</v>
      </c>
      <c r="C53" s="12" t="s">
        <v>6</v>
      </c>
      <c r="D53" s="12" t="str">
        <f t="shared" si="2"/>
        <v>Ok</v>
      </c>
      <c r="E53" s="13" t="s">
        <v>7</v>
      </c>
      <c r="F53" s="13" t="s">
        <v>114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</row>
    <row r="54" spans="2:147">
      <c r="B54" s="10" t="s">
        <v>337</v>
      </c>
      <c r="C54" s="12" t="s">
        <v>6</v>
      </c>
      <c r="D54" s="12" t="str">
        <f t="shared" si="2"/>
        <v>Ok</v>
      </c>
      <c r="E54" s="13" t="s">
        <v>7</v>
      </c>
      <c r="F54" s="13" t="s">
        <v>114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</row>
    <row r="55" spans="2:147">
      <c r="B55" s="10" t="s">
        <v>338</v>
      </c>
      <c r="C55" s="12" t="s">
        <v>11</v>
      </c>
      <c r="D55" s="12" t="str">
        <f t="shared" si="2"/>
        <v>Ok</v>
      </c>
      <c r="E55" s="13" t="s">
        <v>7</v>
      </c>
      <c r="F55" s="13" t="s">
        <v>114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</row>
    <row r="56" spans="2:147">
      <c r="B56" s="10" t="s">
        <v>339</v>
      </c>
      <c r="C56" s="11" t="s">
        <v>59</v>
      </c>
      <c r="D56" s="12" t="str">
        <f t="shared" si="2"/>
        <v>Ok</v>
      </c>
      <c r="E56" s="13" t="s">
        <v>7</v>
      </c>
      <c r="F56" s="13" t="s">
        <v>114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</row>
    <row r="57" spans="2:147">
      <c r="B57" s="10" t="s">
        <v>210</v>
      </c>
      <c r="C57" s="26" t="s">
        <v>211</v>
      </c>
      <c r="D57" s="12" t="str">
        <f t="shared" si="2"/>
        <v>Falta pedir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</row>
    <row r="58" spans="2:147">
      <c r="B58" s="10" t="s">
        <v>214</v>
      </c>
      <c r="C58" s="26" t="s">
        <v>211</v>
      </c>
      <c r="D58" s="12" t="str">
        <f t="shared" si="2"/>
        <v>Falta pedir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</row>
    <row r="59" spans="2:147">
      <c r="B59" s="10" t="s">
        <v>215</v>
      </c>
      <c r="C59" s="26" t="s">
        <v>211</v>
      </c>
      <c r="D59" s="12" t="str">
        <f t="shared" si="2"/>
        <v>Falta pedir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</row>
    <row r="60" spans="2:147">
      <c r="B60" s="10" t="s">
        <v>216</v>
      </c>
      <c r="C60" s="26" t="s">
        <v>211</v>
      </c>
      <c r="D60" s="12" t="str">
        <f t="shared" si="2"/>
        <v>Falta pedir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</row>
    <row r="61" spans="2:147">
      <c r="B61" s="10" t="s">
        <v>217</v>
      </c>
      <c r="C61" s="26" t="s">
        <v>211</v>
      </c>
      <c r="D61" s="12" t="str">
        <f t="shared" si="2"/>
        <v>Falta pedir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</row>
    <row r="62" spans="2:147">
      <c r="B62" s="10" t="s">
        <v>218</v>
      </c>
      <c r="C62" s="26" t="s">
        <v>211</v>
      </c>
      <c r="D62" s="12" t="str">
        <f t="shared" si="2"/>
        <v>Falta pedir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</row>
    <row r="63" spans="2:147">
      <c r="B63" s="10" t="s">
        <v>219</v>
      </c>
      <c r="C63" s="26" t="s">
        <v>211</v>
      </c>
      <c r="D63" s="12" t="str">
        <f t="shared" ref="D63:D94" si="3">IF(COUNTBLANK((G63:BI63))=54,"Check",IF(COUNTBLANK(E63:BI63)=57,"Falta pedir","Ok"))</f>
        <v>Falta pedir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</row>
    <row r="64" spans="2:147">
      <c r="B64" s="10" t="s">
        <v>220</v>
      </c>
      <c r="C64" s="26" t="s">
        <v>211</v>
      </c>
      <c r="D64" s="12" t="str">
        <f t="shared" si="3"/>
        <v>Falta pedir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</row>
    <row r="65" spans="2:147">
      <c r="B65" s="10" t="s">
        <v>221</v>
      </c>
      <c r="C65" s="26" t="s">
        <v>211</v>
      </c>
      <c r="D65" s="12" t="str">
        <f t="shared" si="3"/>
        <v>Falta pedir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</row>
    <row r="66" spans="2:147">
      <c r="B66" s="10" t="s">
        <v>222</v>
      </c>
      <c r="C66" s="26" t="s">
        <v>211</v>
      </c>
      <c r="D66" s="12" t="str">
        <f t="shared" si="3"/>
        <v>Falta pedir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</row>
    <row r="67" spans="2:147">
      <c r="B67" s="10" t="s">
        <v>223</v>
      </c>
      <c r="C67" s="26" t="s">
        <v>211</v>
      </c>
      <c r="D67" s="12" t="str">
        <f t="shared" si="3"/>
        <v>Falta pedir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</row>
    <row r="68" spans="2:147">
      <c r="B68" s="10" t="s">
        <v>224</v>
      </c>
      <c r="C68" s="26" t="s">
        <v>211</v>
      </c>
      <c r="D68" s="12" t="str">
        <f t="shared" si="3"/>
        <v>Falta pedir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</row>
    <row r="69" spans="2:147">
      <c r="B69" s="10" t="s">
        <v>225</v>
      </c>
      <c r="C69" s="26" t="s">
        <v>211</v>
      </c>
      <c r="D69" s="12" t="str">
        <f t="shared" si="3"/>
        <v>Falta pedir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</row>
    <row r="70" spans="2:147">
      <c r="B70" s="10" t="s">
        <v>226</v>
      </c>
      <c r="C70" s="26" t="s">
        <v>211</v>
      </c>
      <c r="D70" s="12" t="str">
        <f t="shared" si="3"/>
        <v>Falta pedir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</row>
    <row r="71" spans="2:147">
      <c r="B71" s="10" t="s">
        <v>227</v>
      </c>
      <c r="C71" s="26" t="s">
        <v>211</v>
      </c>
      <c r="D71" s="12" t="str">
        <f t="shared" si="3"/>
        <v>Falta pedir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</row>
    <row r="72" spans="2:147">
      <c r="B72" s="10" t="s">
        <v>228</v>
      </c>
      <c r="C72" s="26" t="s">
        <v>211</v>
      </c>
      <c r="D72" s="12" t="str">
        <f t="shared" si="3"/>
        <v>Falta pedir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</row>
    <row r="73" spans="2:147">
      <c r="B73" s="10" t="s">
        <v>229</v>
      </c>
      <c r="C73" s="26" t="s">
        <v>211</v>
      </c>
      <c r="D73" s="12" t="str">
        <f t="shared" si="3"/>
        <v>Falta pedir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</row>
    <row r="74" spans="2:147">
      <c r="B74" s="10" t="s">
        <v>230</v>
      </c>
      <c r="C74" s="26" t="s">
        <v>211</v>
      </c>
      <c r="D74" s="12" t="str">
        <f t="shared" si="3"/>
        <v>Falta pedir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</row>
    <row r="75" spans="2:147">
      <c r="B75" s="10" t="s">
        <v>231</v>
      </c>
      <c r="C75" s="26" t="s">
        <v>211</v>
      </c>
      <c r="D75" s="12" t="str">
        <f t="shared" si="3"/>
        <v>Falta pedir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</row>
    <row r="76" spans="2:147">
      <c r="B76" s="10" t="s">
        <v>232</v>
      </c>
      <c r="C76" s="26" t="s">
        <v>211</v>
      </c>
      <c r="D76" s="12" t="str">
        <f t="shared" si="3"/>
        <v>Falta pedir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</row>
    <row r="77" spans="2:147">
      <c r="B77" s="10" t="s">
        <v>233</v>
      </c>
      <c r="C77" s="26" t="s">
        <v>211</v>
      </c>
      <c r="D77" s="12" t="str">
        <f t="shared" si="3"/>
        <v>Falta pedir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</row>
    <row r="78" spans="2:147">
      <c r="B78" s="10" t="s">
        <v>234</v>
      </c>
      <c r="C78" s="26" t="s">
        <v>211</v>
      </c>
      <c r="D78" s="12" t="str">
        <f t="shared" si="3"/>
        <v>Falta pedir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</row>
    <row r="79" spans="2:147">
      <c r="B79" s="10" t="s">
        <v>235</v>
      </c>
      <c r="C79" s="26" t="s">
        <v>211</v>
      </c>
      <c r="D79" s="12" t="str">
        <f t="shared" si="3"/>
        <v>Falta pedir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</row>
    <row r="80" spans="2:147">
      <c r="B80" s="10" t="s">
        <v>236</v>
      </c>
      <c r="C80" s="26" t="s">
        <v>211</v>
      </c>
      <c r="D80" s="12" t="str">
        <f t="shared" si="3"/>
        <v>Falta pedir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</row>
    <row r="81" spans="2:147">
      <c r="B81" s="10" t="s">
        <v>237</v>
      </c>
      <c r="C81" s="26" t="s">
        <v>211</v>
      </c>
      <c r="D81" s="12" t="str">
        <f t="shared" si="3"/>
        <v>Falta pedir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</row>
    <row r="82" spans="2:147">
      <c r="B82" s="10" t="s">
        <v>238</v>
      </c>
      <c r="C82" s="26" t="s">
        <v>211</v>
      </c>
      <c r="D82" s="12" t="str">
        <f t="shared" si="3"/>
        <v>Falta pedir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</row>
    <row r="83" spans="2:147">
      <c r="B83" s="10" t="s">
        <v>239</v>
      </c>
      <c r="C83" s="26" t="s">
        <v>211</v>
      </c>
      <c r="D83" s="12" t="str">
        <f t="shared" si="3"/>
        <v>Falta pedir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</row>
    <row r="84" spans="2:147">
      <c r="B84" s="10" t="s">
        <v>240</v>
      </c>
      <c r="C84" s="26" t="s">
        <v>211</v>
      </c>
      <c r="D84" s="12" t="str">
        <f t="shared" si="3"/>
        <v>Falta pedir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</row>
    <row r="85" spans="2:147">
      <c r="B85" s="10" t="s">
        <v>340</v>
      </c>
      <c r="C85" s="26" t="s">
        <v>201</v>
      </c>
      <c r="D85" s="12" t="str">
        <f t="shared" si="3"/>
        <v>Ok</v>
      </c>
      <c r="E85" s="13" t="s">
        <v>47</v>
      </c>
      <c r="F85" s="13" t="s">
        <v>202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</row>
    <row r="86" spans="2:147">
      <c r="B86" s="18" t="s">
        <v>341</v>
      </c>
      <c r="C86" s="26" t="s">
        <v>201</v>
      </c>
      <c r="D86" s="12" t="str">
        <f t="shared" si="3"/>
        <v>Ok</v>
      </c>
      <c r="E86" s="13" t="s">
        <v>47</v>
      </c>
      <c r="F86" s="13" t="s">
        <v>202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</row>
    <row r="87" spans="2:147">
      <c r="B87" s="18" t="s">
        <v>342</v>
      </c>
      <c r="C87" s="26" t="s">
        <v>201</v>
      </c>
      <c r="D87" s="12" t="str">
        <f t="shared" si="3"/>
        <v>Ok</v>
      </c>
      <c r="E87" s="13" t="s">
        <v>47</v>
      </c>
      <c r="F87" s="13" t="s">
        <v>202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</row>
    <row r="88" spans="2:147">
      <c r="B88" s="18" t="s">
        <v>343</v>
      </c>
      <c r="C88" s="26" t="s">
        <v>201</v>
      </c>
      <c r="D88" s="12" t="str">
        <f t="shared" si="3"/>
        <v>Ok</v>
      </c>
      <c r="E88" s="13" t="s">
        <v>47</v>
      </c>
      <c r="F88" s="13" t="s">
        <v>202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</row>
    <row r="89" spans="2:147">
      <c r="B89" s="10" t="s">
        <v>142</v>
      </c>
      <c r="C89" s="12" t="s">
        <v>59</v>
      </c>
      <c r="D89" s="12" t="str">
        <f t="shared" si="3"/>
        <v>Ok</v>
      </c>
      <c r="E89" s="13" t="s">
        <v>7</v>
      </c>
      <c r="F89" s="13" t="s">
        <v>114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</row>
    <row r="90" spans="2:147">
      <c r="B90" s="18" t="s">
        <v>344</v>
      </c>
      <c r="C90" s="11" t="s">
        <v>59</v>
      </c>
      <c r="D90" s="12" t="str">
        <f t="shared" si="3"/>
        <v>Ok</v>
      </c>
      <c r="E90" s="13" t="s">
        <v>7</v>
      </c>
      <c r="F90" s="13" t="s">
        <v>114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</row>
    <row r="91" spans="2:147">
      <c r="B91" s="28" t="s">
        <v>144</v>
      </c>
      <c r="C91" s="29" t="s">
        <v>67</v>
      </c>
      <c r="D91" s="12" t="str">
        <f t="shared" si="3"/>
        <v>Ok</v>
      </c>
      <c r="E91" s="14" t="s">
        <v>7</v>
      </c>
      <c r="F91" s="14" t="s">
        <v>114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</row>
    <row r="92" spans="2:147">
      <c r="B92" s="18" t="s">
        <v>345</v>
      </c>
      <c r="C92" s="11" t="s">
        <v>6</v>
      </c>
      <c r="D92" s="12" t="str">
        <f t="shared" si="3"/>
        <v>Ok</v>
      </c>
      <c r="E92" s="13" t="s">
        <v>7</v>
      </c>
      <c r="F92" s="13" t="s">
        <v>146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</row>
    <row r="93" spans="2:147">
      <c r="B93" s="18" t="s">
        <v>346</v>
      </c>
      <c r="C93" s="11" t="s">
        <v>59</v>
      </c>
      <c r="D93" s="12" t="str">
        <f t="shared" si="3"/>
        <v>Ok</v>
      </c>
      <c r="E93" s="13" t="s">
        <v>47</v>
      </c>
      <c r="F93" s="13" t="s">
        <v>48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</row>
    <row r="94" spans="2:147">
      <c r="B94" s="18" t="s">
        <v>347</v>
      </c>
      <c r="C94" s="11" t="s">
        <v>59</v>
      </c>
      <c r="D94" s="12" t="str">
        <f t="shared" si="3"/>
        <v>Ok</v>
      </c>
      <c r="E94" s="13" t="s">
        <v>47</v>
      </c>
      <c r="F94" s="13" t="s">
        <v>48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</row>
    <row r="95" spans="2:147">
      <c r="B95" s="18" t="s">
        <v>348</v>
      </c>
      <c r="C95" s="11" t="s">
        <v>59</v>
      </c>
      <c r="D95" s="12" t="str">
        <f t="shared" ref="D95:D126" si="4">IF(COUNTBLANK((G95:BI95))=54,"Check",IF(COUNTBLANK(E95:BI95)=57,"Falta pedir","Ok"))</f>
        <v>Ok</v>
      </c>
      <c r="E95" s="13" t="s">
        <v>47</v>
      </c>
      <c r="F95" s="13" t="s">
        <v>48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</row>
    <row r="96" spans="2:147">
      <c r="B96" s="10" t="s">
        <v>349</v>
      </c>
      <c r="C96" s="12" t="s">
        <v>59</v>
      </c>
      <c r="D96" s="12" t="str">
        <f t="shared" si="4"/>
        <v>Ok</v>
      </c>
      <c r="E96" s="13" t="s">
        <v>47</v>
      </c>
      <c r="F96" s="13" t="s">
        <v>48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</row>
    <row r="97" spans="2:147">
      <c r="B97" s="10" t="s">
        <v>350</v>
      </c>
      <c r="C97" s="12" t="s">
        <v>59</v>
      </c>
      <c r="D97" s="12" t="str">
        <f t="shared" si="4"/>
        <v>Ok</v>
      </c>
      <c r="E97" s="13" t="s">
        <v>47</v>
      </c>
      <c r="F97" s="13" t="s">
        <v>48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</row>
    <row r="98" spans="2:147">
      <c r="B98" s="20" t="s">
        <v>351</v>
      </c>
      <c r="C98" s="21" t="s">
        <v>59</v>
      </c>
      <c r="D98" s="12" t="str">
        <f t="shared" si="4"/>
        <v>Ok</v>
      </c>
      <c r="E98" s="13" t="s">
        <v>47</v>
      </c>
      <c r="F98" s="13" t="s">
        <v>83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</row>
    <row r="99" spans="2:147">
      <c r="B99" s="20" t="s">
        <v>352</v>
      </c>
      <c r="C99" s="21" t="s">
        <v>59</v>
      </c>
      <c r="D99" s="12" t="str">
        <f t="shared" si="4"/>
        <v>Ok</v>
      </c>
      <c r="E99" s="13" t="s">
        <v>47</v>
      </c>
      <c r="F99" s="13" t="s">
        <v>83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</row>
    <row r="100" spans="2:147">
      <c r="B100" s="18" t="s">
        <v>353</v>
      </c>
      <c r="C100" s="11" t="s">
        <v>59</v>
      </c>
      <c r="D100" s="12" t="str">
        <f t="shared" si="4"/>
        <v>Ok</v>
      </c>
      <c r="E100" s="13" t="s">
        <v>47</v>
      </c>
      <c r="F100" s="13" t="s">
        <v>83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</row>
    <row r="101" spans="2:147">
      <c r="B101" s="20" t="s">
        <v>354</v>
      </c>
      <c r="C101" s="21" t="s">
        <v>59</v>
      </c>
      <c r="D101" s="12" t="str">
        <f t="shared" si="4"/>
        <v>Ok</v>
      </c>
      <c r="E101" s="13" t="s">
        <v>47</v>
      </c>
      <c r="F101" s="13" t="s">
        <v>83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</row>
    <row r="102" spans="2:147">
      <c r="B102" s="20" t="s">
        <v>355</v>
      </c>
      <c r="C102" s="21" t="s">
        <v>59</v>
      </c>
      <c r="D102" s="12" t="str">
        <f t="shared" si="4"/>
        <v>Ok</v>
      </c>
      <c r="E102" s="13" t="s">
        <v>47</v>
      </c>
      <c r="F102" s="23" t="s">
        <v>114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</row>
    <row r="103" spans="2:147">
      <c r="B103" s="20" t="s">
        <v>356</v>
      </c>
      <c r="C103" s="21" t="s">
        <v>59</v>
      </c>
      <c r="D103" s="12" t="str">
        <f t="shared" si="4"/>
        <v>Ok</v>
      </c>
      <c r="E103" s="13" t="s">
        <v>47</v>
      </c>
      <c r="F103" s="23" t="s">
        <v>114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</row>
    <row r="104" spans="2:147">
      <c r="B104" s="18" t="s">
        <v>357</v>
      </c>
      <c r="C104" s="11" t="s">
        <v>59</v>
      </c>
      <c r="D104" s="12" t="str">
        <f t="shared" si="4"/>
        <v>Ok</v>
      </c>
      <c r="E104" s="13" t="s">
        <v>47</v>
      </c>
      <c r="F104" s="23" t="s">
        <v>114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</row>
    <row r="105" spans="2:147">
      <c r="B105" s="10" t="s">
        <v>358</v>
      </c>
      <c r="C105" s="12" t="s">
        <v>59</v>
      </c>
      <c r="D105" s="12" t="str">
        <f t="shared" si="4"/>
        <v>Ok</v>
      </c>
      <c r="E105" s="13" t="s">
        <v>47</v>
      </c>
      <c r="F105" s="13" t="s">
        <v>146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</row>
    <row r="106" spans="2:147">
      <c r="B106" s="18" t="s">
        <v>359</v>
      </c>
      <c r="C106" s="11" t="s">
        <v>59</v>
      </c>
      <c r="D106" s="12" t="str">
        <f t="shared" si="4"/>
        <v>Ok</v>
      </c>
      <c r="E106" s="13" t="s">
        <v>47</v>
      </c>
      <c r="F106" s="13" t="s">
        <v>146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</row>
    <row r="107" spans="2:147">
      <c r="B107" s="18" t="s">
        <v>360</v>
      </c>
      <c r="C107" s="11" t="s">
        <v>59</v>
      </c>
      <c r="D107" s="12" t="str">
        <f t="shared" si="4"/>
        <v>Ok</v>
      </c>
      <c r="E107" s="13" t="s">
        <v>47</v>
      </c>
      <c r="F107" s="13" t="s">
        <v>146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</row>
    <row r="108" spans="2:147">
      <c r="B108" s="10" t="s">
        <v>361</v>
      </c>
      <c r="C108" s="12" t="s">
        <v>59</v>
      </c>
      <c r="D108" s="12" t="str">
        <f t="shared" si="4"/>
        <v>Ok</v>
      </c>
      <c r="E108" s="13" t="s">
        <v>47</v>
      </c>
      <c r="F108" s="23" t="s">
        <v>167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</row>
    <row r="109" spans="2:147">
      <c r="B109" s="20" t="s">
        <v>362</v>
      </c>
      <c r="C109" s="21" t="s">
        <v>59</v>
      </c>
      <c r="D109" s="12" t="str">
        <f t="shared" si="4"/>
        <v>Ok</v>
      </c>
      <c r="E109" s="13" t="s">
        <v>47</v>
      </c>
      <c r="F109" s="23" t="s">
        <v>167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</row>
    <row r="110" spans="2:147">
      <c r="B110" s="20" t="s">
        <v>363</v>
      </c>
      <c r="C110" s="21" t="s">
        <v>59</v>
      </c>
      <c r="D110" s="12" t="str">
        <f t="shared" si="4"/>
        <v>Ok</v>
      </c>
      <c r="E110" s="13" t="s">
        <v>47</v>
      </c>
      <c r="F110" s="23" t="s">
        <v>167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</row>
    <row r="111" spans="2:147">
      <c r="B111" s="18" t="s">
        <v>157</v>
      </c>
      <c r="C111" s="11" t="s">
        <v>6</v>
      </c>
      <c r="D111" s="12" t="str">
        <f t="shared" si="4"/>
        <v>Ok</v>
      </c>
      <c r="E111" s="13" t="s">
        <v>7</v>
      </c>
      <c r="F111" s="13" t="s">
        <v>146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</row>
    <row r="112" spans="2:147">
      <c r="B112" s="18" t="s">
        <v>364</v>
      </c>
      <c r="C112" s="11" t="s">
        <v>6</v>
      </c>
      <c r="D112" s="12" t="str">
        <f t="shared" si="4"/>
        <v>Ok</v>
      </c>
      <c r="E112" s="13" t="s">
        <v>7</v>
      </c>
      <c r="F112" s="13" t="s">
        <v>146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</row>
    <row r="113" spans="2:147">
      <c r="B113" s="10" t="s">
        <v>365</v>
      </c>
      <c r="C113" s="12" t="s">
        <v>6</v>
      </c>
      <c r="D113" s="12" t="str">
        <f t="shared" si="4"/>
        <v>Ok</v>
      </c>
      <c r="E113" s="13" t="s">
        <v>7</v>
      </c>
      <c r="F113" s="13" t="s">
        <v>146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</row>
    <row r="114" spans="2:147">
      <c r="B114" s="20" t="s">
        <v>366</v>
      </c>
      <c r="C114" s="21" t="s">
        <v>59</v>
      </c>
      <c r="D114" s="12" t="str">
        <f t="shared" si="4"/>
        <v>Ok</v>
      </c>
      <c r="E114" s="13" t="s">
        <v>7</v>
      </c>
      <c r="F114" s="23" t="s">
        <v>146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</row>
    <row r="115" spans="2:147">
      <c r="B115" s="10" t="s">
        <v>367</v>
      </c>
      <c r="C115" s="11" t="s">
        <v>59</v>
      </c>
      <c r="D115" s="12" t="str">
        <f t="shared" si="4"/>
        <v>Ok</v>
      </c>
      <c r="E115" s="13" t="s">
        <v>7</v>
      </c>
      <c r="F115" s="23" t="s">
        <v>146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</row>
    <row r="116" spans="2:147">
      <c r="B116" s="18" t="s">
        <v>368</v>
      </c>
      <c r="C116" s="11" t="s">
        <v>59</v>
      </c>
      <c r="D116" s="12" t="str">
        <f t="shared" si="4"/>
        <v>Ok</v>
      </c>
      <c r="E116" s="13" t="s">
        <v>7</v>
      </c>
      <c r="F116" s="23" t="s">
        <v>146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</row>
    <row r="117" spans="2:147">
      <c r="B117" s="10" t="s">
        <v>180</v>
      </c>
      <c r="C117" s="12" t="s">
        <v>6</v>
      </c>
      <c r="D117" s="12" t="str">
        <f t="shared" si="4"/>
        <v>Ok</v>
      </c>
      <c r="E117" s="22" t="s">
        <v>7</v>
      </c>
      <c r="F117" s="22" t="s">
        <v>167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</row>
    <row r="118" spans="2:147">
      <c r="B118" s="10" t="s">
        <v>369</v>
      </c>
      <c r="C118" s="12" t="s">
        <v>6</v>
      </c>
      <c r="D118" s="12" t="str">
        <f t="shared" si="4"/>
        <v>Ok</v>
      </c>
      <c r="E118" s="13" t="s">
        <v>7</v>
      </c>
      <c r="F118" s="13" t="s">
        <v>167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</row>
    <row r="119" spans="2:147">
      <c r="B119" s="10" t="s">
        <v>182</v>
      </c>
      <c r="C119" s="12" t="s">
        <v>6</v>
      </c>
      <c r="D119" s="12" t="str">
        <f t="shared" si="4"/>
        <v>Ok</v>
      </c>
      <c r="E119" s="13" t="s">
        <v>7</v>
      </c>
      <c r="F119" s="13" t="s">
        <v>167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</row>
    <row r="120" spans="2:147">
      <c r="B120" s="10" t="s">
        <v>370</v>
      </c>
      <c r="C120" s="12" t="s">
        <v>6</v>
      </c>
      <c r="D120" s="12" t="str">
        <f t="shared" si="4"/>
        <v>Ok</v>
      </c>
      <c r="E120" s="13" t="s">
        <v>7</v>
      </c>
      <c r="F120" s="13" t="s">
        <v>167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</row>
    <row r="121" spans="2:147">
      <c r="B121" s="18" t="s">
        <v>371</v>
      </c>
      <c r="C121" s="11" t="s">
        <v>59</v>
      </c>
      <c r="D121" s="12" t="str">
        <f t="shared" si="4"/>
        <v>Ok</v>
      </c>
      <c r="E121" s="13" t="s">
        <v>7</v>
      </c>
      <c r="F121" s="13" t="s">
        <v>167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</row>
    <row r="122" spans="2:147">
      <c r="B122" s="18" t="s">
        <v>372</v>
      </c>
      <c r="C122" s="11" t="s">
        <v>59</v>
      </c>
      <c r="D122" s="12" t="str">
        <f t="shared" si="4"/>
        <v>Ok</v>
      </c>
      <c r="E122" s="13" t="s">
        <v>7</v>
      </c>
      <c r="F122" s="13" t="s">
        <v>167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</row>
    <row r="123" spans="2:147">
      <c r="B123" s="28" t="s">
        <v>190</v>
      </c>
      <c r="C123" s="29" t="s">
        <v>67</v>
      </c>
      <c r="D123" s="12" t="str">
        <f t="shared" si="4"/>
        <v>Ok</v>
      </c>
      <c r="E123" s="14" t="s">
        <v>7</v>
      </c>
      <c r="F123" s="14" t="s">
        <v>167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</row>
    <row r="124" spans="2:147">
      <c r="B124" s="216" t="s">
        <v>373</v>
      </c>
      <c r="C124" s="95" t="s">
        <v>65</v>
      </c>
      <c r="D124" s="12" t="str">
        <f t="shared" si="4"/>
        <v>Ok</v>
      </c>
      <c r="E124" s="13" t="s">
        <v>47</v>
      </c>
      <c r="F124" s="13" t="s">
        <v>48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</row>
    <row r="125" spans="2:147">
      <c r="B125" s="216" t="s">
        <v>374</v>
      </c>
      <c r="C125" s="95" t="s">
        <v>65</v>
      </c>
      <c r="D125" s="217" t="str">
        <f t="shared" si="4"/>
        <v>Ok</v>
      </c>
      <c r="E125" s="218" t="s">
        <v>47</v>
      </c>
      <c r="F125" s="218" t="s">
        <v>83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</row>
    <row r="126" spans="2:147">
      <c r="B126" s="216" t="s">
        <v>127</v>
      </c>
      <c r="C126" s="95" t="s">
        <v>65</v>
      </c>
      <c r="D126" s="217" t="str">
        <f t="shared" si="4"/>
        <v>Ok</v>
      </c>
      <c r="E126" s="218" t="s">
        <v>47</v>
      </c>
      <c r="F126" s="218" t="s">
        <v>114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</row>
    <row r="127" spans="2:147">
      <c r="B127" s="28" t="s">
        <v>154</v>
      </c>
      <c r="C127" s="29" t="s">
        <v>375</v>
      </c>
      <c r="D127" s="141" t="str">
        <f t="shared" ref="D127:D158" si="5">IF(COUNTBLANK((G127:BI127))=54,"Check",IF(COUNTBLANK(E127:BI127)=57,"Falta pedir","Ok"))</f>
        <v>Ok</v>
      </c>
      <c r="E127" s="142" t="s">
        <v>47</v>
      </c>
      <c r="F127" s="142" t="s">
        <v>146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</row>
    <row r="128" spans="2:147">
      <c r="B128" s="10" t="s">
        <v>15</v>
      </c>
      <c r="C128" s="30" t="s">
        <v>16</v>
      </c>
      <c r="D128" s="12" t="str">
        <f t="shared" si="5"/>
        <v>Falta pedir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</row>
    <row r="129" spans="2:147">
      <c r="B129" s="18" t="s">
        <v>19</v>
      </c>
      <c r="C129" s="26" t="s">
        <v>16</v>
      </c>
      <c r="D129" s="12" t="str">
        <f t="shared" si="5"/>
        <v>Falta pedir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</row>
    <row r="130" spans="2:147">
      <c r="B130" s="18" t="s">
        <v>20</v>
      </c>
      <c r="C130" s="26" t="s">
        <v>16</v>
      </c>
      <c r="D130" s="12" t="str">
        <f t="shared" si="5"/>
        <v>Falta pedir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</row>
    <row r="131" spans="2:147">
      <c r="B131" s="18" t="s">
        <v>21</v>
      </c>
      <c r="C131" s="26" t="s">
        <v>16</v>
      </c>
      <c r="D131" s="12" t="str">
        <f t="shared" si="5"/>
        <v>Falta pedir</v>
      </c>
      <c r="E131" s="14"/>
      <c r="F131" s="14"/>
    </row>
    <row r="132" spans="2:147">
      <c r="B132" s="18" t="s">
        <v>22</v>
      </c>
      <c r="C132" s="26" t="s">
        <v>16</v>
      </c>
      <c r="D132" s="12" t="str">
        <f t="shared" si="5"/>
        <v>Falta pedir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</row>
    <row r="133" spans="2:147">
      <c r="B133" s="18" t="s">
        <v>23</v>
      </c>
      <c r="C133" s="31" t="s">
        <v>16</v>
      </c>
      <c r="D133" s="12" t="str">
        <f t="shared" si="5"/>
        <v>Falta pedir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</row>
    <row r="134" spans="2:147">
      <c r="B134" s="18" t="s">
        <v>24</v>
      </c>
      <c r="C134" s="26" t="s">
        <v>16</v>
      </c>
      <c r="D134" s="12" t="str">
        <f t="shared" si="5"/>
        <v>Falta pedir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</row>
    <row r="135" spans="2:147">
      <c r="B135" s="18" t="s">
        <v>25</v>
      </c>
      <c r="C135" s="26" t="s">
        <v>16</v>
      </c>
      <c r="D135" s="12" t="str">
        <f t="shared" si="5"/>
        <v>Falta pedir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</row>
    <row r="136" spans="2:147">
      <c r="B136" s="18" t="s">
        <v>26</v>
      </c>
      <c r="C136" s="26" t="s">
        <v>16</v>
      </c>
      <c r="D136" s="12" t="str">
        <f t="shared" si="5"/>
        <v>Falta pedir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</row>
    <row r="137" spans="2:147">
      <c r="B137" s="18" t="s">
        <v>27</v>
      </c>
      <c r="C137" s="26" t="s">
        <v>16</v>
      </c>
      <c r="D137" s="12" t="str">
        <f t="shared" si="5"/>
        <v>Falta pedir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</row>
    <row r="138" spans="2:147">
      <c r="B138" s="18" t="s">
        <v>28</v>
      </c>
      <c r="C138" s="26" t="s">
        <v>16</v>
      </c>
      <c r="D138" s="12" t="str">
        <f t="shared" si="5"/>
        <v>Falta pedir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</row>
    <row r="139" spans="2:147">
      <c r="B139" s="18" t="s">
        <v>29</v>
      </c>
      <c r="C139" s="26" t="s">
        <v>16</v>
      </c>
      <c r="D139" s="12" t="str">
        <f t="shared" si="5"/>
        <v>Falta pedir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</row>
    <row r="140" spans="2:147">
      <c r="B140" s="18" t="s">
        <v>30</v>
      </c>
      <c r="C140" s="26" t="s">
        <v>16</v>
      </c>
      <c r="D140" s="12" t="str">
        <f t="shared" si="5"/>
        <v>Falta pedir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</row>
    <row r="141" spans="2:147">
      <c r="B141" s="18" t="s">
        <v>31</v>
      </c>
      <c r="C141" s="26" t="s">
        <v>16</v>
      </c>
      <c r="D141" s="12" t="str">
        <f t="shared" si="5"/>
        <v>Falta pedir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</row>
    <row r="142" spans="2:147">
      <c r="B142" s="18" t="s">
        <v>32</v>
      </c>
      <c r="C142" s="26" t="s">
        <v>16</v>
      </c>
      <c r="D142" s="12" t="str">
        <f t="shared" si="5"/>
        <v>Falta pedir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</row>
    <row r="143" spans="2:147">
      <c r="B143" s="18" t="s">
        <v>33</v>
      </c>
      <c r="C143" s="26" t="s">
        <v>16</v>
      </c>
      <c r="D143" s="12" t="str">
        <f t="shared" si="5"/>
        <v>Falta pedir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</row>
    <row r="144" spans="2:147">
      <c r="B144" s="18" t="s">
        <v>34</v>
      </c>
      <c r="C144" s="26" t="s">
        <v>16</v>
      </c>
      <c r="D144" s="12" t="str">
        <f t="shared" si="5"/>
        <v>Falta pedir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</row>
    <row r="145" spans="2:147">
      <c r="B145" s="10" t="s">
        <v>35</v>
      </c>
      <c r="C145" s="32" t="s">
        <v>16</v>
      </c>
      <c r="D145" s="12" t="str">
        <f t="shared" si="5"/>
        <v>Falta pedir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</row>
    <row r="146" spans="2:147">
      <c r="B146" s="18" t="s">
        <v>36</v>
      </c>
      <c r="C146" s="31" t="s">
        <v>16</v>
      </c>
      <c r="D146" s="12" t="str">
        <f t="shared" si="5"/>
        <v>Falta pedir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</row>
    <row r="147" spans="2:147">
      <c r="B147" s="18" t="s">
        <v>37</v>
      </c>
      <c r="C147" s="26" t="s">
        <v>16</v>
      </c>
      <c r="D147" s="12" t="str">
        <f t="shared" si="5"/>
        <v>Falta pedir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</row>
    <row r="148" spans="2:147">
      <c r="B148" s="18" t="s">
        <v>38</v>
      </c>
      <c r="C148" s="26" t="s">
        <v>16</v>
      </c>
      <c r="D148" s="12" t="str">
        <f t="shared" si="5"/>
        <v>Falta pedir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</row>
    <row r="149" spans="2:147">
      <c r="B149" s="18" t="s">
        <v>39</v>
      </c>
      <c r="C149" s="26" t="s">
        <v>16</v>
      </c>
      <c r="D149" s="12" t="str">
        <f t="shared" si="5"/>
        <v>Falta pedir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</row>
    <row r="150" spans="2:147">
      <c r="B150" s="18" t="s">
        <v>40</v>
      </c>
      <c r="C150" s="26" t="s">
        <v>16</v>
      </c>
      <c r="D150" s="12" t="str">
        <f t="shared" si="5"/>
        <v>Falta pedir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</row>
    <row r="151" spans="2:147">
      <c r="B151" s="18" t="s">
        <v>41</v>
      </c>
      <c r="C151" s="26" t="s">
        <v>16</v>
      </c>
      <c r="D151" s="12" t="str">
        <f t="shared" si="5"/>
        <v>Falta pedir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</row>
    <row r="152" spans="2:147">
      <c r="B152" s="18" t="s">
        <v>42</v>
      </c>
      <c r="C152" s="31" t="s">
        <v>16</v>
      </c>
      <c r="D152" s="12" t="str">
        <f t="shared" si="5"/>
        <v>Falta pedir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</row>
    <row r="153" spans="2:147">
      <c r="B153" s="18" t="s">
        <v>43</v>
      </c>
      <c r="C153" s="26" t="s">
        <v>16</v>
      </c>
      <c r="D153" s="12" t="str">
        <f t="shared" si="5"/>
        <v>Falta pedir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</row>
    <row r="154" spans="2:147">
      <c r="B154" s="33" t="s">
        <v>44</v>
      </c>
      <c r="C154" s="34" t="s">
        <v>45</v>
      </c>
      <c r="D154" s="12" t="str">
        <f t="shared" si="5"/>
        <v>Falta pedir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</row>
    <row r="155" spans="2:147">
      <c r="B155" s="18" t="s">
        <v>191</v>
      </c>
      <c r="C155" s="11" t="s">
        <v>192</v>
      </c>
      <c r="D155" s="12" t="str">
        <f t="shared" si="5"/>
        <v>Falta pedir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</row>
    <row r="156" spans="2:147">
      <c r="B156" s="35" t="s">
        <v>194</v>
      </c>
      <c r="C156" s="11" t="s">
        <v>192</v>
      </c>
      <c r="D156" s="12" t="str">
        <f t="shared" si="5"/>
        <v>Falta pedir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</row>
    <row r="157" spans="2:147">
      <c r="B157" s="36" t="s">
        <v>195</v>
      </c>
      <c r="C157" s="11" t="s">
        <v>192</v>
      </c>
      <c r="D157" s="12" t="str">
        <f t="shared" si="5"/>
        <v>Falta pedir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</row>
    <row r="158" spans="2:147">
      <c r="B158" s="18" t="s">
        <v>196</v>
      </c>
      <c r="C158" s="11" t="s">
        <v>192</v>
      </c>
      <c r="D158" s="12" t="str">
        <f t="shared" si="5"/>
        <v>Falta pedir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</row>
    <row r="159" spans="2:147">
      <c r="B159" s="18" t="s">
        <v>197</v>
      </c>
      <c r="C159" s="11" t="s">
        <v>192</v>
      </c>
      <c r="D159" s="12" t="str">
        <f t="shared" ref="D159:D167" si="6">IF(COUNTBLANK((G159:BI159))=54,"Check",IF(COUNTBLANK(E159:BI159)=57,"Falta pedir","Ok"))</f>
        <v>Falta pedir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</row>
    <row r="160" spans="2:147">
      <c r="B160" s="18" t="s">
        <v>198</v>
      </c>
      <c r="C160" s="11" t="s">
        <v>192</v>
      </c>
      <c r="D160" s="12" t="str">
        <f t="shared" si="6"/>
        <v>Falta pedir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</row>
    <row r="161" spans="2:147">
      <c r="B161" s="18" t="s">
        <v>199</v>
      </c>
      <c r="C161" s="11" t="s">
        <v>192</v>
      </c>
      <c r="D161" s="12" t="str">
        <f t="shared" si="6"/>
        <v>Falta pedir</v>
      </c>
      <c r="E161" s="14"/>
      <c r="F161" s="14"/>
    </row>
    <row r="162" spans="2:147">
      <c r="B162" s="28" t="s">
        <v>66</v>
      </c>
      <c r="C162" s="29" t="s">
        <v>67</v>
      </c>
      <c r="D162" s="141" t="str">
        <f t="shared" si="6"/>
        <v>Ok</v>
      </c>
      <c r="E162" s="143" t="s">
        <v>47</v>
      </c>
      <c r="F162" s="143" t="s">
        <v>48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</row>
    <row r="163" spans="2:147">
      <c r="B163" s="28" t="s">
        <v>96</v>
      </c>
      <c r="C163" s="29" t="s">
        <v>67</v>
      </c>
      <c r="D163" s="141" t="str">
        <f t="shared" si="6"/>
        <v>Ok</v>
      </c>
      <c r="E163" s="143" t="s">
        <v>47</v>
      </c>
      <c r="F163" s="143" t="s">
        <v>83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</row>
    <row r="164" spans="2:147">
      <c r="B164" s="28" t="s">
        <v>130</v>
      </c>
      <c r="C164" s="29" t="s">
        <v>67</v>
      </c>
      <c r="D164" s="141" t="str">
        <f t="shared" si="6"/>
        <v>Ok</v>
      </c>
      <c r="E164" s="143" t="s">
        <v>47</v>
      </c>
      <c r="F164" s="143" t="s">
        <v>114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</row>
    <row r="165" spans="2:147">
      <c r="B165" s="18" t="s">
        <v>376</v>
      </c>
      <c r="C165" s="11" t="s">
        <v>6</v>
      </c>
      <c r="D165" s="11" t="str">
        <f t="shared" si="6"/>
        <v>Ok</v>
      </c>
      <c r="E165" s="13" t="s">
        <v>47</v>
      </c>
      <c r="F165" s="13" t="s">
        <v>146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</row>
    <row r="166" spans="2:147">
      <c r="B166" s="18" t="s">
        <v>377</v>
      </c>
      <c r="C166" s="26" t="s">
        <v>201</v>
      </c>
      <c r="D166" s="12" t="str">
        <f t="shared" si="6"/>
        <v>Ok</v>
      </c>
      <c r="E166" s="14" t="s">
        <v>7</v>
      </c>
      <c r="F166" s="14"/>
    </row>
    <row r="167" spans="2:147">
      <c r="B167" s="10" t="s">
        <v>378</v>
      </c>
      <c r="C167" s="26" t="s">
        <v>201</v>
      </c>
      <c r="D167" s="140" t="str">
        <f t="shared" si="6"/>
        <v>Ok</v>
      </c>
      <c r="E167" s="14" t="s">
        <v>7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</row>
    <row r="168" spans="2:147">
      <c r="B168" s="6" t="s">
        <v>379</v>
      </c>
      <c r="C168" s="37" t="s">
        <v>59</v>
      </c>
      <c r="D168" s="137" t="s">
        <v>380</v>
      </c>
      <c r="F168" s="14" t="s">
        <v>48</v>
      </c>
    </row>
    <row r="169" spans="2:147">
      <c r="B169" s="6" t="s">
        <v>381</v>
      </c>
      <c r="C169" s="138" t="s">
        <v>6</v>
      </c>
      <c r="D169" s="137" t="s">
        <v>382</v>
      </c>
      <c r="F169" s="14" t="s">
        <v>48</v>
      </c>
    </row>
    <row r="170" spans="2:147">
      <c r="B170" s="6" t="s">
        <v>383</v>
      </c>
      <c r="C170" s="138" t="s">
        <v>6</v>
      </c>
      <c r="D170" s="116" t="s">
        <v>382</v>
      </c>
      <c r="F170" s="14" t="s">
        <v>48</v>
      </c>
    </row>
    <row r="171" spans="2:147">
      <c r="B171" s="6" t="s">
        <v>384</v>
      </c>
      <c r="C171" s="138" t="s">
        <v>6</v>
      </c>
      <c r="D171" s="137" t="s">
        <v>380</v>
      </c>
      <c r="F171" s="14" t="s">
        <v>48</v>
      </c>
    </row>
    <row r="172" spans="2:147">
      <c r="B172" s="6" t="s">
        <v>385</v>
      </c>
      <c r="C172" s="138" t="s">
        <v>6</v>
      </c>
      <c r="D172" s="116" t="s">
        <v>380</v>
      </c>
      <c r="F172" s="14" t="s">
        <v>48</v>
      </c>
    </row>
    <row r="173" spans="2:147">
      <c r="B173" s="6" t="s">
        <v>386</v>
      </c>
      <c r="C173" s="138" t="s">
        <v>6</v>
      </c>
      <c r="D173" s="137" t="s">
        <v>380</v>
      </c>
      <c r="F173" s="14" t="s">
        <v>48</v>
      </c>
    </row>
    <row r="174" spans="2:147">
      <c r="B174" s="10" t="s">
        <v>368</v>
      </c>
      <c r="E174" s="139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</row>
    <row r="175" spans="2:147">
      <c r="B175" s="6" t="s">
        <v>387</v>
      </c>
      <c r="C175" s="6" t="s">
        <v>6</v>
      </c>
      <c r="D175" s="137" t="s">
        <v>388</v>
      </c>
      <c r="F175" s="14" t="s">
        <v>83</v>
      </c>
    </row>
    <row r="176" spans="2:147">
      <c r="B176" s="6" t="s">
        <v>389</v>
      </c>
      <c r="C176" s="6" t="s">
        <v>6</v>
      </c>
      <c r="D176" s="116" t="s">
        <v>390</v>
      </c>
      <c r="F176" s="14" t="s">
        <v>83</v>
      </c>
    </row>
    <row r="177" spans="2:6">
      <c r="B177" s="6" t="s">
        <v>391</v>
      </c>
      <c r="C177" s="6" t="s">
        <v>6</v>
      </c>
      <c r="D177" s="137" t="s">
        <v>388</v>
      </c>
      <c r="F177" s="14" t="s">
        <v>83</v>
      </c>
    </row>
    <row r="178" spans="2:6">
      <c r="B178" s="6" t="s">
        <v>392</v>
      </c>
      <c r="C178" s="6" t="s">
        <v>6</v>
      </c>
      <c r="D178" s="116" t="s">
        <v>388</v>
      </c>
      <c r="F178" s="14" t="s">
        <v>83</v>
      </c>
    </row>
    <row r="179" spans="2:6">
      <c r="B179" s="6" t="s">
        <v>393</v>
      </c>
      <c r="C179" s="6" t="s">
        <v>6</v>
      </c>
      <c r="D179" s="116" t="s">
        <v>388</v>
      </c>
      <c r="F179" s="14" t="s">
        <v>83</v>
      </c>
    </row>
    <row r="180" spans="2:6">
      <c r="B180" s="6" t="s">
        <v>108</v>
      </c>
      <c r="C180" s="20" t="s">
        <v>59</v>
      </c>
      <c r="D180" s="116" t="s">
        <v>109</v>
      </c>
      <c r="F180" s="14" t="s">
        <v>83</v>
      </c>
    </row>
    <row r="181" spans="2:6">
      <c r="B181" s="6" t="s">
        <v>394</v>
      </c>
      <c r="C181" s="20" t="s">
        <v>59</v>
      </c>
      <c r="D181" s="116" t="s">
        <v>390</v>
      </c>
      <c r="F181" s="14" t="s">
        <v>83</v>
      </c>
    </row>
    <row r="182" spans="2:6">
      <c r="B182" s="6" t="s">
        <v>395</v>
      </c>
      <c r="C182" s="20" t="s">
        <v>59</v>
      </c>
      <c r="D182" s="116" t="s">
        <v>109</v>
      </c>
      <c r="F182" s="14" t="s">
        <v>83</v>
      </c>
    </row>
    <row r="183" spans="2:6">
      <c r="B183" s="116" t="s">
        <v>396</v>
      </c>
      <c r="C183" s="10" t="s">
        <v>11</v>
      </c>
      <c r="D183" s="116" t="s">
        <v>120</v>
      </c>
      <c r="F183" s="14" t="s">
        <v>114</v>
      </c>
    </row>
    <row r="184" spans="2:6">
      <c r="B184" s="116" t="s">
        <v>397</v>
      </c>
      <c r="C184" s="10" t="s">
        <v>11</v>
      </c>
      <c r="D184" s="116" t="s">
        <v>120</v>
      </c>
      <c r="F184" s="14" t="s">
        <v>114</v>
      </c>
    </row>
    <row r="185" spans="2:6">
      <c r="B185" s="116" t="s">
        <v>398</v>
      </c>
      <c r="C185" s="10" t="s">
        <v>11</v>
      </c>
      <c r="D185" s="116" t="s">
        <v>139</v>
      </c>
      <c r="F185" s="14" t="s">
        <v>114</v>
      </c>
    </row>
    <row r="186" spans="2:6">
      <c r="B186" s="116" t="s">
        <v>399</v>
      </c>
      <c r="C186" s="10" t="s">
        <v>11</v>
      </c>
      <c r="D186" s="116" t="s">
        <v>139</v>
      </c>
      <c r="F186" s="14" t="s">
        <v>114</v>
      </c>
    </row>
    <row r="187" spans="2:6">
      <c r="B187" s="116" t="s">
        <v>400</v>
      </c>
      <c r="C187" s="10" t="s">
        <v>11</v>
      </c>
      <c r="D187" s="116" t="s">
        <v>120</v>
      </c>
      <c r="F187" s="14" t="s">
        <v>114</v>
      </c>
    </row>
    <row r="188" spans="2:6">
      <c r="B188" s="116" t="s">
        <v>401</v>
      </c>
      <c r="C188" s="10" t="s">
        <v>11</v>
      </c>
      <c r="D188" s="116" t="s">
        <v>120</v>
      </c>
      <c r="F188" s="14" t="s">
        <v>114</v>
      </c>
    </row>
    <row r="189" spans="2:6">
      <c r="B189" s="6" t="s">
        <v>164</v>
      </c>
      <c r="C189" s="10" t="s">
        <v>59</v>
      </c>
      <c r="D189" s="116" t="s">
        <v>165</v>
      </c>
      <c r="F189" s="13" t="s">
        <v>146</v>
      </c>
    </row>
    <row r="190" spans="2:6">
      <c r="B190" s="6" t="s">
        <v>402</v>
      </c>
      <c r="C190" s="12" t="s">
        <v>6</v>
      </c>
      <c r="D190" s="6" t="s">
        <v>92</v>
      </c>
      <c r="F190" s="13" t="s">
        <v>146</v>
      </c>
    </row>
    <row r="191" spans="2:6">
      <c r="B191" s="6" t="s">
        <v>403</v>
      </c>
      <c r="C191" s="12" t="s">
        <v>6</v>
      </c>
      <c r="D191" s="6" t="s">
        <v>92</v>
      </c>
      <c r="F191" s="13" t="s">
        <v>146</v>
      </c>
    </row>
    <row r="192" spans="2:6">
      <c r="B192" s="6" t="s">
        <v>404</v>
      </c>
      <c r="C192" s="12" t="s">
        <v>6</v>
      </c>
      <c r="D192" s="6" t="s">
        <v>165</v>
      </c>
      <c r="F192" s="13" t="s">
        <v>146</v>
      </c>
    </row>
    <row r="193" spans="2:6">
      <c r="B193" s="6" t="s">
        <v>405</v>
      </c>
      <c r="C193" s="12" t="s">
        <v>6</v>
      </c>
      <c r="D193" s="6" t="s">
        <v>165</v>
      </c>
      <c r="F193" s="13" t="s">
        <v>146</v>
      </c>
    </row>
    <row r="194" spans="2:6">
      <c r="B194" s="6" t="s">
        <v>406</v>
      </c>
      <c r="C194" s="12" t="s">
        <v>6</v>
      </c>
      <c r="D194" s="6" t="s">
        <v>407</v>
      </c>
      <c r="F194" s="14" t="s">
        <v>167</v>
      </c>
    </row>
    <row r="195" spans="2:6">
      <c r="B195" s="6" t="s">
        <v>408</v>
      </c>
      <c r="C195" s="12" t="s">
        <v>6</v>
      </c>
      <c r="D195" s="6" t="s">
        <v>380</v>
      </c>
      <c r="F195" s="14" t="s">
        <v>167</v>
      </c>
    </row>
    <row r="196" spans="2:6">
      <c r="B196" s="6" t="s">
        <v>409</v>
      </c>
      <c r="C196" s="12" t="s">
        <v>6</v>
      </c>
      <c r="D196" s="6" t="s">
        <v>380</v>
      </c>
      <c r="F196" s="14" t="s">
        <v>167</v>
      </c>
    </row>
    <row r="197" spans="2:6">
      <c r="B197" s="6" t="s">
        <v>410</v>
      </c>
      <c r="C197" s="12" t="s">
        <v>6</v>
      </c>
      <c r="D197" s="6" t="s">
        <v>380</v>
      </c>
      <c r="F197" s="14" t="s">
        <v>167</v>
      </c>
    </row>
    <row r="198" spans="2:6">
      <c r="B198" s="6" t="s">
        <v>411</v>
      </c>
      <c r="C198" s="12" t="s">
        <v>6</v>
      </c>
      <c r="D198" s="6" t="s">
        <v>380</v>
      </c>
      <c r="F198" s="14" t="s">
        <v>167</v>
      </c>
    </row>
    <row r="199" spans="2:6">
      <c r="B199" s="6" t="s">
        <v>412</v>
      </c>
      <c r="C199" s="12" t="s">
        <v>6</v>
      </c>
      <c r="D199" s="6" t="s">
        <v>407</v>
      </c>
      <c r="F199" s="14" t="s">
        <v>167</v>
      </c>
    </row>
    <row r="200" spans="2:6">
      <c r="B200" s="6" t="s">
        <v>413</v>
      </c>
      <c r="C200" s="12" t="s">
        <v>6</v>
      </c>
      <c r="D200" s="6" t="s">
        <v>407</v>
      </c>
      <c r="F200" s="14" t="s">
        <v>167</v>
      </c>
    </row>
    <row r="201" spans="2:6">
      <c r="B201" s="6" t="s">
        <v>414</v>
      </c>
      <c r="C201" s="12" t="s">
        <v>6</v>
      </c>
      <c r="D201" s="6" t="s">
        <v>407</v>
      </c>
      <c r="F201" s="14" t="s">
        <v>167</v>
      </c>
    </row>
    <row r="202" spans="2:6">
      <c r="B202" s="6" t="s">
        <v>415</v>
      </c>
      <c r="C202" s="6" t="s">
        <v>59</v>
      </c>
      <c r="D202" s="6" t="s">
        <v>380</v>
      </c>
      <c r="F202" s="14" t="s">
        <v>167</v>
      </c>
    </row>
    <row r="203" spans="2:6">
      <c r="B203" s="10" t="s">
        <v>416</v>
      </c>
      <c r="C203" s="26" t="s">
        <v>201</v>
      </c>
      <c r="D203" s="146" t="str">
        <f>IF(COUNTBLANK((G203:BI203))=54,"Check",IF(COUNTBLANK(E203:BI203)=57,"Falta pedir","Ok"))</f>
        <v>Ok</v>
      </c>
      <c r="E203" s="5" t="s">
        <v>7</v>
      </c>
    </row>
    <row r="204" spans="2:6">
      <c r="B204" s="18" t="s">
        <v>417</v>
      </c>
      <c r="C204" s="26" t="s">
        <v>201</v>
      </c>
      <c r="D204" s="146" t="str">
        <f>IF(COUNTBLANK((G204:BI204))=54,"Check",IF(COUNTBLANK(E204:BI204)=57,"Falta pedir","Ok"))</f>
        <v>Ok</v>
      </c>
      <c r="E204" s="5" t="s">
        <v>7</v>
      </c>
    </row>
    <row r="210" spans="3:4">
      <c r="C210" s="6">
        <v>28</v>
      </c>
      <c r="D210" s="6">
        <f>2/9</f>
        <v>0.22222222222222221</v>
      </c>
    </row>
    <row r="211" spans="3:4">
      <c r="C211" s="6">
        <f>C210*D210</f>
        <v>6.2222222222222214</v>
      </c>
    </row>
    <row r="212" spans="3:4">
      <c r="C212" s="11" t="s">
        <v>59</v>
      </c>
      <c r="D212" s="11" t="str">
        <f>IF(COUNTBLANK((E174:BI174))=54,"Check",IF(COUNTBLANK(E174:BI174)=57,"Falta pedir","Ok"))</f>
        <v>Falta pedir</v>
      </c>
    </row>
  </sheetData>
  <autoFilter ref="A2:BI204" xr:uid="{00000000-0009-0000-0000-000001000000}">
    <sortState xmlns:xlrd2="http://schemas.microsoft.com/office/spreadsheetml/2017/richdata2" ref="A3:BI204">
      <sortCondition ref="F2:F204"/>
    </sortState>
  </autoFilter>
  <conditionalFormatting sqref="A1:EQ3 E4:EQ130 A4:D167 E130:F131 E132:EQ160 E161:F161 E162:EQ165 E166:F166 E167:EQ167 A168:E168 F168:EQ173 D169:E171 C169:C173 A169:B175 E172:E173 E174:EQ174 E175 F175:EQ179 A176:E176 A177:B179 E177:E179 A180:EQ189 D190:E192 A190:C201 F190:EQ201 E193:E195 D196:E201 A202:EQ202 A203:C204 E203:EQ204 A205:B205 E205:BI205 A206:BI1048576">
    <cfRule type="cellIs" dxfId="97" priority="2" operator="equal">
      <formula>"S"</formula>
    </cfRule>
  </conditionalFormatting>
  <printOptions horizontalCentered="1"/>
  <pageMargins left="0.23611111111111099" right="0.23611111111111099" top="0.31527777777777799" bottom="0.39374999999999999" header="0.511811023622047" footer="0.511811023622047"/>
  <pageSetup paperSize="8" fitToWidth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2"/>
  <sheetViews>
    <sheetView zoomScaleNormal="100" workbookViewId="0">
      <selection activeCell="O80" sqref="O80:P80"/>
    </sheetView>
  </sheetViews>
  <sheetFormatPr defaultColWidth="10.5703125" defaultRowHeight="15"/>
  <cols>
    <col min="1" max="1" width="3.28515625" customWidth="1"/>
    <col min="2" max="2" width="44" customWidth="1"/>
    <col min="3" max="3" width="13.42578125" customWidth="1"/>
    <col min="4" max="4" width="9.42578125" customWidth="1"/>
    <col min="5" max="5" width="16.28515625" customWidth="1"/>
    <col min="6" max="6" width="13.7109375" style="115" customWidth="1"/>
    <col min="7" max="7" width="13.7109375" customWidth="1"/>
    <col min="8" max="8" width="12.5703125" customWidth="1"/>
    <col min="9" max="9" width="15.28515625" customWidth="1"/>
    <col min="11" max="11" width="14.140625" customWidth="1"/>
  </cols>
  <sheetData>
    <row r="1" spans="1:11" s="123" customFormat="1">
      <c r="A1" s="121" t="s">
        <v>418</v>
      </c>
      <c r="B1" s="121" t="s">
        <v>419</v>
      </c>
      <c r="C1" s="121" t="s">
        <v>420</v>
      </c>
      <c r="D1" s="121" t="s">
        <v>421</v>
      </c>
      <c r="E1" s="121" t="s">
        <v>422</v>
      </c>
      <c r="F1" s="122" t="s">
        <v>423</v>
      </c>
      <c r="G1" s="121" t="s">
        <v>424</v>
      </c>
      <c r="H1" s="121" t="s">
        <v>425</v>
      </c>
      <c r="I1" s="121" t="s">
        <v>426</v>
      </c>
      <c r="J1" s="123" t="s">
        <v>427</v>
      </c>
    </row>
    <row r="2" spans="1:11">
      <c r="A2" s="38">
        <v>35</v>
      </c>
      <c r="B2" s="39" t="s">
        <v>385</v>
      </c>
      <c r="C2" s="39" t="s">
        <v>428</v>
      </c>
      <c r="D2" s="40" t="s">
        <v>429</v>
      </c>
      <c r="E2" s="39" t="s">
        <v>430</v>
      </c>
      <c r="F2" s="284">
        <v>46084</v>
      </c>
      <c r="G2" s="39" t="s">
        <v>48</v>
      </c>
      <c r="H2" s="39" t="s">
        <v>431</v>
      </c>
      <c r="I2" s="110" t="s">
        <v>432</v>
      </c>
      <c r="J2" s="373" t="s">
        <v>7</v>
      </c>
      <c r="K2" s="126" t="s">
        <v>433</v>
      </c>
    </row>
    <row r="3" spans="1:11">
      <c r="A3" s="38">
        <v>33</v>
      </c>
      <c r="B3" s="39" t="s">
        <v>379</v>
      </c>
      <c r="C3" s="39" t="s">
        <v>434</v>
      </c>
      <c r="D3" s="40" t="s">
        <v>429</v>
      </c>
      <c r="E3" s="39" t="s">
        <v>435</v>
      </c>
      <c r="F3" s="284">
        <v>46048</v>
      </c>
      <c r="G3" s="39" t="s">
        <v>48</v>
      </c>
      <c r="H3" s="39" t="s">
        <v>436</v>
      </c>
      <c r="I3" s="110" t="s">
        <v>432</v>
      </c>
      <c r="J3" s="373" t="s">
        <v>7</v>
      </c>
      <c r="K3" s="125" t="s">
        <v>437</v>
      </c>
    </row>
    <row r="4" spans="1:11">
      <c r="A4" s="38">
        <v>34</v>
      </c>
      <c r="B4" s="39" t="s">
        <v>384</v>
      </c>
      <c r="C4" s="39" t="s">
        <v>428</v>
      </c>
      <c r="D4" s="40" t="s">
        <v>429</v>
      </c>
      <c r="E4" s="39" t="s">
        <v>430</v>
      </c>
      <c r="F4" s="284">
        <v>46081</v>
      </c>
      <c r="G4" s="39" t="s">
        <v>48</v>
      </c>
      <c r="H4" s="39" t="s">
        <v>431</v>
      </c>
      <c r="I4" s="110" t="s">
        <v>432</v>
      </c>
      <c r="J4" s="373" t="s">
        <v>7</v>
      </c>
      <c r="K4" s="124" t="s">
        <v>438</v>
      </c>
    </row>
    <row r="5" spans="1:11">
      <c r="A5" s="38">
        <v>36</v>
      </c>
      <c r="B5" s="39" t="s">
        <v>386</v>
      </c>
      <c r="C5" s="39" t="s">
        <v>428</v>
      </c>
      <c r="D5" s="40" t="s">
        <v>429</v>
      </c>
      <c r="E5" s="39" t="s">
        <v>430</v>
      </c>
      <c r="F5" s="284">
        <v>46084</v>
      </c>
      <c r="G5" s="39" t="s">
        <v>48</v>
      </c>
      <c r="H5" s="39" t="s">
        <v>431</v>
      </c>
      <c r="I5" s="110" t="s">
        <v>432</v>
      </c>
      <c r="J5" s="373" t="s">
        <v>7</v>
      </c>
      <c r="K5" s="127" t="s">
        <v>439</v>
      </c>
    </row>
    <row r="6" spans="1:11">
      <c r="A6" s="38">
        <v>79</v>
      </c>
      <c r="B6" s="44" t="s">
        <v>409</v>
      </c>
      <c r="C6" s="43" t="s">
        <v>428</v>
      </c>
      <c r="D6" s="43" t="s">
        <v>429</v>
      </c>
      <c r="E6" s="44" t="s">
        <v>430</v>
      </c>
      <c r="F6" s="289">
        <v>46062</v>
      </c>
      <c r="G6" s="44" t="s">
        <v>167</v>
      </c>
      <c r="H6" s="44" t="s">
        <v>431</v>
      </c>
      <c r="I6" s="374" t="s">
        <v>440</v>
      </c>
      <c r="J6" s="375" t="s">
        <v>47</v>
      </c>
    </row>
    <row r="7" spans="1:11">
      <c r="A7" s="38">
        <v>86</v>
      </c>
      <c r="B7" s="44" t="s">
        <v>441</v>
      </c>
      <c r="C7" s="44" t="s">
        <v>434</v>
      </c>
      <c r="D7" s="43" t="s">
        <v>429</v>
      </c>
      <c r="E7" s="44" t="s">
        <v>430</v>
      </c>
      <c r="F7" s="289">
        <v>46188</v>
      </c>
      <c r="G7" s="44" t="s">
        <v>167</v>
      </c>
      <c r="H7" s="44" t="s">
        <v>431</v>
      </c>
      <c r="I7" s="374" t="s">
        <v>440</v>
      </c>
      <c r="J7" s="375" t="s">
        <v>47</v>
      </c>
    </row>
    <row r="8" spans="1:11">
      <c r="A8" s="38">
        <v>80</v>
      </c>
      <c r="B8" s="44" t="s">
        <v>410</v>
      </c>
      <c r="C8" s="44" t="s">
        <v>428</v>
      </c>
      <c r="D8" s="43" t="s">
        <v>429</v>
      </c>
      <c r="E8" s="44" t="s">
        <v>430</v>
      </c>
      <c r="F8" s="290">
        <v>46062</v>
      </c>
      <c r="G8" s="44" t="s">
        <v>167</v>
      </c>
      <c r="H8" s="44" t="s">
        <v>431</v>
      </c>
      <c r="I8" s="374" t="s">
        <v>440</v>
      </c>
      <c r="J8" s="375" t="s">
        <v>47</v>
      </c>
    </row>
    <row r="9" spans="1:11">
      <c r="A9" s="38">
        <v>81</v>
      </c>
      <c r="B9" s="44" t="s">
        <v>411</v>
      </c>
      <c r="C9" s="44" t="s">
        <v>428</v>
      </c>
      <c r="D9" s="43" t="s">
        <v>429</v>
      </c>
      <c r="E9" s="44" t="s">
        <v>430</v>
      </c>
      <c r="F9" s="289">
        <v>46084</v>
      </c>
      <c r="G9" s="44" t="s">
        <v>167</v>
      </c>
      <c r="H9" s="44" t="s">
        <v>431</v>
      </c>
      <c r="I9" s="374" t="s">
        <v>440</v>
      </c>
      <c r="J9" s="375" t="s">
        <v>47</v>
      </c>
    </row>
    <row r="10" spans="1:11">
      <c r="A10" s="38">
        <v>78</v>
      </c>
      <c r="B10" s="43" t="s">
        <v>408</v>
      </c>
      <c r="C10" s="43" t="s">
        <v>428</v>
      </c>
      <c r="D10" s="43" t="s">
        <v>429</v>
      </c>
      <c r="E10" s="44" t="s">
        <v>430</v>
      </c>
      <c r="F10" s="289">
        <v>46029</v>
      </c>
      <c r="G10" s="44" t="s">
        <v>167</v>
      </c>
      <c r="H10" s="44" t="s">
        <v>431</v>
      </c>
      <c r="I10" s="374" t="s">
        <v>440</v>
      </c>
      <c r="J10" s="375" t="s">
        <v>47</v>
      </c>
    </row>
    <row r="11" spans="1:11">
      <c r="A11" s="38">
        <v>19</v>
      </c>
      <c r="B11" s="39" t="s">
        <v>12</v>
      </c>
      <c r="C11" s="39" t="s">
        <v>434</v>
      </c>
      <c r="D11" s="40" t="s">
        <v>429</v>
      </c>
      <c r="E11" s="39" t="s">
        <v>430</v>
      </c>
      <c r="F11" s="284">
        <v>46125</v>
      </c>
      <c r="G11" s="39" t="s">
        <v>8</v>
      </c>
      <c r="H11" s="39" t="s">
        <v>431</v>
      </c>
      <c r="I11" s="110" t="s">
        <v>8</v>
      </c>
      <c r="J11" s="373" t="s">
        <v>7</v>
      </c>
    </row>
    <row r="12" spans="1:11">
      <c r="A12" s="38">
        <v>51</v>
      </c>
      <c r="B12" s="44" t="s">
        <v>442</v>
      </c>
      <c r="C12" s="44" t="s">
        <v>428</v>
      </c>
      <c r="D12" s="43" t="s">
        <v>429</v>
      </c>
      <c r="E12" s="44" t="s">
        <v>430</v>
      </c>
      <c r="F12" s="290">
        <v>46167</v>
      </c>
      <c r="G12" s="44" t="s">
        <v>83</v>
      </c>
      <c r="H12" s="44" t="s">
        <v>431</v>
      </c>
      <c r="I12" s="374" t="s">
        <v>443</v>
      </c>
      <c r="J12" s="375" t="s">
        <v>47</v>
      </c>
    </row>
    <row r="13" spans="1:11">
      <c r="A13" s="38">
        <v>50</v>
      </c>
      <c r="B13" s="43" t="s">
        <v>389</v>
      </c>
      <c r="C13" s="43" t="s">
        <v>434</v>
      </c>
      <c r="D13" s="43" t="s">
        <v>429</v>
      </c>
      <c r="E13" s="44" t="s">
        <v>430</v>
      </c>
      <c r="F13" s="289">
        <v>46048</v>
      </c>
      <c r="G13" s="44" t="s">
        <v>83</v>
      </c>
      <c r="H13" s="44" t="s">
        <v>431</v>
      </c>
      <c r="I13" s="374" t="s">
        <v>443</v>
      </c>
      <c r="J13" s="375" t="s">
        <v>47</v>
      </c>
    </row>
    <row r="14" spans="1:11">
      <c r="A14" s="38">
        <v>41</v>
      </c>
      <c r="B14" s="47" t="s">
        <v>394</v>
      </c>
      <c r="C14" s="47" t="s">
        <v>428</v>
      </c>
      <c r="D14" s="48" t="s">
        <v>429</v>
      </c>
      <c r="E14" s="47" t="s">
        <v>435</v>
      </c>
      <c r="F14" s="280">
        <v>46062</v>
      </c>
      <c r="G14" s="47" t="s">
        <v>83</v>
      </c>
      <c r="H14" s="47" t="s">
        <v>431</v>
      </c>
      <c r="I14" s="47" t="s">
        <v>390</v>
      </c>
      <c r="J14" s="370"/>
    </row>
    <row r="15" spans="1:11">
      <c r="A15" s="38">
        <v>42</v>
      </c>
      <c r="B15" s="46" t="s">
        <v>444</v>
      </c>
      <c r="C15" s="47" t="s">
        <v>428</v>
      </c>
      <c r="D15" s="48" t="s">
        <v>429</v>
      </c>
      <c r="E15" s="47" t="s">
        <v>430</v>
      </c>
      <c r="F15" s="281">
        <v>46125</v>
      </c>
      <c r="G15" s="47" t="s">
        <v>83</v>
      </c>
      <c r="H15" s="47" t="s">
        <v>431</v>
      </c>
      <c r="I15" s="47" t="s">
        <v>390</v>
      </c>
      <c r="J15" s="370"/>
    </row>
    <row r="16" spans="1:11">
      <c r="A16" s="38">
        <v>91</v>
      </c>
      <c r="B16" s="111" t="s">
        <v>445</v>
      </c>
      <c r="C16" s="111" t="s">
        <v>434</v>
      </c>
      <c r="D16" s="113" t="s">
        <v>429</v>
      </c>
      <c r="E16" s="111" t="s">
        <v>430</v>
      </c>
      <c r="F16" s="291">
        <v>46188</v>
      </c>
      <c r="G16" s="111" t="s">
        <v>83</v>
      </c>
      <c r="H16" s="111" t="s">
        <v>431</v>
      </c>
      <c r="I16" s="111" t="s">
        <v>443</v>
      </c>
      <c r="J16" s="375" t="s">
        <v>47</v>
      </c>
    </row>
    <row r="17" spans="1:11">
      <c r="A17" s="38">
        <v>90</v>
      </c>
      <c r="B17" s="111" t="s">
        <v>446</v>
      </c>
      <c r="C17" s="111" t="s">
        <v>428</v>
      </c>
      <c r="D17" s="113" t="s">
        <v>429</v>
      </c>
      <c r="E17" s="111" t="s">
        <v>430</v>
      </c>
      <c r="F17" s="291">
        <v>46188</v>
      </c>
      <c r="G17" s="111" t="s">
        <v>83</v>
      </c>
      <c r="H17" s="111" t="s">
        <v>431</v>
      </c>
      <c r="I17" s="111" t="s">
        <v>443</v>
      </c>
      <c r="J17" s="375" t="s">
        <v>47</v>
      </c>
    </row>
    <row r="18" spans="1:11">
      <c r="A18" s="38">
        <v>49</v>
      </c>
      <c r="B18" s="43" t="s">
        <v>447</v>
      </c>
      <c r="C18" s="43" t="s">
        <v>428</v>
      </c>
      <c r="D18" s="43" t="s">
        <v>429</v>
      </c>
      <c r="E18" s="44" t="s">
        <v>430</v>
      </c>
      <c r="F18" s="289">
        <v>46029</v>
      </c>
      <c r="G18" s="44" t="s">
        <v>83</v>
      </c>
      <c r="H18" s="44" t="s">
        <v>431</v>
      </c>
      <c r="I18" s="374" t="s">
        <v>443</v>
      </c>
      <c r="J18" s="375" t="s">
        <v>47</v>
      </c>
    </row>
    <row r="19" spans="1:11">
      <c r="A19" s="38">
        <v>48</v>
      </c>
      <c r="B19" s="43" t="s">
        <v>448</v>
      </c>
      <c r="C19" s="43" t="s">
        <v>434</v>
      </c>
      <c r="D19" s="43" t="s">
        <v>429</v>
      </c>
      <c r="E19" s="44"/>
      <c r="F19" s="289"/>
      <c r="G19" s="44" t="s">
        <v>83</v>
      </c>
      <c r="H19" s="44" t="s">
        <v>431</v>
      </c>
      <c r="I19" s="374" t="s">
        <v>443</v>
      </c>
      <c r="J19" s="375" t="s">
        <v>47</v>
      </c>
    </row>
    <row r="20" spans="1:11">
      <c r="A20" s="38">
        <v>49</v>
      </c>
      <c r="B20" s="43" t="s">
        <v>444</v>
      </c>
      <c r="C20" s="43" t="s">
        <v>428</v>
      </c>
      <c r="D20" s="43" t="s">
        <v>429</v>
      </c>
      <c r="E20" s="44"/>
      <c r="F20" s="289"/>
      <c r="G20" s="44" t="s">
        <v>83</v>
      </c>
      <c r="H20" s="44" t="s">
        <v>431</v>
      </c>
      <c r="I20" s="374" t="s">
        <v>443</v>
      </c>
      <c r="J20" s="375" t="s">
        <v>47</v>
      </c>
      <c r="K20" s="38"/>
    </row>
    <row r="21" spans="1:11">
      <c r="A21" s="38">
        <v>28</v>
      </c>
      <c r="B21" s="129" t="s">
        <v>449</v>
      </c>
      <c r="C21" s="129" t="s">
        <v>428</v>
      </c>
      <c r="D21" s="129" t="s">
        <v>429</v>
      </c>
      <c r="E21" s="130" t="s">
        <v>450</v>
      </c>
      <c r="F21" s="292">
        <v>45985</v>
      </c>
      <c r="G21" s="130" t="s">
        <v>251</v>
      </c>
      <c r="H21" s="130" t="s">
        <v>436</v>
      </c>
      <c r="I21" s="130" t="s">
        <v>451</v>
      </c>
      <c r="J21" s="384" t="s">
        <v>7</v>
      </c>
    </row>
    <row r="22" spans="1:11">
      <c r="A22" s="38">
        <v>29</v>
      </c>
      <c r="B22" s="106" t="s">
        <v>452</v>
      </c>
      <c r="C22" s="106" t="s">
        <v>453</v>
      </c>
      <c r="D22" s="107" t="s">
        <v>429</v>
      </c>
      <c r="E22" s="106" t="s">
        <v>435</v>
      </c>
      <c r="F22" s="293">
        <v>46146</v>
      </c>
      <c r="G22" s="106" t="s">
        <v>251</v>
      </c>
      <c r="H22" s="106" t="s">
        <v>436</v>
      </c>
      <c r="I22" s="130" t="s">
        <v>451</v>
      </c>
      <c r="J22" s="384" t="s">
        <v>7</v>
      </c>
    </row>
    <row r="23" spans="1:11" ht="18.75">
      <c r="A23" s="38">
        <v>84</v>
      </c>
      <c r="B23" s="108" t="s">
        <v>454</v>
      </c>
      <c r="C23" s="99" t="s">
        <v>453</v>
      </c>
      <c r="D23" s="109" t="s">
        <v>429</v>
      </c>
      <c r="E23" s="99" t="s">
        <v>435</v>
      </c>
      <c r="F23" s="286">
        <v>46153</v>
      </c>
      <c r="G23" s="99" t="s">
        <v>167</v>
      </c>
      <c r="H23" s="99" t="s">
        <v>436</v>
      </c>
      <c r="I23" s="99" t="s">
        <v>451</v>
      </c>
      <c r="J23" s="373" t="s">
        <v>7</v>
      </c>
      <c r="K23" s="254"/>
    </row>
    <row r="24" spans="1:11">
      <c r="A24" s="38">
        <v>85</v>
      </c>
      <c r="B24" s="108" t="s">
        <v>455</v>
      </c>
      <c r="C24" s="99" t="s">
        <v>434</v>
      </c>
      <c r="D24" s="109" t="s">
        <v>429</v>
      </c>
      <c r="E24" s="99" t="s">
        <v>435</v>
      </c>
      <c r="F24" s="286">
        <v>46153</v>
      </c>
      <c r="G24" s="99" t="s">
        <v>167</v>
      </c>
      <c r="H24" s="99" t="s">
        <v>436</v>
      </c>
      <c r="I24" s="99" t="s">
        <v>451</v>
      </c>
      <c r="J24" s="373" t="s">
        <v>7</v>
      </c>
    </row>
    <row r="25" spans="1:11">
      <c r="A25" s="38">
        <v>39</v>
      </c>
      <c r="B25" s="39" t="s">
        <v>456</v>
      </c>
      <c r="C25" s="39" t="s">
        <v>434</v>
      </c>
      <c r="D25" s="40" t="s">
        <v>429</v>
      </c>
      <c r="E25" s="39" t="s">
        <v>435</v>
      </c>
      <c r="F25" s="284">
        <v>46167</v>
      </c>
      <c r="G25" s="39" t="s">
        <v>48</v>
      </c>
      <c r="H25" s="39"/>
      <c r="I25" s="110" t="s">
        <v>451</v>
      </c>
      <c r="J25" s="373" t="s">
        <v>7</v>
      </c>
      <c r="K25" s="371" t="s">
        <v>457</v>
      </c>
    </row>
    <row r="26" spans="1:11">
      <c r="A26" s="38">
        <v>31</v>
      </c>
      <c r="B26" s="273" t="s">
        <v>458</v>
      </c>
      <c r="C26" s="274" t="s">
        <v>434</v>
      </c>
      <c r="D26" s="274" t="s">
        <v>429</v>
      </c>
      <c r="E26" s="274" t="s">
        <v>435</v>
      </c>
      <c r="F26" s="275">
        <v>46174</v>
      </c>
      <c r="G26" s="274" t="s">
        <v>251</v>
      </c>
      <c r="H26" s="106" t="s">
        <v>436</v>
      </c>
      <c r="I26" s="276" t="s">
        <v>451</v>
      </c>
      <c r="J26" s="384" t="s">
        <v>7</v>
      </c>
    </row>
    <row r="27" spans="1:11">
      <c r="A27" s="38">
        <v>32</v>
      </c>
      <c r="B27" s="389" t="s">
        <v>459</v>
      </c>
      <c r="C27" s="274" t="s">
        <v>434</v>
      </c>
      <c r="D27" s="274" t="s">
        <v>429</v>
      </c>
      <c r="E27" s="274" t="s">
        <v>435</v>
      </c>
      <c r="F27" s="275">
        <v>46203</v>
      </c>
      <c r="G27" s="274" t="s">
        <v>251</v>
      </c>
      <c r="H27" s="106" t="s">
        <v>436</v>
      </c>
      <c r="I27" s="276" t="s">
        <v>451</v>
      </c>
      <c r="J27" s="384" t="s">
        <v>7</v>
      </c>
    </row>
    <row r="28" spans="1:11">
      <c r="A28" s="38">
        <v>72</v>
      </c>
      <c r="B28" s="44" t="s">
        <v>460</v>
      </c>
      <c r="C28" s="44" t="s">
        <v>434</v>
      </c>
      <c r="D28" s="43" t="s">
        <v>429</v>
      </c>
      <c r="E28" s="44" t="s">
        <v>435</v>
      </c>
      <c r="F28" s="290">
        <v>46167</v>
      </c>
      <c r="G28" s="44" t="s">
        <v>146</v>
      </c>
      <c r="H28" s="44" t="s">
        <v>431</v>
      </c>
      <c r="I28" s="374" t="s">
        <v>461</v>
      </c>
      <c r="J28" s="375" t="s">
        <v>47</v>
      </c>
    </row>
    <row r="29" spans="1:11">
      <c r="A29" s="38">
        <v>73</v>
      </c>
      <c r="B29" s="44" t="s">
        <v>462</v>
      </c>
      <c r="C29" s="44" t="s">
        <v>434</v>
      </c>
      <c r="D29" s="43" t="s">
        <v>429</v>
      </c>
      <c r="E29" s="44" t="s">
        <v>430</v>
      </c>
      <c r="F29" s="290">
        <v>46174</v>
      </c>
      <c r="G29" s="44" t="s">
        <v>146</v>
      </c>
      <c r="H29" s="44" t="s">
        <v>431</v>
      </c>
      <c r="I29" s="374" t="s">
        <v>461</v>
      </c>
      <c r="J29" s="375" t="s">
        <v>47</v>
      </c>
    </row>
    <row r="30" spans="1:11">
      <c r="A30" s="38">
        <v>66</v>
      </c>
      <c r="B30" s="131" t="s">
        <v>402</v>
      </c>
      <c r="C30" s="131" t="s">
        <v>434</v>
      </c>
      <c r="D30" s="132" t="s">
        <v>429</v>
      </c>
      <c r="E30" s="131" t="s">
        <v>430</v>
      </c>
      <c r="F30" s="282">
        <v>46076</v>
      </c>
      <c r="G30" s="131" t="s">
        <v>146</v>
      </c>
      <c r="H30" s="131" t="s">
        <v>431</v>
      </c>
      <c r="I30" s="131" t="s">
        <v>461</v>
      </c>
      <c r="J30" s="370"/>
    </row>
    <row r="31" spans="1:11">
      <c r="A31" s="38">
        <v>65</v>
      </c>
      <c r="B31" s="131" t="s">
        <v>463</v>
      </c>
      <c r="C31" s="131" t="s">
        <v>428</v>
      </c>
      <c r="D31" s="132" t="s">
        <v>429</v>
      </c>
      <c r="E31" s="131" t="s">
        <v>430</v>
      </c>
      <c r="F31" s="282">
        <v>46160</v>
      </c>
      <c r="G31" s="131" t="s">
        <v>146</v>
      </c>
      <c r="H31" s="131" t="s">
        <v>431</v>
      </c>
      <c r="I31" s="131" t="s">
        <v>461</v>
      </c>
      <c r="J31" s="370"/>
    </row>
    <row r="32" spans="1:11">
      <c r="A32" s="38">
        <v>64</v>
      </c>
      <c r="B32" s="131" t="s">
        <v>448</v>
      </c>
      <c r="C32" s="131" t="s">
        <v>434</v>
      </c>
      <c r="D32" s="132" t="s">
        <v>429</v>
      </c>
      <c r="E32" s="131" t="s">
        <v>430</v>
      </c>
      <c r="F32" s="282">
        <v>46153</v>
      </c>
      <c r="G32" s="131" t="s">
        <v>146</v>
      </c>
      <c r="H32" s="131" t="s">
        <v>431</v>
      </c>
      <c r="I32" s="131" t="s">
        <v>461</v>
      </c>
      <c r="J32" s="370"/>
    </row>
    <row r="33" spans="1:11">
      <c r="A33" s="38">
        <v>92</v>
      </c>
      <c r="B33" s="396" t="s">
        <v>464</v>
      </c>
      <c r="C33" s="396" t="s">
        <v>428</v>
      </c>
      <c r="D33" s="397" t="s">
        <v>429</v>
      </c>
      <c r="E33" s="396" t="s">
        <v>430</v>
      </c>
      <c r="F33" s="398">
        <v>46188</v>
      </c>
      <c r="G33" s="396" t="s">
        <v>146</v>
      </c>
      <c r="H33" s="396" t="s">
        <v>431</v>
      </c>
      <c r="I33" s="396" t="s">
        <v>461</v>
      </c>
      <c r="J33" s="399" t="s">
        <v>47</v>
      </c>
    </row>
    <row r="34" spans="1:11">
      <c r="A34" s="38">
        <v>69</v>
      </c>
      <c r="B34" s="111" t="s">
        <v>465</v>
      </c>
      <c r="C34" s="111" t="s">
        <v>453</v>
      </c>
      <c r="D34" s="113" t="s">
        <v>429</v>
      </c>
      <c r="E34" s="111" t="s">
        <v>435</v>
      </c>
      <c r="F34" s="291">
        <v>46146</v>
      </c>
      <c r="G34" s="111" t="s">
        <v>146</v>
      </c>
      <c r="H34" s="111" t="s">
        <v>436</v>
      </c>
      <c r="I34" s="374" t="s">
        <v>461</v>
      </c>
      <c r="J34" s="375" t="s">
        <v>47</v>
      </c>
    </row>
    <row r="35" spans="1:11">
      <c r="A35" s="38">
        <v>68</v>
      </c>
      <c r="B35" s="44" t="s">
        <v>403</v>
      </c>
      <c r="C35" s="44" t="s">
        <v>428</v>
      </c>
      <c r="D35" s="43" t="s">
        <v>429</v>
      </c>
      <c r="E35" s="44" t="s">
        <v>430</v>
      </c>
      <c r="F35" s="289">
        <v>46084</v>
      </c>
      <c r="G35" s="44" t="s">
        <v>146</v>
      </c>
      <c r="H35" s="44" t="s">
        <v>431</v>
      </c>
      <c r="I35" s="374" t="s">
        <v>461</v>
      </c>
      <c r="J35" s="375" t="s">
        <v>47</v>
      </c>
    </row>
    <row r="36" spans="1:11">
      <c r="A36" s="38">
        <v>71</v>
      </c>
      <c r="B36" s="44" t="s">
        <v>466</v>
      </c>
      <c r="C36" s="44" t="s">
        <v>428</v>
      </c>
      <c r="D36" s="43" t="s">
        <v>429</v>
      </c>
      <c r="E36" s="44" t="s">
        <v>430</v>
      </c>
      <c r="F36" s="290">
        <v>46160</v>
      </c>
      <c r="G36" s="44" t="s">
        <v>146</v>
      </c>
      <c r="H36" s="44" t="s">
        <v>431</v>
      </c>
      <c r="I36" s="374" t="s">
        <v>461</v>
      </c>
      <c r="J36" s="375" t="s">
        <v>47</v>
      </c>
    </row>
    <row r="37" spans="1:11">
      <c r="A37" s="38">
        <v>30</v>
      </c>
      <c r="B37" s="105" t="s">
        <v>467</v>
      </c>
      <c r="C37" s="106" t="s">
        <v>453</v>
      </c>
      <c r="D37" s="107" t="s">
        <v>429</v>
      </c>
      <c r="E37" s="106" t="s">
        <v>435</v>
      </c>
      <c r="F37" s="293">
        <v>46146</v>
      </c>
      <c r="G37" s="106" t="s">
        <v>251</v>
      </c>
      <c r="H37" s="106" t="s">
        <v>436</v>
      </c>
      <c r="I37" s="106" t="s">
        <v>468</v>
      </c>
      <c r="J37" s="384" t="s">
        <v>47</v>
      </c>
    </row>
    <row r="38" spans="1:11">
      <c r="A38" s="38">
        <v>93</v>
      </c>
      <c r="B38" s="111" t="s">
        <v>469</v>
      </c>
      <c r="C38" s="111" t="s">
        <v>434</v>
      </c>
      <c r="D38" s="111" t="s">
        <v>429</v>
      </c>
      <c r="E38" s="111" t="s">
        <v>435</v>
      </c>
      <c r="F38" s="382">
        <v>46195</v>
      </c>
      <c r="G38" s="383" t="s">
        <v>48</v>
      </c>
      <c r="H38" s="111" t="s">
        <v>436</v>
      </c>
      <c r="I38" s="383" t="s">
        <v>468</v>
      </c>
      <c r="J38" s="375" t="s">
        <v>47</v>
      </c>
    </row>
    <row r="39" spans="1:11">
      <c r="A39" s="38">
        <v>57</v>
      </c>
      <c r="B39" s="108" t="s">
        <v>470</v>
      </c>
      <c r="C39" s="99" t="s">
        <v>453</v>
      </c>
      <c r="D39" s="109" t="s">
        <v>429</v>
      </c>
      <c r="E39" s="99" t="s">
        <v>435</v>
      </c>
      <c r="F39" s="286">
        <v>46146</v>
      </c>
      <c r="G39" s="99" t="s">
        <v>114</v>
      </c>
      <c r="H39" s="99" t="s">
        <v>436</v>
      </c>
      <c r="I39" s="99" t="s">
        <v>471</v>
      </c>
      <c r="J39" s="373" t="s">
        <v>7</v>
      </c>
    </row>
    <row r="40" spans="1:11">
      <c r="A40" s="38">
        <v>22</v>
      </c>
      <c r="B40" s="117" t="s">
        <v>472</v>
      </c>
      <c r="C40" s="119" t="s">
        <v>428</v>
      </c>
      <c r="D40" s="119" t="s">
        <v>429</v>
      </c>
      <c r="E40" s="117" t="s">
        <v>473</v>
      </c>
      <c r="F40" s="277">
        <v>46055</v>
      </c>
      <c r="G40" s="117" t="s">
        <v>474</v>
      </c>
      <c r="H40" s="117" t="s">
        <v>475</v>
      </c>
      <c r="I40" s="117" t="s">
        <v>18</v>
      </c>
      <c r="J40" s="379"/>
    </row>
    <row r="41" spans="1:11">
      <c r="A41" s="38">
        <v>23</v>
      </c>
      <c r="B41" s="117" t="s">
        <v>476</v>
      </c>
      <c r="C41" s="117" t="s">
        <v>428</v>
      </c>
      <c r="D41" s="119" t="s">
        <v>429</v>
      </c>
      <c r="E41" s="117" t="s">
        <v>473</v>
      </c>
      <c r="F41" s="277">
        <v>46084</v>
      </c>
      <c r="G41" s="117" t="s">
        <v>474</v>
      </c>
      <c r="H41" s="117" t="s">
        <v>477</v>
      </c>
      <c r="I41" s="117" t="s">
        <v>18</v>
      </c>
      <c r="J41" s="379"/>
    </row>
    <row r="42" spans="1:11">
      <c r="A42" s="38">
        <v>24</v>
      </c>
      <c r="B42" s="117" t="s">
        <v>478</v>
      </c>
      <c r="C42" s="117" t="s">
        <v>428</v>
      </c>
      <c r="D42" s="119" t="s">
        <v>429</v>
      </c>
      <c r="E42" s="117" t="s">
        <v>473</v>
      </c>
      <c r="F42" s="277">
        <v>46084</v>
      </c>
      <c r="G42" s="117" t="s">
        <v>474</v>
      </c>
      <c r="H42" s="117" t="s">
        <v>475</v>
      </c>
      <c r="I42" s="117" t="s">
        <v>18</v>
      </c>
      <c r="J42" s="379"/>
    </row>
    <row r="43" spans="1:11">
      <c r="A43" s="38">
        <v>25</v>
      </c>
      <c r="B43" s="117" t="s">
        <v>479</v>
      </c>
      <c r="C43" s="117" t="s">
        <v>434</v>
      </c>
      <c r="D43" s="119" t="s">
        <v>429</v>
      </c>
      <c r="E43" s="117" t="s">
        <v>473</v>
      </c>
      <c r="F43" s="277">
        <v>46119</v>
      </c>
      <c r="G43" s="117" t="s">
        <v>474</v>
      </c>
      <c r="H43" s="117" t="s">
        <v>475</v>
      </c>
      <c r="I43" s="117" t="s">
        <v>18</v>
      </c>
      <c r="J43" s="379"/>
    </row>
    <row r="44" spans="1:11">
      <c r="A44" s="38">
        <v>26</v>
      </c>
      <c r="B44" s="117" t="s">
        <v>480</v>
      </c>
      <c r="C44" s="117" t="s">
        <v>428</v>
      </c>
      <c r="D44" s="119" t="s">
        <v>429</v>
      </c>
      <c r="E44" s="117" t="s">
        <v>473</v>
      </c>
      <c r="F44" s="277">
        <v>46119</v>
      </c>
      <c r="G44" s="117" t="s">
        <v>474</v>
      </c>
      <c r="H44" s="117" t="s">
        <v>475</v>
      </c>
      <c r="I44" s="117" t="s">
        <v>18</v>
      </c>
      <c r="J44" s="379"/>
    </row>
    <row r="45" spans="1:11">
      <c r="A45" s="38">
        <v>27</v>
      </c>
      <c r="B45" s="117" t="s">
        <v>481</v>
      </c>
      <c r="C45" s="117" t="s">
        <v>428</v>
      </c>
      <c r="D45" s="119" t="s">
        <v>429</v>
      </c>
      <c r="E45" s="117" t="s">
        <v>473</v>
      </c>
      <c r="F45" s="277">
        <v>46119</v>
      </c>
      <c r="G45" s="117" t="s">
        <v>474</v>
      </c>
      <c r="H45" s="117" t="s">
        <v>482</v>
      </c>
      <c r="I45" s="117" t="s">
        <v>18</v>
      </c>
      <c r="J45" s="379"/>
    </row>
    <row r="46" spans="1:11">
      <c r="A46" s="38">
        <v>21</v>
      </c>
      <c r="B46" s="131" t="s">
        <v>483</v>
      </c>
      <c r="C46" s="131"/>
      <c r="D46" s="132"/>
      <c r="E46" s="131"/>
      <c r="F46" s="282">
        <v>46132</v>
      </c>
      <c r="G46" s="131" t="s">
        <v>474</v>
      </c>
      <c r="H46" s="131" t="s">
        <v>482</v>
      </c>
      <c r="I46" s="131" t="s">
        <v>18</v>
      </c>
      <c r="J46" s="370"/>
    </row>
    <row r="47" spans="1:11">
      <c r="A47" s="38">
        <v>87</v>
      </c>
      <c r="B47" s="117" t="s">
        <v>484</v>
      </c>
      <c r="C47" s="117" t="s">
        <v>453</v>
      </c>
      <c r="D47" s="119" t="s">
        <v>429</v>
      </c>
      <c r="E47" s="117" t="s">
        <v>430</v>
      </c>
      <c r="F47" s="277">
        <v>46174</v>
      </c>
      <c r="G47" s="117" t="s">
        <v>485</v>
      </c>
      <c r="H47" s="117" t="s">
        <v>475</v>
      </c>
      <c r="I47" s="117" t="s">
        <v>18</v>
      </c>
      <c r="J47" s="379"/>
    </row>
    <row r="48" spans="1:11">
      <c r="A48" s="38">
        <v>89</v>
      </c>
      <c r="B48" s="131" t="s">
        <v>486</v>
      </c>
      <c r="C48" s="131" t="s">
        <v>434</v>
      </c>
      <c r="D48" s="132" t="s">
        <v>429</v>
      </c>
      <c r="E48" s="131" t="s">
        <v>473</v>
      </c>
      <c r="F48" s="283">
        <v>46188</v>
      </c>
      <c r="G48" s="131"/>
      <c r="H48" s="131" t="s">
        <v>475</v>
      </c>
      <c r="I48" s="131" t="s">
        <v>18</v>
      </c>
      <c r="J48" s="372"/>
      <c r="K48" s="116"/>
    </row>
    <row r="49" spans="1:10">
      <c r="A49" s="38">
        <v>94</v>
      </c>
      <c r="B49" s="380" t="s">
        <v>487</v>
      </c>
      <c r="C49" s="380" t="s">
        <v>434</v>
      </c>
      <c r="D49" s="380" t="s">
        <v>429</v>
      </c>
      <c r="E49" s="380" t="s">
        <v>473</v>
      </c>
      <c r="F49" s="381">
        <v>46195</v>
      </c>
      <c r="G49" s="379"/>
      <c r="H49" s="117" t="s">
        <v>475</v>
      </c>
      <c r="I49" s="379" t="s">
        <v>18</v>
      </c>
      <c r="J49" s="380"/>
    </row>
    <row r="50" spans="1:10">
      <c r="A50" s="38">
        <v>26</v>
      </c>
      <c r="B50" s="380" t="s">
        <v>488</v>
      </c>
      <c r="C50" s="380" t="s">
        <v>428</v>
      </c>
      <c r="D50" s="380" t="s">
        <v>429</v>
      </c>
      <c r="E50" s="380"/>
      <c r="F50" s="381"/>
      <c r="G50" s="379" t="s">
        <v>474</v>
      </c>
      <c r="H50" s="117" t="s">
        <v>482</v>
      </c>
      <c r="I50" s="379" t="s">
        <v>489</v>
      </c>
      <c r="J50" s="380"/>
    </row>
    <row r="51" spans="1:10">
      <c r="A51" s="38">
        <v>60</v>
      </c>
      <c r="B51" s="44" t="s">
        <v>400</v>
      </c>
      <c r="C51" s="44" t="s">
        <v>434</v>
      </c>
      <c r="D51" s="43" t="s">
        <v>429</v>
      </c>
      <c r="E51" s="44" t="s">
        <v>430</v>
      </c>
      <c r="F51" s="289">
        <v>46125</v>
      </c>
      <c r="G51" s="44" t="s">
        <v>114</v>
      </c>
      <c r="H51" s="44" t="s">
        <v>431</v>
      </c>
      <c r="I51" s="374" t="s">
        <v>490</v>
      </c>
      <c r="J51" s="375" t="s">
        <v>47</v>
      </c>
    </row>
    <row r="52" spans="1:10">
      <c r="A52" s="38">
        <v>58</v>
      </c>
      <c r="B52" s="44" t="s">
        <v>396</v>
      </c>
      <c r="C52" s="44" t="s">
        <v>428</v>
      </c>
      <c r="D52" s="43" t="s">
        <v>429</v>
      </c>
      <c r="E52" s="44" t="s">
        <v>430</v>
      </c>
      <c r="F52" s="290">
        <v>46076</v>
      </c>
      <c r="G52" s="44" t="s">
        <v>114</v>
      </c>
      <c r="H52" s="44" t="s">
        <v>431</v>
      </c>
      <c r="I52" s="374" t="s">
        <v>490</v>
      </c>
      <c r="J52" s="375" t="s">
        <v>47</v>
      </c>
    </row>
    <row r="53" spans="1:10">
      <c r="A53" s="38">
        <v>61</v>
      </c>
      <c r="B53" s="44" t="s">
        <v>491</v>
      </c>
      <c r="C53" s="44" t="s">
        <v>453</v>
      </c>
      <c r="D53" s="43" t="s">
        <v>429</v>
      </c>
      <c r="E53" s="44" t="s">
        <v>430</v>
      </c>
      <c r="F53" s="289">
        <v>46174</v>
      </c>
      <c r="G53" s="44" t="s">
        <v>114</v>
      </c>
      <c r="H53" s="44" t="s">
        <v>431</v>
      </c>
      <c r="I53" s="374" t="s">
        <v>490</v>
      </c>
      <c r="J53" s="375" t="s">
        <v>47</v>
      </c>
    </row>
    <row r="54" spans="1:10">
      <c r="A54" s="38">
        <v>53</v>
      </c>
      <c r="B54" s="424" t="s">
        <v>401</v>
      </c>
      <c r="C54" s="46" t="s">
        <v>434</v>
      </c>
      <c r="D54" s="45" t="s">
        <v>429</v>
      </c>
      <c r="E54" s="46" t="s">
        <v>430</v>
      </c>
      <c r="F54" s="279">
        <v>46125</v>
      </c>
      <c r="G54" s="46" t="s">
        <v>114</v>
      </c>
      <c r="H54" s="131" t="s">
        <v>431</v>
      </c>
      <c r="I54" s="131" t="s">
        <v>490</v>
      </c>
      <c r="J54" s="399" t="s">
        <v>47</v>
      </c>
    </row>
    <row r="55" spans="1:10" ht="15.75" customHeight="1">
      <c r="A55" s="38">
        <v>54</v>
      </c>
      <c r="B55" s="46" t="s">
        <v>492</v>
      </c>
      <c r="C55" s="46" t="s">
        <v>434</v>
      </c>
      <c r="D55" s="45" t="s">
        <v>429</v>
      </c>
      <c r="E55" s="46" t="s">
        <v>435</v>
      </c>
      <c r="F55" s="279">
        <v>46125</v>
      </c>
      <c r="G55" s="46" t="s">
        <v>114</v>
      </c>
      <c r="H55" s="131" t="s">
        <v>436</v>
      </c>
      <c r="I55" s="131" t="s">
        <v>490</v>
      </c>
      <c r="J55" s="399" t="s">
        <v>47</v>
      </c>
    </row>
    <row r="56" spans="1:10" ht="15.75" customHeight="1">
      <c r="A56" s="38">
        <v>59</v>
      </c>
      <c r="B56" s="44" t="s">
        <v>397</v>
      </c>
      <c r="C56" s="44" t="s">
        <v>428</v>
      </c>
      <c r="D56" s="43" t="s">
        <v>429</v>
      </c>
      <c r="E56" s="44" t="s">
        <v>430</v>
      </c>
      <c r="F56" s="289">
        <v>46076</v>
      </c>
      <c r="G56" s="44" t="s">
        <v>114</v>
      </c>
      <c r="H56" s="44" t="s">
        <v>431</v>
      </c>
      <c r="I56" s="374" t="s">
        <v>490</v>
      </c>
      <c r="J56" s="375" t="s">
        <v>47</v>
      </c>
    </row>
    <row r="57" spans="1:10">
      <c r="A57" s="38">
        <v>61</v>
      </c>
      <c r="B57" s="44" t="s">
        <v>401</v>
      </c>
      <c r="C57" s="44" t="s">
        <v>434</v>
      </c>
      <c r="D57" s="43" t="s">
        <v>429</v>
      </c>
      <c r="E57" s="44"/>
      <c r="F57" s="289"/>
      <c r="G57" s="44" t="s">
        <v>114</v>
      </c>
      <c r="H57" s="44" t="s">
        <v>431</v>
      </c>
      <c r="I57" s="374" t="s">
        <v>490</v>
      </c>
      <c r="J57" s="375" t="s">
        <v>47</v>
      </c>
    </row>
    <row r="58" spans="1:10">
      <c r="A58" s="38"/>
      <c r="B58" s="44" t="s">
        <v>493</v>
      </c>
      <c r="C58" s="44" t="s">
        <v>453</v>
      </c>
      <c r="D58" s="43" t="s">
        <v>429</v>
      </c>
      <c r="E58" s="44" t="s">
        <v>435</v>
      </c>
      <c r="F58" s="289">
        <v>46202</v>
      </c>
      <c r="G58" s="44" t="s">
        <v>114</v>
      </c>
      <c r="H58" s="44"/>
      <c r="I58" s="374" t="s">
        <v>490</v>
      </c>
      <c r="J58" s="375" t="s">
        <v>47</v>
      </c>
    </row>
    <row r="59" spans="1:10">
      <c r="A59" s="38">
        <v>55</v>
      </c>
      <c r="B59" s="39" t="s">
        <v>398</v>
      </c>
      <c r="C59" s="39" t="s">
        <v>428</v>
      </c>
      <c r="D59" s="40" t="s">
        <v>429</v>
      </c>
      <c r="E59" s="39" t="s">
        <v>430</v>
      </c>
      <c r="F59" s="284">
        <v>46084</v>
      </c>
      <c r="G59" s="39" t="s">
        <v>114</v>
      </c>
      <c r="H59" s="39" t="s">
        <v>431</v>
      </c>
      <c r="I59" s="110" t="s">
        <v>494</v>
      </c>
      <c r="J59" s="373" t="s">
        <v>7</v>
      </c>
    </row>
    <row r="60" spans="1:10">
      <c r="A60" s="38">
        <v>56</v>
      </c>
      <c r="B60" s="39" t="s">
        <v>399</v>
      </c>
      <c r="C60" s="39" t="s">
        <v>428</v>
      </c>
      <c r="D60" s="40" t="s">
        <v>429</v>
      </c>
      <c r="E60" s="39" t="s">
        <v>430</v>
      </c>
      <c r="F60" s="284">
        <v>46119</v>
      </c>
      <c r="G60" s="39" t="s">
        <v>114</v>
      </c>
      <c r="H60" s="39" t="s">
        <v>431</v>
      </c>
      <c r="I60" s="110" t="s">
        <v>494</v>
      </c>
      <c r="J60" s="373" t="s">
        <v>7</v>
      </c>
    </row>
    <row r="61" spans="1:10">
      <c r="A61" s="38">
        <v>82</v>
      </c>
      <c r="B61" s="112" t="s">
        <v>495</v>
      </c>
      <c r="C61" s="111" t="s">
        <v>453</v>
      </c>
      <c r="D61" s="113" t="s">
        <v>429</v>
      </c>
      <c r="E61" s="111" t="s">
        <v>435</v>
      </c>
      <c r="F61" s="291">
        <v>46146</v>
      </c>
      <c r="G61" s="111" t="s">
        <v>167</v>
      </c>
      <c r="H61" s="111" t="s">
        <v>436</v>
      </c>
      <c r="I61" s="111" t="s">
        <v>496</v>
      </c>
      <c r="J61" s="375" t="s">
        <v>47</v>
      </c>
    </row>
    <row r="62" spans="1:10">
      <c r="A62" s="38">
        <v>83</v>
      </c>
      <c r="B62" s="111" t="s">
        <v>497</v>
      </c>
      <c r="C62" s="111" t="s">
        <v>453</v>
      </c>
      <c r="D62" s="113" t="s">
        <v>429</v>
      </c>
      <c r="E62" s="111" t="s">
        <v>435</v>
      </c>
      <c r="F62" s="291">
        <v>46146</v>
      </c>
      <c r="G62" s="111" t="s">
        <v>167</v>
      </c>
      <c r="H62" s="111" t="s">
        <v>436</v>
      </c>
      <c r="I62" s="111" t="s">
        <v>496</v>
      </c>
      <c r="J62" s="375" t="s">
        <v>47</v>
      </c>
    </row>
    <row r="63" spans="1:10">
      <c r="A63" s="38">
        <v>40</v>
      </c>
      <c r="B63" s="45" t="s">
        <v>108</v>
      </c>
      <c r="C63" s="45" t="s">
        <v>434</v>
      </c>
      <c r="D63" s="45" t="s">
        <v>429</v>
      </c>
      <c r="E63" s="45" t="s">
        <v>435</v>
      </c>
      <c r="F63" s="279">
        <v>46055</v>
      </c>
      <c r="G63" s="46" t="s">
        <v>83</v>
      </c>
      <c r="H63" s="46" t="s">
        <v>436</v>
      </c>
      <c r="I63" s="46" t="s">
        <v>109</v>
      </c>
      <c r="J63" s="370"/>
    </row>
    <row r="64" spans="1:10">
      <c r="A64" s="38">
        <v>47</v>
      </c>
      <c r="B64" s="39" t="s">
        <v>498</v>
      </c>
      <c r="C64" s="39"/>
      <c r="D64" s="40"/>
      <c r="E64" s="99" t="s">
        <v>435</v>
      </c>
      <c r="F64" s="285">
        <v>46132</v>
      </c>
      <c r="G64" s="39" t="s">
        <v>83</v>
      </c>
      <c r="H64" s="39" t="s">
        <v>436</v>
      </c>
      <c r="I64" s="110" t="s">
        <v>499</v>
      </c>
      <c r="J64" s="373" t="s">
        <v>7</v>
      </c>
    </row>
    <row r="65" spans="1:14">
      <c r="A65" s="38">
        <v>48</v>
      </c>
      <c r="B65" s="99" t="s">
        <v>500</v>
      </c>
      <c r="C65" s="99" t="s">
        <v>453</v>
      </c>
      <c r="D65" s="109" t="s">
        <v>429</v>
      </c>
      <c r="E65" s="99" t="s">
        <v>435</v>
      </c>
      <c r="F65" s="286">
        <v>46146</v>
      </c>
      <c r="G65" s="99" t="s">
        <v>83</v>
      </c>
      <c r="H65" s="99" t="s">
        <v>436</v>
      </c>
      <c r="I65" s="110" t="s">
        <v>499</v>
      </c>
      <c r="J65" s="373" t="s">
        <v>7</v>
      </c>
    </row>
    <row r="66" spans="1:14">
      <c r="A66" s="38">
        <v>62</v>
      </c>
      <c r="B66" s="135" t="s">
        <v>164</v>
      </c>
      <c r="C66" s="135" t="s">
        <v>428</v>
      </c>
      <c r="D66" s="135" t="s">
        <v>429</v>
      </c>
      <c r="E66" s="114" t="s">
        <v>435</v>
      </c>
      <c r="F66" s="278">
        <v>46042</v>
      </c>
      <c r="G66" s="114" t="s">
        <v>146</v>
      </c>
      <c r="H66" s="114" t="s">
        <v>436</v>
      </c>
      <c r="I66" s="114" t="s">
        <v>501</v>
      </c>
      <c r="J66" s="370"/>
    </row>
    <row r="67" spans="1:14">
      <c r="A67" s="38">
        <v>63</v>
      </c>
      <c r="B67" s="46" t="s">
        <v>502</v>
      </c>
      <c r="C67" s="46"/>
      <c r="D67" s="45"/>
      <c r="E67" s="114" t="s">
        <v>430</v>
      </c>
      <c r="F67" s="279">
        <v>46132</v>
      </c>
      <c r="G67" s="46" t="s">
        <v>146</v>
      </c>
      <c r="H67" s="46" t="s">
        <v>431</v>
      </c>
      <c r="I67" s="46" t="s">
        <v>165</v>
      </c>
      <c r="J67" s="370"/>
    </row>
    <row r="68" spans="1:14">
      <c r="A68" s="38">
        <v>70</v>
      </c>
      <c r="B68" s="396" t="s">
        <v>503</v>
      </c>
      <c r="C68" s="400" t="s">
        <v>434</v>
      </c>
      <c r="D68" s="401" t="s">
        <v>429</v>
      </c>
      <c r="E68" s="400" t="s">
        <v>435</v>
      </c>
      <c r="F68" s="402">
        <v>46153</v>
      </c>
      <c r="G68" s="400" t="s">
        <v>146</v>
      </c>
      <c r="H68" s="400" t="s">
        <v>436</v>
      </c>
      <c r="I68" s="400" t="s">
        <v>501</v>
      </c>
      <c r="J68" s="399" t="s">
        <v>7</v>
      </c>
    </row>
    <row r="69" spans="1:14">
      <c r="A69" s="38">
        <v>67</v>
      </c>
      <c r="B69" s="39" t="s">
        <v>504</v>
      </c>
      <c r="C69" s="39"/>
      <c r="D69" s="40"/>
      <c r="E69" s="110" t="s">
        <v>430</v>
      </c>
      <c r="F69" s="285">
        <v>46132</v>
      </c>
      <c r="G69" s="39" t="s">
        <v>146</v>
      </c>
      <c r="H69" s="39" t="s">
        <v>431</v>
      </c>
      <c r="I69" s="110" t="s">
        <v>501</v>
      </c>
      <c r="J69" s="373" t="s">
        <v>7</v>
      </c>
      <c r="N69" t="s">
        <v>505</v>
      </c>
    </row>
    <row r="70" spans="1:14">
      <c r="A70" s="420">
        <v>64</v>
      </c>
      <c r="B70" s="420" t="s">
        <v>506</v>
      </c>
      <c r="C70" s="420" t="s">
        <v>428</v>
      </c>
      <c r="D70" s="420" t="s">
        <v>429</v>
      </c>
      <c r="E70" s="420" t="s">
        <v>430</v>
      </c>
      <c r="F70" s="428"/>
      <c r="G70" s="420" t="s">
        <v>146</v>
      </c>
      <c r="H70" s="420" t="s">
        <v>431</v>
      </c>
      <c r="I70" s="420" t="s">
        <v>165</v>
      </c>
    </row>
    <row r="71" spans="1:14">
      <c r="A71" s="38">
        <v>77</v>
      </c>
      <c r="B71" s="39" t="s">
        <v>414</v>
      </c>
      <c r="C71" s="39" t="s">
        <v>428</v>
      </c>
      <c r="D71" s="40" t="s">
        <v>429</v>
      </c>
      <c r="E71" s="39" t="s">
        <v>430</v>
      </c>
      <c r="F71" s="284">
        <v>46119</v>
      </c>
      <c r="G71" s="39" t="s">
        <v>167</v>
      </c>
      <c r="H71" s="39" t="s">
        <v>431</v>
      </c>
      <c r="I71" s="110" t="s">
        <v>507</v>
      </c>
      <c r="J71" s="373" t="s">
        <v>7</v>
      </c>
    </row>
    <row r="72" spans="1:14">
      <c r="A72" s="38">
        <v>75</v>
      </c>
      <c r="B72" s="39" t="s">
        <v>412</v>
      </c>
      <c r="C72" s="39" t="s">
        <v>428</v>
      </c>
      <c r="D72" s="40" t="s">
        <v>429</v>
      </c>
      <c r="E72" s="39" t="s">
        <v>430</v>
      </c>
      <c r="F72" s="284">
        <v>46090</v>
      </c>
      <c r="G72" s="39" t="s">
        <v>167</v>
      </c>
      <c r="H72" s="39" t="s">
        <v>431</v>
      </c>
      <c r="I72" s="110" t="s">
        <v>507</v>
      </c>
      <c r="J72" s="373" t="s">
        <v>7</v>
      </c>
    </row>
    <row r="73" spans="1:14">
      <c r="A73" s="38">
        <v>76</v>
      </c>
      <c r="B73" s="39" t="s">
        <v>413</v>
      </c>
      <c r="C73" s="39" t="s">
        <v>428</v>
      </c>
      <c r="D73" s="40" t="s">
        <v>429</v>
      </c>
      <c r="E73" s="39" t="s">
        <v>430</v>
      </c>
      <c r="F73" s="284">
        <v>46090</v>
      </c>
      <c r="G73" s="39" t="s">
        <v>167</v>
      </c>
      <c r="H73" s="39" t="s">
        <v>431</v>
      </c>
      <c r="I73" s="110" t="s">
        <v>507</v>
      </c>
      <c r="J73" s="373" t="s">
        <v>7</v>
      </c>
    </row>
    <row r="74" spans="1:14">
      <c r="A74" s="38">
        <v>74</v>
      </c>
      <c r="B74" s="40" t="s">
        <v>406</v>
      </c>
      <c r="C74" s="40" t="s">
        <v>428</v>
      </c>
      <c r="D74" s="40" t="s">
        <v>429</v>
      </c>
      <c r="E74" s="39" t="s">
        <v>430</v>
      </c>
      <c r="F74" s="284">
        <v>45979</v>
      </c>
      <c r="G74" s="39" t="s">
        <v>167</v>
      </c>
      <c r="H74" s="39" t="s">
        <v>431</v>
      </c>
      <c r="I74" s="110" t="s">
        <v>507</v>
      </c>
      <c r="J74" s="373" t="s">
        <v>7</v>
      </c>
      <c r="K74" s="255"/>
    </row>
    <row r="75" spans="1:14">
      <c r="A75" s="38">
        <v>88</v>
      </c>
      <c r="B75" s="39" t="s">
        <v>508</v>
      </c>
      <c r="C75" s="39" t="s">
        <v>434</v>
      </c>
      <c r="D75" s="40" t="s">
        <v>429</v>
      </c>
      <c r="E75" s="39" t="s">
        <v>435</v>
      </c>
      <c r="F75" s="284">
        <v>46119</v>
      </c>
      <c r="G75" s="39" t="s">
        <v>509</v>
      </c>
      <c r="H75" s="39" t="s">
        <v>436</v>
      </c>
      <c r="I75" s="110" t="s">
        <v>510</v>
      </c>
      <c r="J75" s="373" t="s">
        <v>7</v>
      </c>
    </row>
    <row r="76" spans="1:14">
      <c r="A76" s="38">
        <v>37</v>
      </c>
      <c r="B76" s="44" t="s">
        <v>381</v>
      </c>
      <c r="C76" s="44" t="s">
        <v>428</v>
      </c>
      <c r="D76" s="43" t="s">
        <v>429</v>
      </c>
      <c r="E76" s="44" t="s">
        <v>430</v>
      </c>
      <c r="F76" s="290">
        <v>46069</v>
      </c>
      <c r="G76" s="44" t="s">
        <v>48</v>
      </c>
      <c r="H76" s="44" t="s">
        <v>431</v>
      </c>
      <c r="I76" s="374" t="s">
        <v>511</v>
      </c>
      <c r="J76" s="375" t="s">
        <v>47</v>
      </c>
    </row>
    <row r="77" spans="1:14">
      <c r="A77" s="38">
        <v>38</v>
      </c>
      <c r="B77" s="44" t="s">
        <v>383</v>
      </c>
      <c r="C77" s="44" t="s">
        <v>434</v>
      </c>
      <c r="D77" s="43" t="s">
        <v>429</v>
      </c>
      <c r="E77" s="44" t="s">
        <v>430</v>
      </c>
      <c r="F77" s="289">
        <v>46076</v>
      </c>
      <c r="G77" s="44" t="s">
        <v>48</v>
      </c>
      <c r="H77" s="44" t="s">
        <v>431</v>
      </c>
      <c r="I77" s="374" t="s">
        <v>511</v>
      </c>
      <c r="J77" s="375" t="s">
        <v>47</v>
      </c>
    </row>
    <row r="78" spans="1:14">
      <c r="A78" s="38">
        <v>43</v>
      </c>
      <c r="B78" s="39" t="s">
        <v>387</v>
      </c>
      <c r="C78" s="40" t="s">
        <v>428</v>
      </c>
      <c r="D78" s="40" t="s">
        <v>429</v>
      </c>
      <c r="E78" s="39" t="s">
        <v>430</v>
      </c>
      <c r="F78" s="284">
        <v>45965</v>
      </c>
      <c r="G78" s="39" t="s">
        <v>83</v>
      </c>
      <c r="H78" s="39" t="s">
        <v>431</v>
      </c>
      <c r="I78" s="110" t="s">
        <v>512</v>
      </c>
      <c r="J78" s="373" t="s">
        <v>7</v>
      </c>
      <c r="K78" s="128" t="s">
        <v>513</v>
      </c>
    </row>
    <row r="79" spans="1:14">
      <c r="A79" s="38">
        <v>44</v>
      </c>
      <c r="B79" s="39" t="s">
        <v>391</v>
      </c>
      <c r="C79" s="40" t="s">
        <v>428</v>
      </c>
      <c r="D79" s="40" t="s">
        <v>429</v>
      </c>
      <c r="E79" s="39" t="s">
        <v>430</v>
      </c>
      <c r="F79" s="284">
        <v>46055</v>
      </c>
      <c r="G79" s="39" t="s">
        <v>83</v>
      </c>
      <c r="H79" s="39" t="s">
        <v>431</v>
      </c>
      <c r="I79" s="110" t="s">
        <v>512</v>
      </c>
      <c r="J79" s="373" t="s">
        <v>7</v>
      </c>
      <c r="K79" s="369" t="s">
        <v>514</v>
      </c>
    </row>
    <row r="80" spans="1:14">
      <c r="A80" s="38">
        <v>45</v>
      </c>
      <c r="B80" s="39" t="s">
        <v>392</v>
      </c>
      <c r="C80" s="39" t="s">
        <v>428</v>
      </c>
      <c r="D80" s="40" t="s">
        <v>429</v>
      </c>
      <c r="E80" s="39" t="s">
        <v>430</v>
      </c>
      <c r="F80" s="285">
        <v>46069</v>
      </c>
      <c r="G80" s="39" t="s">
        <v>83</v>
      </c>
      <c r="H80" s="39" t="s">
        <v>431</v>
      </c>
      <c r="I80" s="110" t="s">
        <v>512</v>
      </c>
      <c r="J80" s="373" t="s">
        <v>7</v>
      </c>
    </row>
    <row r="81" spans="1:10">
      <c r="A81" s="38">
        <v>46</v>
      </c>
      <c r="B81" s="209" t="s">
        <v>393</v>
      </c>
      <c r="C81" s="39" t="s">
        <v>428</v>
      </c>
      <c r="D81" s="40" t="s">
        <v>429</v>
      </c>
      <c r="E81" s="39" t="s">
        <v>430</v>
      </c>
      <c r="F81" s="285">
        <v>46069</v>
      </c>
      <c r="G81" s="39" t="s">
        <v>83</v>
      </c>
      <c r="H81" s="39" t="s">
        <v>431</v>
      </c>
      <c r="I81" s="110" t="s">
        <v>512</v>
      </c>
      <c r="J81" s="373" t="s">
        <v>7</v>
      </c>
    </row>
    <row r="82" spans="1:10">
      <c r="A82" s="38">
        <v>52</v>
      </c>
      <c r="B82" s="110" t="s">
        <v>515</v>
      </c>
      <c r="C82" s="110" t="s">
        <v>434</v>
      </c>
      <c r="D82" s="133" t="s">
        <v>429</v>
      </c>
      <c r="E82" s="110" t="s">
        <v>430</v>
      </c>
      <c r="F82" s="287">
        <v>46146</v>
      </c>
      <c r="G82" s="110" t="s">
        <v>516</v>
      </c>
      <c r="H82" s="110" t="s">
        <v>431</v>
      </c>
      <c r="I82" s="110" t="s">
        <v>512</v>
      </c>
      <c r="J82" s="373" t="s">
        <v>7</v>
      </c>
    </row>
    <row r="83" spans="1:10">
      <c r="A83" s="38">
        <v>4</v>
      </c>
      <c r="B83" s="41" t="s">
        <v>517</v>
      </c>
      <c r="C83" s="41" t="s">
        <v>428</v>
      </c>
      <c r="D83" s="41" t="s">
        <v>429</v>
      </c>
      <c r="E83" s="42" t="s">
        <v>518</v>
      </c>
      <c r="F83" s="288">
        <v>46029</v>
      </c>
      <c r="G83" s="42" t="s">
        <v>519</v>
      </c>
      <c r="H83" s="42" t="s">
        <v>518</v>
      </c>
      <c r="I83" s="377" t="s">
        <v>213</v>
      </c>
      <c r="J83" s="378"/>
    </row>
    <row r="84" spans="1:10">
      <c r="A84" s="38">
        <v>5</v>
      </c>
      <c r="B84" s="42" t="s">
        <v>520</v>
      </c>
      <c r="C84" s="41" t="s">
        <v>428</v>
      </c>
      <c r="D84" s="41" t="s">
        <v>429</v>
      </c>
      <c r="E84" s="42" t="s">
        <v>518</v>
      </c>
      <c r="F84" s="288">
        <v>46055</v>
      </c>
      <c r="G84" s="42" t="s">
        <v>519</v>
      </c>
      <c r="H84" s="42" t="s">
        <v>518</v>
      </c>
      <c r="I84" s="377" t="s">
        <v>213</v>
      </c>
      <c r="J84" s="378"/>
    </row>
    <row r="85" spans="1:10">
      <c r="A85" s="38">
        <v>6</v>
      </c>
      <c r="B85" s="42" t="s">
        <v>521</v>
      </c>
      <c r="C85" s="42" t="s">
        <v>434</v>
      </c>
      <c r="D85" s="41" t="s">
        <v>429</v>
      </c>
      <c r="E85" s="42" t="s">
        <v>518</v>
      </c>
      <c r="F85" s="288">
        <v>46090</v>
      </c>
      <c r="G85" s="42" t="s">
        <v>519</v>
      </c>
      <c r="H85" s="42" t="s">
        <v>518</v>
      </c>
      <c r="I85" s="377" t="s">
        <v>213</v>
      </c>
      <c r="J85" s="378"/>
    </row>
    <row r="86" spans="1:10">
      <c r="A86" s="38">
        <v>7</v>
      </c>
      <c r="B86" s="42" t="s">
        <v>522</v>
      </c>
      <c r="C86" s="42" t="s">
        <v>428</v>
      </c>
      <c r="D86" s="41" t="s">
        <v>429</v>
      </c>
      <c r="E86" s="42" t="s">
        <v>518</v>
      </c>
      <c r="F86" s="288">
        <v>46090</v>
      </c>
      <c r="G86" s="42" t="s">
        <v>519</v>
      </c>
      <c r="H86" s="42" t="s">
        <v>518</v>
      </c>
      <c r="I86" s="377" t="s">
        <v>213</v>
      </c>
      <c r="J86" s="378"/>
    </row>
    <row r="87" spans="1:10">
      <c r="A87" s="38">
        <v>8</v>
      </c>
      <c r="B87" s="42" t="s">
        <v>523</v>
      </c>
      <c r="C87" s="42" t="s">
        <v>434</v>
      </c>
      <c r="D87" s="41" t="s">
        <v>429</v>
      </c>
      <c r="E87" s="42" t="s">
        <v>518</v>
      </c>
      <c r="F87" s="288">
        <v>46125</v>
      </c>
      <c r="G87" s="42" t="s">
        <v>519</v>
      </c>
      <c r="H87" s="42" t="s">
        <v>518</v>
      </c>
      <c r="I87" s="377" t="s">
        <v>213</v>
      </c>
      <c r="J87" s="378"/>
    </row>
    <row r="88" spans="1:10">
      <c r="A88" s="38">
        <v>3</v>
      </c>
      <c r="B88" s="41" t="s">
        <v>524</v>
      </c>
      <c r="C88" s="41" t="s">
        <v>453</v>
      </c>
      <c r="D88" s="41" t="s">
        <v>429</v>
      </c>
      <c r="E88" s="42" t="s">
        <v>518</v>
      </c>
      <c r="F88" s="288">
        <v>46146</v>
      </c>
      <c r="G88" s="42" t="s">
        <v>519</v>
      </c>
      <c r="H88" s="42" t="s">
        <v>518</v>
      </c>
      <c r="I88" s="377" t="s">
        <v>213</v>
      </c>
      <c r="J88" s="378"/>
    </row>
    <row r="89" spans="1:10">
      <c r="A89" s="38">
        <v>9</v>
      </c>
      <c r="B89" s="42" t="s">
        <v>525</v>
      </c>
      <c r="C89" s="42" t="s">
        <v>453</v>
      </c>
      <c r="D89" s="41" t="s">
        <v>429</v>
      </c>
      <c r="E89" s="42" t="s">
        <v>518</v>
      </c>
      <c r="F89" s="288">
        <v>46146</v>
      </c>
      <c r="G89" s="42" t="s">
        <v>519</v>
      </c>
      <c r="H89" s="42" t="s">
        <v>518</v>
      </c>
      <c r="I89" s="377" t="s">
        <v>213</v>
      </c>
      <c r="J89" s="378"/>
    </row>
    <row r="90" spans="1:10">
      <c r="A90" s="38">
        <v>10</v>
      </c>
      <c r="B90" s="42" t="s">
        <v>526</v>
      </c>
      <c r="C90" s="42" t="s">
        <v>453</v>
      </c>
      <c r="D90" s="41" t="s">
        <v>429</v>
      </c>
      <c r="E90" s="42" t="s">
        <v>518</v>
      </c>
      <c r="F90" s="288">
        <v>46146</v>
      </c>
      <c r="G90" s="42" t="s">
        <v>519</v>
      </c>
      <c r="H90" s="42" t="s">
        <v>518</v>
      </c>
      <c r="I90" s="377" t="s">
        <v>213</v>
      </c>
      <c r="J90" s="378"/>
    </row>
    <row r="91" spans="1:10">
      <c r="A91" s="38">
        <v>11</v>
      </c>
      <c r="B91" s="42" t="s">
        <v>527</v>
      </c>
      <c r="C91" s="42" t="s">
        <v>453</v>
      </c>
      <c r="D91" s="41" t="s">
        <v>429</v>
      </c>
      <c r="E91" s="42" t="s">
        <v>518</v>
      </c>
      <c r="F91" s="288">
        <v>46146</v>
      </c>
      <c r="G91" s="42" t="s">
        <v>519</v>
      </c>
      <c r="H91" s="42" t="s">
        <v>518</v>
      </c>
      <c r="I91" s="377" t="s">
        <v>213</v>
      </c>
      <c r="J91" s="378"/>
    </row>
    <row r="92" spans="1:10">
      <c r="A92" s="38">
        <v>12</v>
      </c>
      <c r="B92" s="42" t="s">
        <v>528</v>
      </c>
      <c r="C92" s="42" t="s">
        <v>453</v>
      </c>
      <c r="D92" s="41" t="s">
        <v>429</v>
      </c>
      <c r="E92" s="42" t="s">
        <v>518</v>
      </c>
      <c r="F92" s="288">
        <v>46146</v>
      </c>
      <c r="G92" s="42" t="s">
        <v>519</v>
      </c>
      <c r="H92" s="42" t="s">
        <v>518</v>
      </c>
      <c r="I92" s="377" t="s">
        <v>213</v>
      </c>
      <c r="J92" s="378"/>
    </row>
    <row r="93" spans="1:10">
      <c r="A93" s="38">
        <v>13</v>
      </c>
      <c r="B93" s="42" t="s">
        <v>529</v>
      </c>
      <c r="C93" s="42" t="s">
        <v>453</v>
      </c>
      <c r="D93" s="41" t="s">
        <v>429</v>
      </c>
      <c r="E93" s="42" t="s">
        <v>518</v>
      </c>
      <c r="F93" s="288">
        <v>46146</v>
      </c>
      <c r="G93" s="42" t="s">
        <v>519</v>
      </c>
      <c r="H93" s="42" t="s">
        <v>518</v>
      </c>
      <c r="I93" s="377" t="s">
        <v>213</v>
      </c>
      <c r="J93" s="378"/>
    </row>
    <row r="94" spans="1:10">
      <c r="A94" s="38">
        <v>14</v>
      </c>
      <c r="B94" s="42" t="s">
        <v>530</v>
      </c>
      <c r="C94" s="42" t="s">
        <v>453</v>
      </c>
      <c r="D94" s="41" t="s">
        <v>429</v>
      </c>
      <c r="E94" s="42" t="s">
        <v>518</v>
      </c>
      <c r="F94" s="288">
        <v>46146</v>
      </c>
      <c r="G94" s="42" t="s">
        <v>519</v>
      </c>
      <c r="H94" s="42" t="s">
        <v>518</v>
      </c>
      <c r="I94" s="377" t="s">
        <v>213</v>
      </c>
      <c r="J94" s="378"/>
    </row>
    <row r="95" spans="1:10">
      <c r="A95" s="38">
        <v>15</v>
      </c>
      <c r="B95" s="42" t="s">
        <v>531</v>
      </c>
      <c r="C95" s="42" t="s">
        <v>453</v>
      </c>
      <c r="D95" s="41" t="s">
        <v>429</v>
      </c>
      <c r="E95" s="42" t="s">
        <v>518</v>
      </c>
      <c r="F95" s="288">
        <v>46146</v>
      </c>
      <c r="G95" s="42" t="s">
        <v>519</v>
      </c>
      <c r="H95" s="42" t="s">
        <v>518</v>
      </c>
      <c r="I95" s="377" t="s">
        <v>213</v>
      </c>
      <c r="J95" s="378"/>
    </row>
    <row r="96" spans="1:10">
      <c r="A96" s="421">
        <v>16</v>
      </c>
      <c r="B96" s="423" t="s">
        <v>532</v>
      </c>
      <c r="C96" s="423" t="s">
        <v>453</v>
      </c>
      <c r="D96" s="426" t="s">
        <v>429</v>
      </c>
      <c r="E96" s="423" t="s">
        <v>518</v>
      </c>
      <c r="F96" s="429">
        <v>46146</v>
      </c>
      <c r="G96" s="423" t="s">
        <v>519</v>
      </c>
      <c r="H96" s="423" t="s">
        <v>518</v>
      </c>
      <c r="I96" s="432" t="s">
        <v>213</v>
      </c>
      <c r="J96" s="378"/>
    </row>
    <row r="97" spans="1:10">
      <c r="A97" s="38">
        <v>2</v>
      </c>
      <c r="B97" s="131" t="s">
        <v>533</v>
      </c>
      <c r="C97" s="131" t="s">
        <v>434</v>
      </c>
      <c r="D97" s="132" t="s">
        <v>429</v>
      </c>
      <c r="E97" s="131" t="s">
        <v>518</v>
      </c>
      <c r="F97" s="283">
        <v>46153</v>
      </c>
      <c r="G97" s="131" t="s">
        <v>519</v>
      </c>
      <c r="H97" s="131"/>
      <c r="I97" s="131" t="s">
        <v>213</v>
      </c>
      <c r="J97" s="370"/>
    </row>
    <row r="98" spans="1:10">
      <c r="A98" s="38">
        <v>17</v>
      </c>
      <c r="B98" s="42" t="s">
        <v>534</v>
      </c>
      <c r="C98" s="42" t="s">
        <v>453</v>
      </c>
      <c r="D98" s="41" t="s">
        <v>429</v>
      </c>
      <c r="E98" s="42" t="s">
        <v>518</v>
      </c>
      <c r="F98" s="288">
        <v>46153</v>
      </c>
      <c r="G98" s="42" t="s">
        <v>519</v>
      </c>
      <c r="H98" s="42" t="s">
        <v>518</v>
      </c>
      <c r="I98" s="377" t="s">
        <v>213</v>
      </c>
      <c r="J98" s="378"/>
    </row>
    <row r="99" spans="1:10">
      <c r="A99" s="38">
        <v>18</v>
      </c>
      <c r="B99" s="42" t="s">
        <v>535</v>
      </c>
      <c r="C99" s="42" t="s">
        <v>428</v>
      </c>
      <c r="D99" s="41" t="s">
        <v>429</v>
      </c>
      <c r="E99" s="42" t="s">
        <v>518</v>
      </c>
      <c r="F99" s="288">
        <v>46167</v>
      </c>
      <c r="G99" s="42" t="s">
        <v>519</v>
      </c>
      <c r="H99" s="42" t="s">
        <v>518</v>
      </c>
      <c r="I99" s="377" t="s">
        <v>213</v>
      </c>
      <c r="J99" s="378"/>
    </row>
    <row r="100" spans="1:10">
      <c r="A100" s="421">
        <v>1</v>
      </c>
      <c r="B100" s="425" t="s">
        <v>536</v>
      </c>
      <c r="C100" s="425" t="s">
        <v>434</v>
      </c>
      <c r="D100" s="427" t="s">
        <v>429</v>
      </c>
      <c r="E100" s="425" t="s">
        <v>435</v>
      </c>
      <c r="F100" s="431">
        <v>46119</v>
      </c>
      <c r="G100" s="425" t="s">
        <v>68</v>
      </c>
      <c r="H100" s="425"/>
      <c r="I100" s="433"/>
      <c r="J100" s="376"/>
    </row>
    <row r="101" spans="1:10">
      <c r="A101" s="38">
        <v>20</v>
      </c>
      <c r="B101" s="118" t="s">
        <v>14</v>
      </c>
      <c r="C101" s="118" t="s">
        <v>434</v>
      </c>
      <c r="D101" s="120" t="s">
        <v>429</v>
      </c>
      <c r="E101" s="118" t="s">
        <v>430</v>
      </c>
      <c r="F101" s="294">
        <v>46125</v>
      </c>
      <c r="G101" s="118" t="s">
        <v>8</v>
      </c>
      <c r="H101" s="118" t="s">
        <v>431</v>
      </c>
      <c r="I101" s="118"/>
      <c r="J101" s="376"/>
    </row>
    <row r="102" spans="1:10">
      <c r="A102" s="422">
        <v>85</v>
      </c>
      <c r="B102" s="422" t="s">
        <v>536</v>
      </c>
      <c r="C102" s="422" t="s">
        <v>434</v>
      </c>
      <c r="D102" s="422" t="s">
        <v>429</v>
      </c>
      <c r="E102" s="422"/>
      <c r="F102" s="430"/>
      <c r="G102" s="422" t="s">
        <v>537</v>
      </c>
      <c r="H102" s="422"/>
      <c r="I102" s="422"/>
    </row>
  </sheetData>
  <autoFilter ref="A1:K102" xr:uid="{00000000-0001-0000-0200-000000000000}">
    <sortState xmlns:xlrd2="http://schemas.microsoft.com/office/spreadsheetml/2017/richdata2" ref="A2:K102">
      <sortCondition ref="I1:I102"/>
    </sortState>
  </autoFilter>
  <conditionalFormatting sqref="B85">
    <cfRule type="cellIs" dxfId="96" priority="2" operator="equal">
      <formula>"S"</formula>
    </cfRule>
  </conditionalFormatting>
  <conditionalFormatting sqref="B88">
    <cfRule type="cellIs" dxfId="95" priority="1" operator="equal">
      <formula>"S"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94F7-4B60-4417-8697-5BBD4431AD05}">
  <dimension ref="A1:BL233"/>
  <sheetViews>
    <sheetView workbookViewId="0">
      <pane xSplit="1" ySplit="1" topLeftCell="BB144" activePane="bottomRight" state="frozen"/>
      <selection pane="bottomRight" activeCell="BJ162" sqref="BJ162"/>
      <selection pane="bottomLeft"/>
      <selection pane="topRight"/>
    </sheetView>
  </sheetViews>
  <sheetFormatPr defaultColWidth="9.140625" defaultRowHeight="15"/>
  <cols>
    <col min="1" max="1" width="9.140625" style="5"/>
    <col min="2" max="2" width="7.28515625" customWidth="1"/>
    <col min="3" max="3" width="58.5703125" customWidth="1"/>
    <col min="4" max="4" width="9.140625" customWidth="1"/>
    <col min="5" max="5" width="28.28515625" customWidth="1"/>
    <col min="6" max="6" width="28.5703125" customWidth="1"/>
    <col min="7" max="7" width="29.28515625" customWidth="1"/>
    <col min="8" max="8" width="34.42578125" customWidth="1"/>
    <col min="9" max="9" width="10.7109375" customWidth="1"/>
    <col min="10" max="10" width="9.140625" customWidth="1"/>
    <col min="11" max="11" width="40.140625" customWidth="1"/>
    <col min="12" max="12" width="25.5703125" customWidth="1"/>
    <col min="13" max="13" width="26.28515625" customWidth="1"/>
    <col min="14" max="14" width="23.42578125" customWidth="1"/>
    <col min="15" max="15" width="25.28515625" customWidth="1"/>
    <col min="16" max="17" width="9.140625" customWidth="1"/>
    <col min="18" max="18" width="23.5703125" customWidth="1"/>
    <col min="19" max="19" width="25" customWidth="1"/>
    <col min="20" max="20" width="23.5703125" customWidth="1"/>
    <col min="21" max="21" width="32.140625" customWidth="1"/>
    <col min="22" max="22" width="29.7109375" customWidth="1"/>
    <col min="23" max="24" width="9.140625" customWidth="1"/>
    <col min="25" max="25" width="38.5703125" customWidth="1"/>
    <col min="26" max="26" width="6.140625" customWidth="1"/>
    <col min="27" max="27" width="34" customWidth="1"/>
    <col min="28" max="28" width="30.7109375" customWidth="1"/>
    <col min="29" max="29" width="30.140625" customWidth="1"/>
    <col min="30" max="31" width="9.140625" customWidth="1"/>
    <col min="32" max="32" width="29.7109375" customWidth="1"/>
    <col min="33" max="33" width="38.7109375" bestFit="1" customWidth="1"/>
    <col min="34" max="34" width="32.28515625" bestFit="1" customWidth="1"/>
    <col min="35" max="38" width="9.140625" customWidth="1"/>
    <col min="39" max="39" width="34" bestFit="1" customWidth="1"/>
    <col min="40" max="40" width="9.42578125" customWidth="1"/>
    <col min="41" max="41" width="18.28515625" customWidth="1"/>
    <col min="42" max="42" width="48.28515625" customWidth="1"/>
    <col min="43" max="43" width="6.7109375" customWidth="1"/>
    <col min="44" max="44" width="7" customWidth="1"/>
    <col min="45" max="45" width="17.28515625" customWidth="1"/>
    <col min="46" max="46" width="9.42578125" customWidth="1"/>
    <col min="47" max="47" width="21.42578125" customWidth="1"/>
    <col min="48" max="48" width="40.28515625" customWidth="1"/>
    <col min="49" max="49" width="41.42578125" customWidth="1"/>
    <col min="50" max="50" width="19.42578125" customWidth="1"/>
    <col min="53" max="53" width="17.140625" customWidth="1"/>
    <col min="54" max="54" width="13.140625" customWidth="1"/>
    <col min="55" max="55" width="6.28515625" customWidth="1"/>
    <col min="56" max="56" width="9.85546875" customWidth="1"/>
    <col min="57" max="57" width="14.42578125" customWidth="1"/>
    <col min="59" max="59" width="8.140625" customWidth="1"/>
    <col min="60" max="60" width="13.42578125" customWidth="1"/>
    <col min="61" max="61" width="25" customWidth="1"/>
    <col min="62" max="62" width="45" customWidth="1"/>
  </cols>
  <sheetData>
    <row r="1" spans="1:64" s="93" customFormat="1" ht="30" customHeight="1">
      <c r="A1" s="103" t="s">
        <v>4</v>
      </c>
      <c r="B1" s="136">
        <v>46144</v>
      </c>
      <c r="C1" s="136">
        <v>46145</v>
      </c>
      <c r="D1" s="136">
        <v>46146</v>
      </c>
      <c r="E1" s="136">
        <v>46147</v>
      </c>
      <c r="F1" s="136">
        <v>46148</v>
      </c>
      <c r="G1" s="136">
        <v>46149</v>
      </c>
      <c r="H1" s="104">
        <v>46150</v>
      </c>
      <c r="I1" s="136">
        <v>46151</v>
      </c>
      <c r="J1" s="136">
        <v>46152</v>
      </c>
      <c r="K1" s="104">
        <v>46153</v>
      </c>
      <c r="L1" s="104">
        <v>46154</v>
      </c>
      <c r="M1" s="104">
        <v>46155</v>
      </c>
      <c r="N1" s="104">
        <v>46156</v>
      </c>
      <c r="O1" s="104">
        <v>46157</v>
      </c>
      <c r="P1" s="136">
        <v>46158</v>
      </c>
      <c r="Q1" s="136">
        <v>46159</v>
      </c>
      <c r="R1" s="104">
        <v>46160</v>
      </c>
      <c r="S1" s="104">
        <v>46161</v>
      </c>
      <c r="T1" s="104">
        <v>46162</v>
      </c>
      <c r="U1" s="104">
        <v>46163</v>
      </c>
      <c r="V1" s="104">
        <v>46164</v>
      </c>
      <c r="W1" s="136">
        <v>46165</v>
      </c>
      <c r="X1" s="136">
        <v>46166</v>
      </c>
      <c r="Y1" s="104">
        <v>46167</v>
      </c>
      <c r="Z1" s="104">
        <v>46168</v>
      </c>
      <c r="AA1" s="104">
        <v>46169</v>
      </c>
      <c r="AB1" s="104">
        <v>46170</v>
      </c>
      <c r="AC1" s="104">
        <v>46171</v>
      </c>
      <c r="AD1" s="136">
        <v>46172</v>
      </c>
      <c r="AE1" s="136">
        <v>46173</v>
      </c>
      <c r="AF1" s="234">
        <v>46174</v>
      </c>
      <c r="AG1" s="234">
        <v>46175</v>
      </c>
      <c r="AH1" s="234">
        <v>46176</v>
      </c>
      <c r="AI1" s="234">
        <v>46177</v>
      </c>
      <c r="AJ1" s="234">
        <v>46178</v>
      </c>
      <c r="AK1" s="234">
        <v>46179</v>
      </c>
      <c r="AL1" s="234">
        <v>46180</v>
      </c>
      <c r="AM1" s="234">
        <v>46181</v>
      </c>
      <c r="AN1" s="234">
        <v>46182</v>
      </c>
      <c r="AO1" s="234">
        <v>46183</v>
      </c>
      <c r="AP1" s="234">
        <v>46184</v>
      </c>
      <c r="AQ1" s="234">
        <v>46185</v>
      </c>
      <c r="AR1" s="234">
        <v>46186</v>
      </c>
      <c r="AS1" s="234">
        <v>46187</v>
      </c>
      <c r="AT1" s="234">
        <v>46188</v>
      </c>
      <c r="AU1" s="234">
        <v>46189</v>
      </c>
      <c r="AV1" s="301">
        <v>46190</v>
      </c>
      <c r="AW1" s="234">
        <v>46191</v>
      </c>
      <c r="AX1" s="234">
        <v>46192</v>
      </c>
      <c r="AY1" s="234">
        <v>46193</v>
      </c>
      <c r="AZ1" s="234">
        <v>46194</v>
      </c>
      <c r="BA1" s="234">
        <v>46195</v>
      </c>
      <c r="BB1" s="234">
        <v>46196</v>
      </c>
      <c r="BC1" s="234">
        <v>46197</v>
      </c>
      <c r="BD1" s="234">
        <v>46198</v>
      </c>
      <c r="BE1" s="234">
        <v>46199</v>
      </c>
      <c r="BF1" s="234">
        <v>46200</v>
      </c>
      <c r="BG1" s="234">
        <v>46201</v>
      </c>
      <c r="BH1" s="234">
        <v>46202</v>
      </c>
      <c r="BI1" s="234">
        <v>46203</v>
      </c>
      <c r="BJ1" s="234">
        <v>46204</v>
      </c>
      <c r="BK1" s="234">
        <v>46205</v>
      </c>
      <c r="BL1" s="234">
        <v>46206</v>
      </c>
    </row>
    <row r="2" spans="1:64" ht="30" customHeight="1">
      <c r="A2" s="100" t="s">
        <v>146</v>
      </c>
      <c r="E2" s="102" t="s">
        <v>538</v>
      </c>
    </row>
    <row r="3" spans="1:64" ht="30" customHeight="1">
      <c r="A3" s="100" t="s">
        <v>83</v>
      </c>
      <c r="E3" t="s">
        <v>539</v>
      </c>
    </row>
    <row r="4" spans="1:64" ht="30" customHeight="1">
      <c r="A4" s="100" t="s">
        <v>167</v>
      </c>
      <c r="F4" t="s">
        <v>540</v>
      </c>
    </row>
    <row r="5" spans="1:64" ht="30" customHeight="1">
      <c r="A5" s="100" t="s">
        <v>83</v>
      </c>
      <c r="F5" t="s">
        <v>539</v>
      </c>
    </row>
    <row r="6" spans="1:64" ht="30" customHeight="1">
      <c r="A6" s="100" t="s">
        <v>48</v>
      </c>
      <c r="F6" s="101" t="s">
        <v>541</v>
      </c>
    </row>
    <row r="7" spans="1:64" ht="30" customHeight="1">
      <c r="A7" s="100" t="s">
        <v>48</v>
      </c>
      <c r="F7" s="101" t="s">
        <v>542</v>
      </c>
    </row>
    <row r="8" spans="1:64" ht="30" customHeight="1">
      <c r="A8" s="100" t="s">
        <v>83</v>
      </c>
      <c r="F8" s="101" t="s">
        <v>543</v>
      </c>
      <c r="G8" s="101"/>
    </row>
    <row r="9" spans="1:64" ht="30" customHeight="1">
      <c r="A9" s="100" t="s">
        <v>114</v>
      </c>
      <c r="F9" t="s">
        <v>544</v>
      </c>
    </row>
    <row r="10" spans="1:64" ht="30" customHeight="1">
      <c r="A10" s="100" t="s">
        <v>83</v>
      </c>
      <c r="G10" s="101" t="s">
        <v>539</v>
      </c>
      <c r="H10" s="101" t="s">
        <v>539</v>
      </c>
    </row>
    <row r="11" spans="1:64" ht="25.5" customHeight="1">
      <c r="A11" s="100" t="s">
        <v>167</v>
      </c>
      <c r="G11" s="101"/>
      <c r="H11" t="s">
        <v>545</v>
      </c>
    </row>
    <row r="12" spans="1:64" ht="25.5" customHeight="1">
      <c r="A12" s="100" t="s">
        <v>48</v>
      </c>
      <c r="H12" s="56" t="s">
        <v>546</v>
      </c>
      <c r="I12" s="100"/>
      <c r="Q12" s="134"/>
      <c r="R12" s="100"/>
      <c r="Z12" s="134"/>
      <c r="AA12" s="100"/>
    </row>
    <row r="13" spans="1:64" ht="25.5" customHeight="1">
      <c r="A13" s="100" t="s">
        <v>48</v>
      </c>
      <c r="H13" s="56" t="s">
        <v>547</v>
      </c>
    </row>
    <row r="14" spans="1:64" ht="25.5" customHeight="1">
      <c r="A14" s="100" t="s">
        <v>48</v>
      </c>
      <c r="F14" s="100"/>
      <c r="H14" t="s">
        <v>548</v>
      </c>
      <c r="N14" s="183"/>
    </row>
    <row r="15" spans="1:64" ht="25.5" customHeight="1">
      <c r="A15" s="100" t="s">
        <v>114</v>
      </c>
      <c r="H15" s="56" t="s">
        <v>549</v>
      </c>
    </row>
    <row r="16" spans="1:64" ht="25.5" customHeight="1">
      <c r="A16" s="100" t="s">
        <v>114</v>
      </c>
      <c r="G16" s="100"/>
      <c r="H16" t="s">
        <v>550</v>
      </c>
      <c r="O16" s="183"/>
    </row>
    <row r="17" spans="1:30" ht="25.5" customHeight="1">
      <c r="A17" s="100" t="s">
        <v>114</v>
      </c>
      <c r="H17" s="100"/>
      <c r="P17" s="183"/>
    </row>
    <row r="18" spans="1:30" ht="25.5" customHeight="1">
      <c r="A18" s="190" t="s">
        <v>114</v>
      </c>
      <c r="K18" t="s">
        <v>551</v>
      </c>
      <c r="L18" t="s">
        <v>551</v>
      </c>
      <c r="M18" t="s">
        <v>551</v>
      </c>
      <c r="N18" t="s">
        <v>551</v>
      </c>
      <c r="O18" t="s">
        <v>551</v>
      </c>
    </row>
    <row r="19" spans="1:30" ht="25.5" customHeight="1">
      <c r="A19" s="190" t="s">
        <v>167</v>
      </c>
      <c r="K19" t="s">
        <v>552</v>
      </c>
    </row>
    <row r="20" spans="1:30" ht="25.5" customHeight="1">
      <c r="A20" s="190" t="s">
        <v>146</v>
      </c>
      <c r="K20" t="s">
        <v>553</v>
      </c>
    </row>
    <row r="21" spans="1:30" ht="25.5" customHeight="1">
      <c r="A21" s="100" t="s">
        <v>167</v>
      </c>
      <c r="K21" t="s">
        <v>545</v>
      </c>
    </row>
    <row r="22" spans="1:30" ht="25.5" customHeight="1">
      <c r="A22" s="100" t="s">
        <v>83</v>
      </c>
      <c r="L22" t="s">
        <v>554</v>
      </c>
    </row>
    <row r="23" spans="1:30">
      <c r="A23" s="100" t="s">
        <v>167</v>
      </c>
      <c r="L23" t="s">
        <v>545</v>
      </c>
    </row>
    <row r="24" spans="1:30">
      <c r="A24" s="100" t="s">
        <v>167</v>
      </c>
      <c r="M24" t="s">
        <v>545</v>
      </c>
      <c r="N24" t="s">
        <v>545</v>
      </c>
      <c r="O24" t="s">
        <v>545</v>
      </c>
      <c r="R24" t="s">
        <v>545</v>
      </c>
      <c r="S24" t="s">
        <v>545</v>
      </c>
      <c r="T24" t="s">
        <v>545</v>
      </c>
      <c r="U24" t="s">
        <v>545</v>
      </c>
      <c r="V24" t="s">
        <v>545</v>
      </c>
      <c r="Y24" t="s">
        <v>545</v>
      </c>
      <c r="Z24" t="s">
        <v>545</v>
      </c>
      <c r="AA24" t="s">
        <v>545</v>
      </c>
      <c r="AB24" t="s">
        <v>545</v>
      </c>
      <c r="AC24" s="134"/>
    </row>
    <row r="25" spans="1:30">
      <c r="A25" s="100" t="s">
        <v>48</v>
      </c>
      <c r="M25" t="s">
        <v>555</v>
      </c>
    </row>
    <row r="26" spans="1:30">
      <c r="A26" s="100" t="s">
        <v>146</v>
      </c>
      <c r="M26" t="s">
        <v>556</v>
      </c>
      <c r="AB26" s="134"/>
    </row>
    <row r="27" spans="1:30">
      <c r="A27" s="100" t="s">
        <v>48</v>
      </c>
      <c r="N27" t="s">
        <v>555</v>
      </c>
      <c r="AB27" s="134"/>
    </row>
    <row r="28" spans="1:30">
      <c r="A28" s="100" t="s">
        <v>48</v>
      </c>
      <c r="N28" t="s">
        <v>557</v>
      </c>
      <c r="AB28" s="134"/>
    </row>
    <row r="29" spans="1:30">
      <c r="A29" s="100" t="s">
        <v>48</v>
      </c>
      <c r="N29" t="s">
        <v>548</v>
      </c>
      <c r="O29" s="5"/>
      <c r="AB29" s="134"/>
      <c r="AD29" s="5"/>
    </row>
    <row r="30" spans="1:30">
      <c r="A30" s="100" t="s">
        <v>83</v>
      </c>
      <c r="N30" t="s">
        <v>558</v>
      </c>
      <c r="O30" s="5"/>
      <c r="AB30" s="134"/>
      <c r="AD30" s="5"/>
    </row>
    <row r="31" spans="1:30">
      <c r="A31" s="100" t="s">
        <v>114</v>
      </c>
      <c r="N31" t="s">
        <v>550</v>
      </c>
      <c r="O31" s="5"/>
      <c r="AB31" s="134"/>
      <c r="AD31" s="5"/>
    </row>
    <row r="32" spans="1:30">
      <c r="A32" s="100" t="s">
        <v>48</v>
      </c>
      <c r="N32" t="s">
        <v>559</v>
      </c>
      <c r="AB32" s="134"/>
    </row>
    <row r="33" spans="1:32">
      <c r="A33" s="100" t="s">
        <v>48</v>
      </c>
      <c r="O33" t="s">
        <v>560</v>
      </c>
      <c r="P33" s="5"/>
      <c r="AF33" s="5"/>
    </row>
    <row r="34" spans="1:32">
      <c r="A34" s="100" t="s">
        <v>48</v>
      </c>
      <c r="O34" t="s">
        <v>561</v>
      </c>
    </row>
    <row r="35" spans="1:32">
      <c r="A35" s="100" t="s">
        <v>48</v>
      </c>
      <c r="O35" t="s">
        <v>555</v>
      </c>
    </row>
    <row r="36" spans="1:32">
      <c r="A36" s="100" t="s">
        <v>83</v>
      </c>
      <c r="O36" t="s">
        <v>562</v>
      </c>
    </row>
    <row r="37" spans="1:32">
      <c r="A37" s="100" t="s">
        <v>146</v>
      </c>
      <c r="O37" t="s">
        <v>563</v>
      </c>
    </row>
    <row r="38" spans="1:32">
      <c r="A38" s="100" t="s">
        <v>167</v>
      </c>
      <c r="O38" t="s">
        <v>564</v>
      </c>
      <c r="R38" t="s">
        <v>565</v>
      </c>
      <c r="S38" t="s">
        <v>565</v>
      </c>
      <c r="T38" t="s">
        <v>566</v>
      </c>
      <c r="U38" t="s">
        <v>566</v>
      </c>
      <c r="Z38" t="s">
        <v>566</v>
      </c>
      <c r="AA38" t="s">
        <v>566</v>
      </c>
      <c r="AB38" t="s">
        <v>566</v>
      </c>
      <c r="AC38" t="s">
        <v>566</v>
      </c>
    </row>
    <row r="39" spans="1:32">
      <c r="A39" s="100" t="s">
        <v>48</v>
      </c>
      <c r="O39" t="s">
        <v>567</v>
      </c>
    </row>
    <row r="40" spans="1:32">
      <c r="A40" s="100" t="s">
        <v>48</v>
      </c>
      <c r="O40" t="s">
        <v>568</v>
      </c>
    </row>
    <row r="41" spans="1:32">
      <c r="A41" s="100" t="s">
        <v>48</v>
      </c>
      <c r="O41" t="s">
        <v>569</v>
      </c>
      <c r="P41" s="100"/>
      <c r="AE41" s="134"/>
      <c r="AF41" s="100"/>
    </row>
    <row r="42" spans="1:32">
      <c r="A42" s="100" t="s">
        <v>83</v>
      </c>
      <c r="O42" t="s">
        <v>570</v>
      </c>
      <c r="P42" s="100"/>
      <c r="AE42" s="134"/>
      <c r="AF42" s="100"/>
    </row>
    <row r="43" spans="1:32">
      <c r="A43" s="100" t="s">
        <v>83</v>
      </c>
      <c r="O43" t="s">
        <v>571</v>
      </c>
      <c r="P43" s="100"/>
      <c r="AE43" s="134"/>
      <c r="AF43" s="100"/>
    </row>
    <row r="44" spans="1:32">
      <c r="A44" s="100" t="s">
        <v>167</v>
      </c>
      <c r="R44" t="s">
        <v>409</v>
      </c>
      <c r="V44" s="134"/>
    </row>
    <row r="45" spans="1:32">
      <c r="A45" s="100" t="s">
        <v>48</v>
      </c>
      <c r="R45" t="s">
        <v>560</v>
      </c>
      <c r="S45" t="s">
        <v>560</v>
      </c>
    </row>
    <row r="46" spans="1:32">
      <c r="A46" s="100" t="s">
        <v>146</v>
      </c>
      <c r="S46" t="s">
        <v>503</v>
      </c>
    </row>
    <row r="47" spans="1:32">
      <c r="A47" s="100" t="s">
        <v>146</v>
      </c>
      <c r="T47" s="86" t="s">
        <v>572</v>
      </c>
    </row>
    <row r="48" spans="1:32">
      <c r="A48" s="100" t="s">
        <v>83</v>
      </c>
      <c r="T48" t="s">
        <v>573</v>
      </c>
    </row>
    <row r="49" spans="1:39">
      <c r="A49" s="100" t="s">
        <v>48</v>
      </c>
      <c r="U49" t="s">
        <v>574</v>
      </c>
      <c r="V49" t="s">
        <v>574</v>
      </c>
      <c r="Z49" t="s">
        <v>574</v>
      </c>
      <c r="AA49" t="s">
        <v>574</v>
      </c>
      <c r="AB49" t="s">
        <v>574</v>
      </c>
      <c r="AC49" t="s">
        <v>574</v>
      </c>
    </row>
    <row r="50" spans="1:39">
      <c r="A50" s="100" t="s">
        <v>83</v>
      </c>
      <c r="U50" s="220" t="s">
        <v>558</v>
      </c>
      <c r="V50" s="220" t="s">
        <v>558</v>
      </c>
      <c r="Z50" s="220" t="s">
        <v>558</v>
      </c>
      <c r="AA50" s="220" t="s">
        <v>558</v>
      </c>
      <c r="AB50" s="220" t="s">
        <v>558</v>
      </c>
      <c r="AC50" s="220" t="s">
        <v>558</v>
      </c>
      <c r="AF50" s="220" t="s">
        <v>558</v>
      </c>
      <c r="AG50" s="220" t="s">
        <v>558</v>
      </c>
      <c r="AM50" s="220" t="s">
        <v>558</v>
      </c>
    </row>
    <row r="51" spans="1:39">
      <c r="A51" s="100" t="s">
        <v>114</v>
      </c>
      <c r="U51" s="220" t="s">
        <v>550</v>
      </c>
      <c r="V51" s="220" t="s">
        <v>550</v>
      </c>
      <c r="AG51" s="220" t="s">
        <v>550</v>
      </c>
      <c r="AM51" s="220" t="s">
        <v>550</v>
      </c>
    </row>
    <row r="52" spans="1:39">
      <c r="A52" s="100" t="s">
        <v>114</v>
      </c>
      <c r="U52" t="s">
        <v>551</v>
      </c>
      <c r="AB52" s="134"/>
    </row>
    <row r="53" spans="1:39">
      <c r="A53" s="100" t="s">
        <v>167</v>
      </c>
      <c r="U53" t="s">
        <v>575</v>
      </c>
      <c r="AB53" s="134"/>
    </row>
    <row r="54" spans="1:39">
      <c r="A54" s="100" t="s">
        <v>83</v>
      </c>
      <c r="U54" t="s">
        <v>447</v>
      </c>
      <c r="V54" t="s">
        <v>447</v>
      </c>
      <c r="AB54" s="134"/>
    </row>
    <row r="55" spans="1:39">
      <c r="A55" s="100" t="s">
        <v>146</v>
      </c>
      <c r="V55" t="s">
        <v>503</v>
      </c>
      <c r="AB55" s="134"/>
    </row>
    <row r="56" spans="1:39">
      <c r="A56" s="100" t="s">
        <v>167</v>
      </c>
      <c r="V56" t="s">
        <v>576</v>
      </c>
      <c r="AB56" s="134"/>
    </row>
    <row r="57" spans="1:39">
      <c r="A57" s="100" t="s">
        <v>48</v>
      </c>
      <c r="V57" t="s">
        <v>560</v>
      </c>
      <c r="AB57" s="134"/>
    </row>
    <row r="58" spans="1:39">
      <c r="A58" s="100" t="s">
        <v>146</v>
      </c>
      <c r="Y58" s="56" t="s">
        <v>577</v>
      </c>
      <c r="AB58" s="134"/>
    </row>
    <row r="59" spans="1:39">
      <c r="A59" s="100" t="s">
        <v>48</v>
      </c>
      <c r="Y59" s="56" t="s">
        <v>578</v>
      </c>
      <c r="Z59" s="56" t="s">
        <v>578</v>
      </c>
      <c r="AB59" s="134"/>
    </row>
    <row r="60" spans="1:39">
      <c r="A60" s="100" t="s">
        <v>114</v>
      </c>
      <c r="Y60" s="56" t="s">
        <v>579</v>
      </c>
      <c r="Z60" s="56" t="s">
        <v>579</v>
      </c>
      <c r="AA60" s="56" t="s">
        <v>579</v>
      </c>
      <c r="AB60" s="56" t="s">
        <v>579</v>
      </c>
    </row>
    <row r="61" spans="1:39">
      <c r="A61" s="100" t="s">
        <v>48</v>
      </c>
      <c r="Y61" s="56" t="s">
        <v>580</v>
      </c>
      <c r="Z61" s="56" t="s">
        <v>580</v>
      </c>
      <c r="AA61" s="56" t="s">
        <v>580</v>
      </c>
      <c r="AB61" s="56" t="s">
        <v>580</v>
      </c>
      <c r="AC61" s="56" t="s">
        <v>580</v>
      </c>
    </row>
    <row r="62" spans="1:39" ht="13.5" customHeight="1">
      <c r="A62" s="100" t="s">
        <v>114</v>
      </c>
      <c r="Y62" s="56" t="s">
        <v>581</v>
      </c>
      <c r="Z62" s="56" t="s">
        <v>581</v>
      </c>
      <c r="AC62" s="56" t="s">
        <v>581</v>
      </c>
    </row>
    <row r="63" spans="1:39" ht="11.25" customHeight="1">
      <c r="A63" s="100" t="s">
        <v>83</v>
      </c>
      <c r="Y63" s="56" t="s">
        <v>582</v>
      </c>
      <c r="Z63" s="56" t="s">
        <v>582</v>
      </c>
      <c r="AA63" s="56" t="s">
        <v>582</v>
      </c>
      <c r="AB63" s="56" t="s">
        <v>582</v>
      </c>
      <c r="AC63" s="56" t="s">
        <v>582</v>
      </c>
    </row>
    <row r="64" spans="1:39">
      <c r="A64" s="100" t="s">
        <v>167</v>
      </c>
      <c r="Y64" s="56" t="s">
        <v>583</v>
      </c>
      <c r="Z64" s="5"/>
      <c r="AB64" s="134"/>
    </row>
    <row r="65" spans="1:29">
      <c r="A65" s="100" t="s">
        <v>83</v>
      </c>
      <c r="Y65" s="56" t="s">
        <v>584</v>
      </c>
      <c r="Z65" s="5"/>
      <c r="AA65" s="100"/>
      <c r="AB65" s="134"/>
    </row>
    <row r="66" spans="1:29">
      <c r="A66" s="100" t="s">
        <v>114</v>
      </c>
      <c r="Y66" s="56" t="s">
        <v>585</v>
      </c>
      <c r="Z66" s="5"/>
      <c r="AA66" s="5"/>
      <c r="AB66" s="134"/>
    </row>
    <row r="67" spans="1:29" ht="14.25" customHeight="1">
      <c r="A67" s="100" t="s">
        <v>114</v>
      </c>
      <c r="Y67" s="56" t="s">
        <v>586</v>
      </c>
      <c r="Z67" s="5"/>
      <c r="AA67" s="5"/>
      <c r="AB67" s="134"/>
    </row>
    <row r="68" spans="1:29">
      <c r="A68" s="100" t="s">
        <v>48</v>
      </c>
      <c r="Y68" s="56" t="s">
        <v>587</v>
      </c>
      <c r="Z68" s="5"/>
      <c r="AA68" s="100"/>
      <c r="AB68" s="134"/>
    </row>
    <row r="69" spans="1:29">
      <c r="A69" s="100" t="s">
        <v>48</v>
      </c>
      <c r="Y69" s="56"/>
      <c r="Z69" s="5" t="s">
        <v>547</v>
      </c>
      <c r="AA69" s="100"/>
      <c r="AB69" s="134"/>
    </row>
    <row r="70" spans="1:29">
      <c r="A70" s="100" t="s">
        <v>167</v>
      </c>
      <c r="Y70" s="228"/>
      <c r="Z70" t="s">
        <v>588</v>
      </c>
      <c r="AA70" t="s">
        <v>588</v>
      </c>
      <c r="AB70" s="134"/>
      <c r="AC70" t="s">
        <v>588</v>
      </c>
    </row>
    <row r="71" spans="1:29">
      <c r="A71" s="100" t="s">
        <v>146</v>
      </c>
      <c r="AA71" t="s">
        <v>589</v>
      </c>
      <c r="AB71" s="134"/>
      <c r="AC71" t="s">
        <v>589</v>
      </c>
    </row>
    <row r="72" spans="1:29">
      <c r="A72" s="100" t="s">
        <v>83</v>
      </c>
      <c r="AA72" s="229" t="s">
        <v>590</v>
      </c>
      <c r="AB72" s="229" t="s">
        <v>590</v>
      </c>
    </row>
    <row r="73" spans="1:29">
      <c r="A73" s="100" t="s">
        <v>83</v>
      </c>
      <c r="AA73" s="229" t="s">
        <v>591</v>
      </c>
      <c r="AB73" s="229" t="s">
        <v>591</v>
      </c>
      <c r="AC73" s="229" t="s">
        <v>591</v>
      </c>
    </row>
    <row r="74" spans="1:29">
      <c r="A74" s="100" t="s">
        <v>83</v>
      </c>
      <c r="AA74" s="229" t="s">
        <v>592</v>
      </c>
      <c r="AB74" s="229" t="s">
        <v>592</v>
      </c>
    </row>
    <row r="75" spans="1:29">
      <c r="A75" s="100" t="s">
        <v>83</v>
      </c>
      <c r="AA75" s="229" t="s">
        <v>593</v>
      </c>
      <c r="AB75" s="229" t="s">
        <v>593</v>
      </c>
    </row>
    <row r="76" spans="1:29">
      <c r="A76" s="100" t="s">
        <v>8</v>
      </c>
      <c r="AA76" s="56" t="s">
        <v>594</v>
      </c>
      <c r="AB76" s="56" t="s">
        <v>594</v>
      </c>
      <c r="AC76" s="56" t="s">
        <v>594</v>
      </c>
    </row>
    <row r="77" spans="1:29">
      <c r="A77" s="100" t="s">
        <v>48</v>
      </c>
      <c r="AA77" s="56"/>
      <c r="AB77" t="s">
        <v>547</v>
      </c>
    </row>
    <row r="78" spans="1:29">
      <c r="A78" s="100" t="s">
        <v>114</v>
      </c>
      <c r="AA78" s="56"/>
      <c r="AB78" s="232" t="s">
        <v>595</v>
      </c>
    </row>
    <row r="79" spans="1:29">
      <c r="A79" s="100" t="s">
        <v>48</v>
      </c>
      <c r="AB79" s="233" t="s">
        <v>568</v>
      </c>
    </row>
    <row r="80" spans="1:29">
      <c r="A80" s="100" t="s">
        <v>48</v>
      </c>
      <c r="AB80" s="134"/>
      <c r="AC80" s="175" t="s">
        <v>596</v>
      </c>
    </row>
    <row r="81" spans="1:39">
      <c r="A81" s="100" t="s">
        <v>48</v>
      </c>
      <c r="AB81" s="134"/>
      <c r="AC81" s="175" t="s">
        <v>568</v>
      </c>
      <c r="AF81" t="s">
        <v>568</v>
      </c>
      <c r="AG81" t="s">
        <v>568</v>
      </c>
      <c r="AH81" t="s">
        <v>568</v>
      </c>
    </row>
    <row r="82" spans="1:39">
      <c r="A82" s="100" t="s">
        <v>146</v>
      </c>
      <c r="AB82" s="134"/>
      <c r="AC82" s="175" t="s">
        <v>597</v>
      </c>
    </row>
    <row r="83" spans="1:39">
      <c r="A83" s="100" t="s">
        <v>167</v>
      </c>
      <c r="AB83" s="134"/>
      <c r="AC83" s="175" t="s">
        <v>598</v>
      </c>
    </row>
    <row r="84" spans="1:39">
      <c r="A84" s="100" t="s">
        <v>114</v>
      </c>
      <c r="AB84" s="134"/>
      <c r="AC84" s="175"/>
      <c r="AF84" t="s">
        <v>599</v>
      </c>
      <c r="AG84" t="s">
        <v>599</v>
      </c>
      <c r="AH84" t="s">
        <v>599</v>
      </c>
      <c r="AM84" t="s">
        <v>599</v>
      </c>
    </row>
    <row r="85" spans="1:39">
      <c r="A85" s="100" t="s">
        <v>114</v>
      </c>
      <c r="AF85" t="s">
        <v>585</v>
      </c>
      <c r="AG85" t="s">
        <v>585</v>
      </c>
      <c r="AH85" t="s">
        <v>585</v>
      </c>
      <c r="AM85" t="s">
        <v>585</v>
      </c>
    </row>
    <row r="86" spans="1:39">
      <c r="A86" s="100" t="s">
        <v>114</v>
      </c>
      <c r="AF86" t="s">
        <v>600</v>
      </c>
      <c r="AG86" t="s">
        <v>600</v>
      </c>
      <c r="AH86" t="s">
        <v>600</v>
      </c>
    </row>
    <row r="87" spans="1:39">
      <c r="A87" s="100" t="s">
        <v>8</v>
      </c>
      <c r="AF87" t="s">
        <v>601</v>
      </c>
    </row>
    <row r="88" spans="1:39">
      <c r="A88" s="100" t="s">
        <v>202</v>
      </c>
      <c r="AF88" t="s">
        <v>602</v>
      </c>
    </row>
    <row r="89" spans="1:39">
      <c r="A89" s="100" t="s">
        <v>202</v>
      </c>
      <c r="AF89" t="s">
        <v>603</v>
      </c>
    </row>
    <row r="90" spans="1:39">
      <c r="A90" s="100" t="s">
        <v>48</v>
      </c>
      <c r="AF90" t="s">
        <v>604</v>
      </c>
    </row>
    <row r="91" spans="1:39">
      <c r="A91" s="100" t="s">
        <v>167</v>
      </c>
      <c r="AF91" t="s">
        <v>552</v>
      </c>
    </row>
    <row r="92" spans="1:39">
      <c r="A92" s="100" t="s">
        <v>202</v>
      </c>
      <c r="AG92" t="s">
        <v>603</v>
      </c>
      <c r="AH92" t="s">
        <v>603</v>
      </c>
    </row>
    <row r="93" spans="1:39">
      <c r="A93" s="100" t="s">
        <v>202</v>
      </c>
      <c r="AG93" t="s">
        <v>605</v>
      </c>
      <c r="AH93" t="s">
        <v>605</v>
      </c>
    </row>
    <row r="94" spans="1:39">
      <c r="A94" s="100" t="s">
        <v>146</v>
      </c>
      <c r="AG94" t="s">
        <v>503</v>
      </c>
      <c r="AH94" s="100"/>
    </row>
    <row r="95" spans="1:39">
      <c r="A95" s="100" t="s">
        <v>48</v>
      </c>
      <c r="AG95" t="s">
        <v>606</v>
      </c>
      <c r="AH95" s="100"/>
    </row>
    <row r="96" spans="1:39">
      <c r="A96" s="100" t="s">
        <v>167</v>
      </c>
      <c r="AG96" t="s">
        <v>607</v>
      </c>
      <c r="AH96" s="100"/>
    </row>
    <row r="97" spans="1:48">
      <c r="A97" s="100" t="s">
        <v>48</v>
      </c>
      <c r="AG97" t="s">
        <v>608</v>
      </c>
      <c r="AH97" s="100"/>
    </row>
    <row r="98" spans="1:48">
      <c r="A98" s="100" t="s">
        <v>146</v>
      </c>
      <c r="AG98" t="s">
        <v>609</v>
      </c>
      <c r="AH98" s="100"/>
    </row>
    <row r="99" spans="1:48">
      <c r="A99" s="100" t="s">
        <v>48</v>
      </c>
    </row>
    <row r="100" spans="1:48">
      <c r="A100" s="100" t="s">
        <v>146</v>
      </c>
      <c r="AH100" s="100"/>
      <c r="AM100" t="s">
        <v>610</v>
      </c>
      <c r="AN100" s="5"/>
      <c r="AV100" s="93"/>
    </row>
    <row r="101" spans="1:48">
      <c r="A101" s="100" t="s">
        <v>167</v>
      </c>
      <c r="AM101" t="s">
        <v>575</v>
      </c>
      <c r="AV101" s="93"/>
    </row>
    <row r="102" spans="1:48">
      <c r="A102" s="100" t="s">
        <v>167</v>
      </c>
      <c r="AM102" t="s">
        <v>611</v>
      </c>
      <c r="AV102" s="93"/>
    </row>
    <row r="103" spans="1:48">
      <c r="A103" s="100" t="s">
        <v>202</v>
      </c>
      <c r="AM103" s="269" t="s">
        <v>603</v>
      </c>
      <c r="AV103" s="93"/>
    </row>
    <row r="104" spans="1:48">
      <c r="A104" s="100" t="s">
        <v>48</v>
      </c>
    </row>
    <row r="105" spans="1:48">
      <c r="A105" s="100" t="s">
        <v>48</v>
      </c>
      <c r="AM105" t="s">
        <v>612</v>
      </c>
      <c r="AN105" t="s">
        <v>613</v>
      </c>
      <c r="AO105" t="s">
        <v>613</v>
      </c>
      <c r="AP105" t="s">
        <v>613</v>
      </c>
      <c r="AQ105" t="s">
        <v>613</v>
      </c>
      <c r="AV105" s="93"/>
    </row>
    <row r="106" spans="1:48">
      <c r="A106" s="100" t="s">
        <v>48</v>
      </c>
      <c r="AM106" s="269"/>
      <c r="AN106" t="s">
        <v>614</v>
      </c>
      <c r="AO106" t="s">
        <v>614</v>
      </c>
      <c r="AP106" t="s">
        <v>614</v>
      </c>
      <c r="AQ106" t="s">
        <v>614</v>
      </c>
      <c r="AT106" t="s">
        <v>614</v>
      </c>
      <c r="AU106" t="s">
        <v>614</v>
      </c>
      <c r="AV106" s="272"/>
    </row>
    <row r="107" spans="1:48">
      <c r="A107" s="100" t="s">
        <v>48</v>
      </c>
      <c r="AG107" t="s">
        <v>615</v>
      </c>
      <c r="AH107" s="100"/>
      <c r="AM107" t="s">
        <v>616</v>
      </c>
      <c r="AN107" t="s">
        <v>617</v>
      </c>
      <c r="AO107" t="s">
        <v>617</v>
      </c>
      <c r="AP107" t="s">
        <v>617</v>
      </c>
      <c r="AQ107" t="s">
        <v>617</v>
      </c>
      <c r="AT107" t="s">
        <v>617</v>
      </c>
      <c r="AU107" t="s">
        <v>617</v>
      </c>
    </row>
    <row r="108" spans="1:48" ht="15.75" customHeight="1">
      <c r="A108" s="100" t="s">
        <v>48</v>
      </c>
      <c r="AM108" s="269"/>
      <c r="AN108" t="s">
        <v>618</v>
      </c>
      <c r="AO108" t="s">
        <v>618</v>
      </c>
      <c r="AP108" t="s">
        <v>618</v>
      </c>
      <c r="AQ108" t="s">
        <v>618</v>
      </c>
      <c r="AT108" t="s">
        <v>618</v>
      </c>
      <c r="AU108" t="s">
        <v>618</v>
      </c>
    </row>
    <row r="109" spans="1:48">
      <c r="A109" s="100" t="s">
        <v>48</v>
      </c>
      <c r="AM109" s="269"/>
      <c r="AN109" t="s">
        <v>619</v>
      </c>
      <c r="AO109" t="s">
        <v>619</v>
      </c>
      <c r="AP109" t="s">
        <v>619</v>
      </c>
      <c r="AQ109" t="s">
        <v>619</v>
      </c>
      <c r="AT109" t="s">
        <v>619</v>
      </c>
      <c r="AU109" t="s">
        <v>619</v>
      </c>
    </row>
    <row r="110" spans="1:48">
      <c r="A110" s="100" t="s">
        <v>48</v>
      </c>
      <c r="AM110" s="269"/>
    </row>
    <row r="111" spans="1:48">
      <c r="A111" s="100" t="s">
        <v>48</v>
      </c>
      <c r="AM111" s="269"/>
    </row>
    <row r="112" spans="1:48">
      <c r="A112" s="100" t="s">
        <v>83</v>
      </c>
      <c r="AM112" s="269"/>
      <c r="AN112" t="s">
        <v>620</v>
      </c>
      <c r="AO112" t="s">
        <v>620</v>
      </c>
      <c r="AP112" t="s">
        <v>620</v>
      </c>
      <c r="AQ112" t="s">
        <v>620</v>
      </c>
      <c r="AT112" t="s">
        <v>620</v>
      </c>
      <c r="AU112" t="s">
        <v>620</v>
      </c>
    </row>
    <row r="113" spans="1:47">
      <c r="A113" s="100" t="s">
        <v>83</v>
      </c>
      <c r="AM113" s="269"/>
      <c r="AN113" t="s">
        <v>621</v>
      </c>
      <c r="AO113" t="s">
        <v>621</v>
      </c>
      <c r="AP113" t="s">
        <v>621</v>
      </c>
      <c r="AQ113" t="s">
        <v>621</v>
      </c>
      <c r="AT113" t="s">
        <v>621</v>
      </c>
      <c r="AU113" t="s">
        <v>621</v>
      </c>
    </row>
    <row r="114" spans="1:47">
      <c r="A114" s="100" t="s">
        <v>83</v>
      </c>
      <c r="AM114" s="269"/>
      <c r="AN114" t="s">
        <v>612</v>
      </c>
      <c r="AO114" t="s">
        <v>612</v>
      </c>
      <c r="AP114" t="s">
        <v>612</v>
      </c>
      <c r="AQ114" t="s">
        <v>612</v>
      </c>
    </row>
    <row r="115" spans="1:47">
      <c r="A115" s="100" t="s">
        <v>83</v>
      </c>
      <c r="AN115" s="220" t="s">
        <v>622</v>
      </c>
      <c r="AO115" s="220" t="s">
        <v>622</v>
      </c>
      <c r="AP115" s="220" t="s">
        <v>622</v>
      </c>
      <c r="AQ115" s="220" t="s">
        <v>622</v>
      </c>
      <c r="AT115" s="220" t="s">
        <v>622</v>
      </c>
      <c r="AU115" s="220" t="s">
        <v>622</v>
      </c>
    </row>
    <row r="116" spans="1:47">
      <c r="A116" s="100" t="s">
        <v>114</v>
      </c>
      <c r="AN116" s="220" t="s">
        <v>623</v>
      </c>
      <c r="AO116" s="220" t="s">
        <v>623</v>
      </c>
      <c r="AP116" s="220" t="s">
        <v>623</v>
      </c>
      <c r="AQ116" s="220" t="s">
        <v>623</v>
      </c>
      <c r="AT116" s="220" t="s">
        <v>623</v>
      </c>
    </row>
    <row r="117" spans="1:47">
      <c r="A117" s="100" t="s">
        <v>114</v>
      </c>
      <c r="AN117" s="220" t="s">
        <v>624</v>
      </c>
      <c r="AO117" s="220" t="s">
        <v>624</v>
      </c>
      <c r="AP117" s="220" t="s">
        <v>624</v>
      </c>
      <c r="AQ117" s="220" t="s">
        <v>624</v>
      </c>
      <c r="AT117" s="220" t="s">
        <v>625</v>
      </c>
      <c r="AU117" s="220" t="s">
        <v>625</v>
      </c>
    </row>
    <row r="118" spans="1:47">
      <c r="A118" s="100" t="s">
        <v>114</v>
      </c>
      <c r="AN118" s="220" t="s">
        <v>626</v>
      </c>
      <c r="AO118" s="220" t="s">
        <v>626</v>
      </c>
      <c r="AP118" s="220" t="s">
        <v>626</v>
      </c>
      <c r="AQ118" s="220" t="s">
        <v>626</v>
      </c>
      <c r="AT118" s="220" t="s">
        <v>626</v>
      </c>
    </row>
    <row r="119" spans="1:47">
      <c r="A119" s="100" t="s">
        <v>114</v>
      </c>
      <c r="AN119" s="220" t="s">
        <v>627</v>
      </c>
      <c r="AO119" s="220" t="s">
        <v>627</v>
      </c>
      <c r="AP119" s="220" t="s">
        <v>627</v>
      </c>
      <c r="AQ119" s="220" t="s">
        <v>627</v>
      </c>
      <c r="AT119" s="220" t="s">
        <v>628</v>
      </c>
      <c r="AU119" s="220" t="s">
        <v>628</v>
      </c>
    </row>
    <row r="120" spans="1:47">
      <c r="A120" s="100" t="s">
        <v>114</v>
      </c>
      <c r="AN120" s="220"/>
      <c r="AO120" s="220"/>
      <c r="AP120" s="220"/>
      <c r="AQ120" s="220"/>
      <c r="AT120" s="220"/>
      <c r="AU120" s="220"/>
    </row>
    <row r="121" spans="1:47">
      <c r="A121" s="100" t="s">
        <v>114</v>
      </c>
      <c r="AN121" s="220"/>
      <c r="AO121" s="220"/>
      <c r="AP121" s="220"/>
      <c r="AQ121" s="220"/>
      <c r="AT121" s="220"/>
      <c r="AU121" s="220"/>
    </row>
    <row r="122" spans="1:47">
      <c r="A122" s="100" t="s">
        <v>146</v>
      </c>
      <c r="AN122" s="220" t="s">
        <v>629</v>
      </c>
    </row>
    <row r="123" spans="1:47">
      <c r="A123" s="100" t="s">
        <v>146</v>
      </c>
      <c r="AN123" s="220" t="s">
        <v>630</v>
      </c>
      <c r="AO123" s="220" t="s">
        <v>630</v>
      </c>
      <c r="AP123" s="220" t="s">
        <v>630</v>
      </c>
      <c r="AQ123" s="220" t="s">
        <v>630</v>
      </c>
      <c r="AT123" s="220" t="s">
        <v>630</v>
      </c>
      <c r="AU123" s="220" t="s">
        <v>630</v>
      </c>
    </row>
    <row r="124" spans="1:47">
      <c r="A124" s="100" t="s">
        <v>146</v>
      </c>
      <c r="AN124" s="220" t="s">
        <v>631</v>
      </c>
      <c r="AO124" s="220" t="s">
        <v>631</v>
      </c>
      <c r="AP124" s="220" t="s">
        <v>631</v>
      </c>
      <c r="AQ124" s="220" t="s">
        <v>631</v>
      </c>
      <c r="AT124" s="220" t="s">
        <v>631</v>
      </c>
      <c r="AU124" s="220" t="s">
        <v>631</v>
      </c>
    </row>
    <row r="125" spans="1:47">
      <c r="A125" s="100" t="s">
        <v>167</v>
      </c>
      <c r="AN125" s="220" t="s">
        <v>632</v>
      </c>
      <c r="AO125" s="220" t="s">
        <v>632</v>
      </c>
      <c r="AP125" s="220" t="s">
        <v>632</v>
      </c>
      <c r="AQ125" s="220" t="s">
        <v>632</v>
      </c>
    </row>
    <row r="126" spans="1:47">
      <c r="A126" s="100" t="s">
        <v>146</v>
      </c>
      <c r="AN126" s="220"/>
      <c r="AO126" s="271"/>
      <c r="AQ126" s="5" t="s">
        <v>633</v>
      </c>
      <c r="AR126" s="100"/>
      <c r="AS126" s="100"/>
      <c r="AT126" s="5" t="s">
        <v>633</v>
      </c>
    </row>
    <row r="127" spans="1:47">
      <c r="A127" s="100" t="s">
        <v>146</v>
      </c>
      <c r="AN127" s="220" t="s">
        <v>634</v>
      </c>
      <c r="AO127" s="5"/>
      <c r="AP127" s="5"/>
    </row>
    <row r="128" spans="1:47">
      <c r="A128" s="100" t="s">
        <v>167</v>
      </c>
      <c r="AN128" s="220" t="s">
        <v>635</v>
      </c>
      <c r="AO128" s="220" t="s">
        <v>635</v>
      </c>
      <c r="AP128" s="220" t="s">
        <v>635</v>
      </c>
      <c r="AQ128" s="220" t="s">
        <v>635</v>
      </c>
      <c r="AT128" s="220" t="s">
        <v>635</v>
      </c>
      <c r="AU128" s="220" t="s">
        <v>635</v>
      </c>
    </row>
    <row r="129" spans="1:48">
      <c r="A129" s="100" t="s">
        <v>48</v>
      </c>
    </row>
    <row r="130" spans="1:48">
      <c r="A130" s="100" t="s">
        <v>48</v>
      </c>
    </row>
    <row r="131" spans="1:48">
      <c r="A131" s="100" t="s">
        <v>202</v>
      </c>
      <c r="AN131" s="220" t="s">
        <v>636</v>
      </c>
      <c r="AO131" s="5"/>
      <c r="AP131" s="5"/>
      <c r="AQ131" s="5"/>
    </row>
    <row r="132" spans="1:48">
      <c r="A132" s="100" t="s">
        <v>202</v>
      </c>
      <c r="AN132" s="220" t="s">
        <v>637</v>
      </c>
      <c r="AO132" s="5"/>
      <c r="AP132" s="5"/>
      <c r="AQ132" s="220" t="s">
        <v>637</v>
      </c>
      <c r="AR132" s="100"/>
      <c r="AT132" s="220" t="s">
        <v>637</v>
      </c>
      <c r="AU132" s="220" t="s">
        <v>637</v>
      </c>
    </row>
    <row r="133" spans="1:48">
      <c r="A133" s="100" t="s">
        <v>48</v>
      </c>
      <c r="AN133" s="220"/>
      <c r="AO133" s="271" t="s">
        <v>638</v>
      </c>
      <c r="AQ133" s="5"/>
      <c r="AR133" s="100"/>
      <c r="AV133" s="93"/>
    </row>
    <row r="134" spans="1:48" ht="16.5" customHeight="1">
      <c r="A134" s="100" t="s">
        <v>114</v>
      </c>
      <c r="AN134" s="220"/>
      <c r="AO134" s="271"/>
      <c r="AP134" t="s">
        <v>639</v>
      </c>
      <c r="AQ134" s="5"/>
      <c r="AR134" s="100"/>
      <c r="AV134" s="93"/>
    </row>
    <row r="135" spans="1:48">
      <c r="A135" s="100" t="s">
        <v>114</v>
      </c>
      <c r="AN135" s="220"/>
      <c r="AO135" s="271"/>
      <c r="AP135" t="s">
        <v>640</v>
      </c>
      <c r="AQ135" s="5"/>
      <c r="AR135" s="100"/>
      <c r="AS135" s="100"/>
      <c r="AV135" s="93"/>
    </row>
    <row r="136" spans="1:48">
      <c r="A136" s="100" t="s">
        <v>202</v>
      </c>
      <c r="AN136" s="220"/>
      <c r="AO136" s="271"/>
      <c r="AP136" t="s">
        <v>641</v>
      </c>
      <c r="AQ136" s="5"/>
      <c r="AR136" s="100"/>
      <c r="AS136" s="100"/>
      <c r="AV136" s="93"/>
    </row>
    <row r="137" spans="1:48">
      <c r="A137" s="100" t="s">
        <v>114</v>
      </c>
      <c r="AN137" s="220"/>
      <c r="AO137" s="271"/>
      <c r="AQ137" s="5" t="s">
        <v>642</v>
      </c>
      <c r="AR137" s="100"/>
      <c r="AS137" s="100"/>
      <c r="AV137" s="93"/>
    </row>
    <row r="138" spans="1:48">
      <c r="A138" s="100" t="s">
        <v>114</v>
      </c>
      <c r="AN138" s="220"/>
      <c r="AO138" s="271"/>
      <c r="AQ138" s="5" t="s">
        <v>643</v>
      </c>
      <c r="AR138" s="100"/>
      <c r="AS138" s="100"/>
      <c r="AU138" s="5" t="s">
        <v>643</v>
      </c>
      <c r="AV138" s="93"/>
    </row>
    <row r="139" spans="1:48">
      <c r="A139" s="100" t="s">
        <v>48</v>
      </c>
      <c r="AN139" s="220"/>
      <c r="AO139" s="271"/>
      <c r="AQ139" s="5">
        <v>0</v>
      </c>
      <c r="AR139" s="100"/>
      <c r="AS139" s="100"/>
      <c r="AV139" s="93"/>
    </row>
    <row r="140" spans="1:48">
      <c r="A140" s="100" t="s">
        <v>48</v>
      </c>
      <c r="AN140" s="220"/>
      <c r="AO140" s="271"/>
      <c r="AQ140" s="5" t="s">
        <v>644</v>
      </c>
      <c r="AR140" s="100"/>
      <c r="AS140" s="100"/>
      <c r="AV140" s="93"/>
    </row>
    <row r="141" spans="1:48">
      <c r="A141" s="100" t="s">
        <v>48</v>
      </c>
      <c r="AN141" s="220"/>
      <c r="AO141" s="271"/>
      <c r="AQ141" s="5" t="s">
        <v>596</v>
      </c>
      <c r="AR141" s="100"/>
      <c r="AS141" s="100"/>
      <c r="AT141" s="5"/>
      <c r="AV141" s="93"/>
    </row>
    <row r="142" spans="1:48">
      <c r="A142" s="100" t="s">
        <v>48</v>
      </c>
      <c r="AN142" s="220"/>
      <c r="AO142" s="271"/>
      <c r="AQ142" s="5" t="s">
        <v>645</v>
      </c>
      <c r="AR142" s="100"/>
      <c r="AS142" s="100"/>
      <c r="AT142" s="5"/>
      <c r="AV142" s="93"/>
    </row>
    <row r="143" spans="1:48">
      <c r="A143" s="100" t="s">
        <v>8</v>
      </c>
      <c r="AN143" s="220"/>
      <c r="AO143" s="271"/>
      <c r="AQ143" s="5" t="s">
        <v>594</v>
      </c>
      <c r="AR143" s="100"/>
      <c r="AS143" s="100"/>
      <c r="AT143" s="5"/>
      <c r="AV143" s="93"/>
    </row>
    <row r="144" spans="1:48">
      <c r="A144" s="100" t="s">
        <v>114</v>
      </c>
      <c r="AN144" s="220"/>
      <c r="AO144" s="271"/>
      <c r="AQ144" s="5" t="s">
        <v>646</v>
      </c>
      <c r="AR144" s="100"/>
      <c r="AS144" s="100"/>
      <c r="AT144" s="5"/>
      <c r="AV144" s="93"/>
    </row>
    <row r="145" spans="1:62">
      <c r="A145" s="100" t="s">
        <v>48</v>
      </c>
    </row>
    <row r="146" spans="1:62">
      <c r="A146" s="100" t="s">
        <v>167</v>
      </c>
      <c r="AN146" s="220"/>
      <c r="AO146" s="271"/>
      <c r="AQ146" s="5" t="s">
        <v>545</v>
      </c>
      <c r="AR146" s="100"/>
      <c r="AS146" s="100"/>
      <c r="AT146" s="5"/>
      <c r="AV146" s="100"/>
    </row>
    <row r="147" spans="1:62">
      <c r="A147" s="100" t="s">
        <v>167</v>
      </c>
      <c r="AN147" s="220"/>
      <c r="AO147" s="271"/>
      <c r="AQ147" s="5" t="s">
        <v>647</v>
      </c>
      <c r="AR147" s="100"/>
      <c r="AS147" s="100"/>
      <c r="AT147" s="5" t="s">
        <v>545</v>
      </c>
      <c r="AU147" s="5" t="s">
        <v>545</v>
      </c>
      <c r="AV147" s="5"/>
    </row>
    <row r="148" spans="1:62">
      <c r="A148" s="100" t="s">
        <v>48</v>
      </c>
      <c r="AN148" s="220"/>
      <c r="AO148" s="271"/>
      <c r="AQ148" s="5"/>
      <c r="AR148" s="100"/>
      <c r="AS148" s="100"/>
      <c r="AT148" s="5" t="s">
        <v>648</v>
      </c>
      <c r="AU148" s="5"/>
      <c r="AV148" s="93"/>
    </row>
    <row r="149" spans="1:62">
      <c r="A149" s="100" t="s">
        <v>167</v>
      </c>
      <c r="AN149" s="220"/>
      <c r="AO149" s="271"/>
      <c r="AQ149" s="5"/>
      <c r="AR149" s="100"/>
      <c r="AS149" s="100"/>
      <c r="AT149" s="5" t="s">
        <v>649</v>
      </c>
      <c r="AU149" s="5" t="s">
        <v>649</v>
      </c>
      <c r="AV149" s="93"/>
      <c r="BJ149" s="234"/>
    </row>
    <row r="150" spans="1:62">
      <c r="A150" s="100" t="s">
        <v>146</v>
      </c>
      <c r="AT150" s="93" t="s">
        <v>650</v>
      </c>
    </row>
    <row r="151" spans="1:62">
      <c r="A151" s="100" t="s">
        <v>202</v>
      </c>
      <c r="AT151" s="93" t="s">
        <v>651</v>
      </c>
    </row>
    <row r="152" spans="1:62">
      <c r="A152" s="100" t="s">
        <v>146</v>
      </c>
      <c r="AT152" s="93" t="s">
        <v>652</v>
      </c>
    </row>
    <row r="153" spans="1:62">
      <c r="A153" s="100" t="s">
        <v>83</v>
      </c>
      <c r="AT153" s="93"/>
      <c r="AU153" s="93" t="s">
        <v>653</v>
      </c>
    </row>
    <row r="154" spans="1:62">
      <c r="A154" s="100" t="s">
        <v>114</v>
      </c>
      <c r="AT154" s="93"/>
      <c r="AU154" s="93" t="s">
        <v>654</v>
      </c>
    </row>
    <row r="155" spans="1:62">
      <c r="A155" s="100" t="s">
        <v>48</v>
      </c>
      <c r="AT155" s="93"/>
      <c r="AU155" s="93" t="s">
        <v>655</v>
      </c>
    </row>
    <row r="156" spans="1:62">
      <c r="A156" s="100" t="s">
        <v>114</v>
      </c>
      <c r="AT156" s="93"/>
      <c r="AU156" s="93" t="s">
        <v>656</v>
      </c>
    </row>
    <row r="157" spans="1:62">
      <c r="A157" s="100" t="s">
        <v>114</v>
      </c>
      <c r="AT157" s="93"/>
      <c r="AU157" s="93" t="s">
        <v>657</v>
      </c>
    </row>
    <row r="158" spans="1:62" ht="16.5" customHeight="1">
      <c r="A158" s="100" t="s">
        <v>146</v>
      </c>
      <c r="AT158" s="93"/>
      <c r="AU158" s="93" t="s">
        <v>658</v>
      </c>
    </row>
    <row r="159" spans="1:62">
      <c r="A159" s="100" t="s">
        <v>167</v>
      </c>
      <c r="AT159" s="93"/>
      <c r="AU159" s="93" t="s">
        <v>659</v>
      </c>
      <c r="AV159" s="100"/>
    </row>
    <row r="160" spans="1:62">
      <c r="A160" s="100" t="s">
        <v>48</v>
      </c>
      <c r="AV160" s="305" t="s">
        <v>660</v>
      </c>
      <c r="AW160" s="305" t="s">
        <v>660</v>
      </c>
      <c r="AX160" s="305" t="s">
        <v>660</v>
      </c>
      <c r="BA160" s="305" t="s">
        <v>660</v>
      </c>
      <c r="BB160" s="305" t="s">
        <v>660</v>
      </c>
      <c r="BC160" s="305" t="s">
        <v>660</v>
      </c>
      <c r="BD160" s="376" t="s">
        <v>660</v>
      </c>
      <c r="BE160" s="376" t="s">
        <v>660</v>
      </c>
      <c r="BH160" s="376" t="s">
        <v>660</v>
      </c>
      <c r="BI160" s="376" t="s">
        <v>660</v>
      </c>
      <c r="BJ160" s="324" t="s">
        <v>661</v>
      </c>
    </row>
    <row r="161" spans="1:62">
      <c r="A161" s="100" t="s">
        <v>48</v>
      </c>
      <c r="AV161" s="93"/>
      <c r="AW161" s="93"/>
      <c r="BD161" s="134"/>
    </row>
    <row r="162" spans="1:62">
      <c r="A162" s="100" t="s">
        <v>48</v>
      </c>
      <c r="AV162" s="305" t="s">
        <v>662</v>
      </c>
      <c r="AW162" s="305" t="s">
        <v>662</v>
      </c>
      <c r="AX162" s="305" t="s">
        <v>662</v>
      </c>
      <c r="BA162" s="305" t="s">
        <v>662</v>
      </c>
      <c r="BB162" s="305" t="s">
        <v>662</v>
      </c>
      <c r="BC162" s="305" t="s">
        <v>662</v>
      </c>
      <c r="BD162" s="385" t="s">
        <v>662</v>
      </c>
      <c r="BE162" s="385" t="s">
        <v>662</v>
      </c>
      <c r="BH162" s="385" t="s">
        <v>662</v>
      </c>
      <c r="BI162" s="385" t="s">
        <v>662</v>
      </c>
      <c r="BJ162" s="367" t="s">
        <v>663</v>
      </c>
    </row>
    <row r="163" spans="1:62">
      <c r="A163" s="100" t="s">
        <v>48</v>
      </c>
      <c r="AV163" s="305" t="s">
        <v>664</v>
      </c>
      <c r="AW163" s="305" t="s">
        <v>664</v>
      </c>
      <c r="AX163" s="305" t="s">
        <v>664</v>
      </c>
      <c r="BA163" s="305" t="s">
        <v>664</v>
      </c>
      <c r="BB163" s="305" t="s">
        <v>664</v>
      </c>
      <c r="BC163" s="305" t="s">
        <v>664</v>
      </c>
      <c r="BD163" s="305" t="s">
        <v>664</v>
      </c>
      <c r="BE163" s="305" t="s">
        <v>664</v>
      </c>
      <c r="BH163" s="305" t="s">
        <v>664</v>
      </c>
      <c r="BI163" s="305" t="s">
        <v>664</v>
      </c>
      <c r="BJ163" s="324" t="s">
        <v>664</v>
      </c>
    </row>
    <row r="164" spans="1:62">
      <c r="A164" s="100" t="s">
        <v>48</v>
      </c>
      <c r="AV164" s="306" t="s">
        <v>665</v>
      </c>
      <c r="AW164" s="306" t="s">
        <v>665</v>
      </c>
      <c r="AX164" s="306" t="s">
        <v>665</v>
      </c>
      <c r="BA164" s="306" t="s">
        <v>665</v>
      </c>
      <c r="BB164" s="306" t="s">
        <v>665</v>
      </c>
      <c r="BC164" s="306" t="s">
        <v>665</v>
      </c>
      <c r="BD164" s="306" t="s">
        <v>665</v>
      </c>
      <c r="BE164" s="306" t="s">
        <v>665</v>
      </c>
      <c r="BH164" s="306" t="s">
        <v>665</v>
      </c>
      <c r="BI164" s="306" t="s">
        <v>665</v>
      </c>
      <c r="BJ164" s="328" t="s">
        <v>665</v>
      </c>
    </row>
    <row r="165" spans="1:62">
      <c r="A165" s="100" t="s">
        <v>48</v>
      </c>
      <c r="AV165" s="307" t="s">
        <v>666</v>
      </c>
      <c r="AW165" s="307" t="s">
        <v>666</v>
      </c>
      <c r="AX165" s="307" t="s">
        <v>666</v>
      </c>
      <c r="BD165" s="307" t="s">
        <v>666</v>
      </c>
      <c r="BE165" s="307" t="s">
        <v>666</v>
      </c>
      <c r="BI165" s="307" t="s">
        <v>666</v>
      </c>
    </row>
    <row r="166" spans="1:62">
      <c r="A166" s="100" t="s">
        <v>48</v>
      </c>
      <c r="AV166" s="307"/>
      <c r="AW166" s="93" t="s">
        <v>667</v>
      </c>
      <c r="BE166" s="134"/>
    </row>
    <row r="167" spans="1:62">
      <c r="A167" s="100" t="s">
        <v>48</v>
      </c>
      <c r="AV167" s="307"/>
      <c r="AW167" s="93"/>
      <c r="AX167" s="93" t="s">
        <v>668</v>
      </c>
      <c r="BE167" s="134"/>
    </row>
    <row r="168" spans="1:62">
      <c r="A168" s="100" t="s">
        <v>48</v>
      </c>
      <c r="AV168" s="307"/>
      <c r="AW168" s="93"/>
      <c r="AX168" s="93"/>
      <c r="BA168" t="s">
        <v>669</v>
      </c>
      <c r="BB168" s="93" t="s">
        <v>669</v>
      </c>
      <c r="BE168" s="134"/>
    </row>
    <row r="169" spans="1:62">
      <c r="A169" s="100" t="s">
        <v>48</v>
      </c>
      <c r="AV169" s="307"/>
      <c r="AW169" s="93"/>
      <c r="AX169" s="93"/>
      <c r="BB169" s="93" t="s">
        <v>670</v>
      </c>
      <c r="BE169" s="93" t="s">
        <v>670</v>
      </c>
    </row>
    <row r="170" spans="1:62">
      <c r="A170" s="100" t="s">
        <v>48</v>
      </c>
      <c r="AV170" s="307"/>
      <c r="AW170" s="93"/>
      <c r="AX170" s="93"/>
      <c r="BB170" s="93" t="s">
        <v>569</v>
      </c>
      <c r="BE170" s="93" t="s">
        <v>569</v>
      </c>
    </row>
    <row r="171" spans="1:62">
      <c r="A171" s="100" t="s">
        <v>48</v>
      </c>
      <c r="AV171" s="307"/>
      <c r="AW171" s="93"/>
      <c r="AX171" s="93"/>
      <c r="BB171" s="93"/>
      <c r="BC171" s="93" t="s">
        <v>606</v>
      </c>
    </row>
    <row r="172" spans="1:62">
      <c r="A172" s="100" t="s">
        <v>48</v>
      </c>
      <c r="AV172" s="307"/>
      <c r="AW172" s="93"/>
      <c r="AX172" s="93"/>
      <c r="BB172" s="93"/>
      <c r="BC172" s="93"/>
      <c r="BD172" s="93" t="s">
        <v>671</v>
      </c>
      <c r="BI172" s="93" t="s">
        <v>671</v>
      </c>
    </row>
    <row r="173" spans="1:62">
      <c r="A173" s="100" t="s">
        <v>48</v>
      </c>
      <c r="AV173" s="307"/>
      <c r="AW173" s="93"/>
      <c r="AX173" s="93"/>
      <c r="BB173" s="93"/>
      <c r="BC173" s="93"/>
      <c r="BD173" s="93" t="s">
        <v>672</v>
      </c>
      <c r="BE173" s="93" t="s">
        <v>672</v>
      </c>
      <c r="BI173" s="93" t="s">
        <v>672</v>
      </c>
    </row>
    <row r="174" spans="1:62">
      <c r="A174" s="5" t="s">
        <v>48</v>
      </c>
      <c r="AV174" s="307"/>
      <c r="AW174" s="93"/>
      <c r="AX174" s="93"/>
      <c r="BB174" s="93"/>
      <c r="BC174" s="93"/>
      <c r="BD174" s="93"/>
      <c r="BE174" s="93"/>
      <c r="BI174" s="93" t="s">
        <v>673</v>
      </c>
    </row>
    <row r="175" spans="1:62">
      <c r="A175" s="100" t="s">
        <v>48</v>
      </c>
      <c r="AV175" s="307"/>
      <c r="AW175" s="93"/>
      <c r="AX175" s="93"/>
      <c r="BB175" s="93"/>
      <c r="BC175" s="93"/>
      <c r="BD175" s="93"/>
      <c r="BE175" s="93"/>
      <c r="BI175" s="305" t="s">
        <v>644</v>
      </c>
      <c r="BJ175" s="324" t="s">
        <v>644</v>
      </c>
    </row>
    <row r="176" spans="1:62">
      <c r="A176" s="100" t="s">
        <v>83</v>
      </c>
      <c r="AV176" s="305" t="s">
        <v>674</v>
      </c>
      <c r="AW176" s="305" t="s">
        <v>674</v>
      </c>
      <c r="AX176" s="305" t="s">
        <v>674</v>
      </c>
      <c r="BA176" s="305" t="s">
        <v>674</v>
      </c>
      <c r="BB176" s="305" t="s">
        <v>674</v>
      </c>
      <c r="BC176" s="305" t="s">
        <v>674</v>
      </c>
      <c r="BD176" s="305" t="s">
        <v>674</v>
      </c>
      <c r="BE176" s="305" t="s">
        <v>674</v>
      </c>
      <c r="BH176" s="305" t="s">
        <v>674</v>
      </c>
      <c r="BI176" s="305" t="s">
        <v>674</v>
      </c>
      <c r="BJ176" s="324" t="s">
        <v>674</v>
      </c>
    </row>
    <row r="177" spans="1:62">
      <c r="A177" s="100" t="s">
        <v>83</v>
      </c>
      <c r="AV177" s="93" t="s">
        <v>675</v>
      </c>
      <c r="AW177" s="93" t="s">
        <v>675</v>
      </c>
      <c r="AX177" s="93" t="s">
        <v>675</v>
      </c>
      <c r="BA177" s="93" t="s">
        <v>675</v>
      </c>
      <c r="BB177" s="93" t="s">
        <v>675</v>
      </c>
      <c r="BC177" s="93" t="s">
        <v>675</v>
      </c>
      <c r="BD177" s="93" t="s">
        <v>675</v>
      </c>
      <c r="BE177" s="93" t="s">
        <v>675</v>
      </c>
      <c r="BH177" s="93" t="s">
        <v>675</v>
      </c>
      <c r="BI177" s="93" t="s">
        <v>675</v>
      </c>
      <c r="BJ177" s="134"/>
    </row>
    <row r="178" spans="1:62">
      <c r="A178" s="100" t="s">
        <v>83</v>
      </c>
      <c r="AV178" t="s">
        <v>676</v>
      </c>
      <c r="AX178" s="93" t="s">
        <v>676</v>
      </c>
      <c r="BB178" s="93" t="s">
        <v>676</v>
      </c>
      <c r="BD178" s="386" t="s">
        <v>676</v>
      </c>
      <c r="BE178" s="386" t="s">
        <v>676</v>
      </c>
      <c r="BI178" s="386" t="s">
        <v>676</v>
      </c>
      <c r="BJ178" s="134"/>
    </row>
    <row r="179" spans="1:62">
      <c r="A179" s="100" t="s">
        <v>83</v>
      </c>
      <c r="AV179" s="307"/>
      <c r="AW179" s="93" t="s">
        <v>677</v>
      </c>
      <c r="AX179" s="5"/>
      <c r="BJ179" s="134"/>
    </row>
    <row r="180" spans="1:62">
      <c r="A180" s="100" t="s">
        <v>83</v>
      </c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306" t="s">
        <v>108</v>
      </c>
      <c r="AW180" s="93"/>
      <c r="AX180" s="5"/>
      <c r="BJ180" s="134"/>
    </row>
    <row r="181" spans="1:62">
      <c r="A181" s="100" t="s">
        <v>83</v>
      </c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306"/>
      <c r="AW181" s="93"/>
      <c r="AX181" s="60" t="s">
        <v>571</v>
      </c>
      <c r="BJ181" s="134"/>
    </row>
    <row r="182" spans="1:62">
      <c r="A182" s="100" t="s">
        <v>83</v>
      </c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  <c r="P182" s="272"/>
      <c r="Q182" s="272"/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  <c r="AB182" s="272"/>
      <c r="AC182" s="272"/>
      <c r="AD182" s="272"/>
      <c r="AE182" s="272"/>
      <c r="AF182" s="272"/>
      <c r="AG182" s="272"/>
      <c r="AH182" s="272"/>
      <c r="AI182" s="272"/>
      <c r="AJ182" s="272"/>
      <c r="AK182" s="272"/>
      <c r="AL182" s="272"/>
      <c r="AM182" s="272"/>
      <c r="AN182" s="272"/>
      <c r="AO182" s="272"/>
      <c r="AP182" s="272"/>
      <c r="AQ182" s="272"/>
      <c r="AR182" s="272"/>
      <c r="AS182" s="272"/>
      <c r="AT182" s="272"/>
      <c r="AU182" s="272"/>
      <c r="AV182" s="328"/>
      <c r="AW182" s="272"/>
      <c r="AX182" s="323"/>
      <c r="AY182" s="134"/>
      <c r="AZ182" s="134"/>
      <c r="BA182" t="s">
        <v>678</v>
      </c>
      <c r="BJ182" s="134"/>
    </row>
    <row r="183" spans="1:62">
      <c r="A183" s="100" t="s">
        <v>83</v>
      </c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  <c r="P183" s="272"/>
      <c r="Q183" s="272"/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  <c r="AB183" s="272"/>
      <c r="AC183" s="272"/>
      <c r="AD183" s="272"/>
      <c r="AE183" s="272"/>
      <c r="AF183" s="272"/>
      <c r="AG183" s="272"/>
      <c r="AH183" s="272"/>
      <c r="AI183" s="272"/>
      <c r="AJ183" s="272"/>
      <c r="AK183" s="272"/>
      <c r="AL183" s="272"/>
      <c r="AM183" s="272"/>
      <c r="AN183" s="272"/>
      <c r="AO183" s="272"/>
      <c r="AP183" s="272"/>
      <c r="AQ183" s="272"/>
      <c r="AR183" s="272"/>
      <c r="AS183" s="272"/>
      <c r="AT183" s="272"/>
      <c r="AU183" s="272"/>
      <c r="AV183" s="328"/>
      <c r="AW183" s="272"/>
      <c r="AX183" s="323"/>
      <c r="AY183" s="134"/>
      <c r="AZ183" s="134"/>
      <c r="BE183" t="s">
        <v>679</v>
      </c>
      <c r="BJ183" s="134"/>
    </row>
    <row r="184" spans="1:62">
      <c r="A184" s="100" t="s">
        <v>83</v>
      </c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  <c r="P184" s="272"/>
      <c r="Q184" s="272"/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  <c r="AB184" s="272"/>
      <c r="AC184" s="272"/>
      <c r="AD184" s="272"/>
      <c r="AE184" s="272"/>
      <c r="AF184" s="272"/>
      <c r="AG184" s="272"/>
      <c r="AH184" s="272"/>
      <c r="AI184" s="272"/>
      <c r="AJ184" s="272"/>
      <c r="AK184" s="272"/>
      <c r="AL184" s="272"/>
      <c r="AM184" s="272"/>
      <c r="AN184" s="272"/>
      <c r="AO184" s="272"/>
      <c r="AP184" s="272"/>
      <c r="AQ184" s="272"/>
      <c r="AR184" s="272"/>
      <c r="AS184" s="272"/>
      <c r="AT184" s="272"/>
      <c r="AU184" s="272"/>
      <c r="AV184" s="328"/>
      <c r="AW184" s="272"/>
      <c r="AX184" s="323"/>
      <c r="AY184" s="134"/>
      <c r="AZ184" s="134"/>
      <c r="BH184" t="s">
        <v>680</v>
      </c>
      <c r="BJ184" s="134"/>
    </row>
    <row r="185" spans="1:62">
      <c r="A185" s="100" t="s">
        <v>83</v>
      </c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2"/>
      <c r="N185" s="272"/>
      <c r="O185" s="272"/>
      <c r="P185" s="272"/>
      <c r="Q185" s="272"/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  <c r="AB185" s="272"/>
      <c r="AC185" s="272"/>
      <c r="AD185" s="272"/>
      <c r="AE185" s="272"/>
      <c r="AF185" s="272"/>
      <c r="AG185" s="272"/>
      <c r="AH185" s="272"/>
      <c r="AI185" s="272"/>
      <c r="AJ185" s="272"/>
      <c r="AK185" s="272"/>
      <c r="AL185" s="272"/>
      <c r="AM185" s="272"/>
      <c r="AN185" s="272"/>
      <c r="AO185" s="272"/>
      <c r="AP185" s="272"/>
      <c r="AQ185" s="272"/>
      <c r="AR185" s="272"/>
      <c r="AS185" s="272"/>
      <c r="AT185" s="272"/>
      <c r="AU185" s="272"/>
      <c r="AV185" s="328"/>
      <c r="AW185" s="272"/>
      <c r="AX185" s="323"/>
      <c r="AY185" s="134"/>
      <c r="AZ185" s="134"/>
      <c r="BD185" s="93" t="s">
        <v>389</v>
      </c>
      <c r="BE185" s="93" t="s">
        <v>389</v>
      </c>
      <c r="BJ185" s="134"/>
    </row>
    <row r="186" spans="1:62">
      <c r="A186" s="100" t="s">
        <v>83</v>
      </c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  <c r="P186" s="272"/>
      <c r="Q186" s="272"/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  <c r="AB186" s="272"/>
      <c r="AC186" s="272"/>
      <c r="AD186" s="272"/>
      <c r="AE186" s="272"/>
      <c r="AF186" s="272"/>
      <c r="AG186" s="272"/>
      <c r="AH186" s="272"/>
      <c r="AI186" s="272"/>
      <c r="AJ186" s="272"/>
      <c r="AK186" s="272"/>
      <c r="AL186" s="272"/>
      <c r="AM186" s="272"/>
      <c r="AN186" s="272"/>
      <c r="AO186" s="272"/>
      <c r="AP186" s="272"/>
      <c r="AQ186" s="272"/>
      <c r="AR186" s="272"/>
      <c r="AS186" s="272"/>
      <c r="AT186" s="272"/>
      <c r="AU186" s="272"/>
      <c r="AV186" s="328"/>
      <c r="AW186" s="272"/>
      <c r="AX186" s="323"/>
      <c r="AY186" s="134"/>
      <c r="AZ186" s="134"/>
      <c r="BD186" s="93"/>
      <c r="BE186" s="93" t="s">
        <v>681</v>
      </c>
      <c r="BJ186" s="134"/>
    </row>
    <row r="187" spans="1:62">
      <c r="A187" s="100" t="s">
        <v>83</v>
      </c>
      <c r="AV187" s="308" t="s">
        <v>622</v>
      </c>
      <c r="AW187" s="308" t="s">
        <v>622</v>
      </c>
      <c r="AX187" s="308" t="s">
        <v>622</v>
      </c>
      <c r="BA187" s="308" t="s">
        <v>622</v>
      </c>
      <c r="BB187" s="308" t="s">
        <v>622</v>
      </c>
      <c r="BC187" s="308" t="s">
        <v>622</v>
      </c>
      <c r="BD187" s="308" t="s">
        <v>622</v>
      </c>
      <c r="BE187" s="308" t="s">
        <v>622</v>
      </c>
      <c r="BH187" s="418" t="s">
        <v>622</v>
      </c>
      <c r="BI187" s="418" t="s">
        <v>622</v>
      </c>
      <c r="BJ187" s="394" t="s">
        <v>622</v>
      </c>
    </row>
    <row r="188" spans="1:62">
      <c r="A188" s="100" t="s">
        <v>83</v>
      </c>
      <c r="AV188" s="310"/>
      <c r="AW188" s="310"/>
      <c r="AX188" s="310"/>
      <c r="BA188" s="310"/>
      <c r="BB188" s="310"/>
      <c r="BC188" s="310"/>
      <c r="BD188" s="310"/>
      <c r="BE188" s="310"/>
      <c r="BH188" s="309"/>
      <c r="BI188" s="309"/>
      <c r="BJ188" s="134"/>
    </row>
    <row r="189" spans="1:62">
      <c r="A189" s="100" t="s">
        <v>83</v>
      </c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  <c r="P189" s="272"/>
      <c r="Q189" s="272"/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  <c r="AB189" s="272"/>
      <c r="AC189" s="272"/>
      <c r="AD189" s="272"/>
      <c r="AE189" s="272"/>
      <c r="AF189" s="272"/>
      <c r="AG189" s="272"/>
      <c r="AH189" s="272"/>
      <c r="AI189" s="272"/>
      <c r="AJ189" s="272"/>
      <c r="AK189" s="272"/>
      <c r="AL189" s="272"/>
      <c r="AM189" s="272"/>
      <c r="AN189" s="272"/>
      <c r="AO189" s="272"/>
      <c r="AP189" s="272"/>
      <c r="AQ189" s="272"/>
      <c r="AR189" s="272"/>
      <c r="AS189" s="272"/>
      <c r="AT189" s="272"/>
      <c r="AU189" s="272"/>
      <c r="AV189" s="328"/>
      <c r="AW189" s="272"/>
      <c r="AX189" s="323"/>
      <c r="AY189" s="134"/>
      <c r="AZ189" s="134"/>
      <c r="BD189" s="93"/>
      <c r="BE189" s="93"/>
      <c r="BH189" s="305" t="s">
        <v>682</v>
      </c>
      <c r="BI189" s="305" t="s">
        <v>682</v>
      </c>
      <c r="BJ189" s="324" t="s">
        <v>682</v>
      </c>
    </row>
    <row r="190" spans="1:62">
      <c r="A190" s="100" t="s">
        <v>114</v>
      </c>
      <c r="AV190" s="308" t="s">
        <v>683</v>
      </c>
      <c r="AW190" s="308" t="s">
        <v>683</v>
      </c>
      <c r="AX190" s="308" t="s">
        <v>683</v>
      </c>
      <c r="BA190" s="308" t="s">
        <v>683</v>
      </c>
      <c r="BB190" s="308" t="s">
        <v>683</v>
      </c>
      <c r="BC190" s="308" t="s">
        <v>683</v>
      </c>
      <c r="BD190" s="308" t="s">
        <v>683</v>
      </c>
      <c r="BE190" s="308" t="s">
        <v>683</v>
      </c>
      <c r="BH190" s="308" t="s">
        <v>683</v>
      </c>
      <c r="BI190" s="308" t="s">
        <v>683</v>
      </c>
      <c r="BJ190" s="325" t="s">
        <v>683</v>
      </c>
    </row>
    <row r="191" spans="1:62">
      <c r="A191" s="100" t="s">
        <v>114</v>
      </c>
      <c r="AV191" s="308" t="s">
        <v>625</v>
      </c>
      <c r="AW191" s="308" t="s">
        <v>625</v>
      </c>
      <c r="AX191" s="308" t="s">
        <v>625</v>
      </c>
      <c r="BA191" s="308" t="s">
        <v>625</v>
      </c>
      <c r="BB191" s="308" t="s">
        <v>625</v>
      </c>
      <c r="BC191" s="308" t="s">
        <v>625</v>
      </c>
      <c r="BD191" s="308" t="s">
        <v>625</v>
      </c>
      <c r="BE191" s="308" t="s">
        <v>625</v>
      </c>
      <c r="BH191" s="308" t="s">
        <v>625</v>
      </c>
      <c r="BI191" s="308" t="s">
        <v>625</v>
      </c>
      <c r="BJ191" s="325" t="s">
        <v>625</v>
      </c>
    </row>
    <row r="192" spans="1:62">
      <c r="A192" s="100" t="s">
        <v>114</v>
      </c>
      <c r="AV192" s="308" t="s">
        <v>684</v>
      </c>
      <c r="AW192" s="308" t="s">
        <v>684</v>
      </c>
      <c r="AX192" s="308" t="s">
        <v>684</v>
      </c>
      <c r="BA192" s="308" t="s">
        <v>684</v>
      </c>
      <c r="BB192" s="308" t="s">
        <v>684</v>
      </c>
      <c r="BC192" s="308" t="s">
        <v>684</v>
      </c>
      <c r="BD192" s="308" t="s">
        <v>684</v>
      </c>
      <c r="BE192" s="308" t="s">
        <v>684</v>
      </c>
      <c r="BH192" s="308" t="s">
        <v>684</v>
      </c>
      <c r="BI192" s="308" t="s">
        <v>684</v>
      </c>
      <c r="BJ192" s="325" t="s">
        <v>684</v>
      </c>
    </row>
    <row r="193" spans="1:62">
      <c r="A193" s="100" t="s">
        <v>114</v>
      </c>
      <c r="AV193" s="308" t="s">
        <v>628</v>
      </c>
      <c r="AW193" s="308" t="s">
        <v>628</v>
      </c>
      <c r="AX193" s="308" t="s">
        <v>628</v>
      </c>
      <c r="BA193" s="308" t="s">
        <v>628</v>
      </c>
      <c r="BB193" s="308" t="s">
        <v>628</v>
      </c>
      <c r="BC193" s="308" t="s">
        <v>628</v>
      </c>
      <c r="BD193" s="308" t="s">
        <v>628</v>
      </c>
      <c r="BE193" s="308" t="s">
        <v>628</v>
      </c>
      <c r="BH193" s="308" t="s">
        <v>628</v>
      </c>
      <c r="BI193" s="308" t="s">
        <v>628</v>
      </c>
      <c r="BJ193" s="325" t="s">
        <v>628</v>
      </c>
    </row>
    <row r="194" spans="1:62">
      <c r="A194" s="100" t="s">
        <v>114</v>
      </c>
      <c r="AV194" s="309" t="s">
        <v>643</v>
      </c>
      <c r="AW194" s="309" t="s">
        <v>643</v>
      </c>
      <c r="AX194" s="309" t="s">
        <v>643</v>
      </c>
      <c r="BD194" s="309" t="s">
        <v>643</v>
      </c>
      <c r="BE194" s="309" t="s">
        <v>643</v>
      </c>
      <c r="BI194" s="309" t="s">
        <v>643</v>
      </c>
      <c r="BJ194" s="134"/>
    </row>
    <row r="195" spans="1:62">
      <c r="A195" s="100" t="s">
        <v>114</v>
      </c>
      <c r="AV195" s="309"/>
      <c r="AW195" s="310" t="s">
        <v>685</v>
      </c>
      <c r="AX195" s="309"/>
      <c r="BJ195" s="134"/>
    </row>
    <row r="196" spans="1:62">
      <c r="A196" s="100" t="s">
        <v>114</v>
      </c>
      <c r="AV196" s="310" t="s">
        <v>686</v>
      </c>
      <c r="AW196" s="310" t="s">
        <v>686</v>
      </c>
      <c r="AX196" s="310" t="s">
        <v>686</v>
      </c>
      <c r="BJ196" s="134"/>
    </row>
    <row r="197" spans="1:62">
      <c r="A197" s="100" t="s">
        <v>114</v>
      </c>
      <c r="AV197" s="310"/>
      <c r="AW197" s="310" t="s">
        <v>687</v>
      </c>
      <c r="AX197" s="310"/>
      <c r="BJ197" s="134"/>
    </row>
    <row r="198" spans="1:62">
      <c r="A198" s="100" t="s">
        <v>114</v>
      </c>
      <c r="AV198" s="310"/>
      <c r="AW198" s="310"/>
      <c r="AX198" s="310"/>
      <c r="BA198" s="93" t="s">
        <v>688</v>
      </c>
      <c r="BB198" s="93" t="s">
        <v>688</v>
      </c>
      <c r="BC198" s="93" t="s">
        <v>688</v>
      </c>
      <c r="BD198" s="93" t="s">
        <v>688</v>
      </c>
      <c r="BE198" s="93" t="s">
        <v>688</v>
      </c>
      <c r="BJ198" s="134"/>
    </row>
    <row r="199" spans="1:62">
      <c r="A199" s="100" t="s">
        <v>114</v>
      </c>
      <c r="AV199" s="310"/>
      <c r="AW199" s="310"/>
      <c r="AX199" s="310"/>
      <c r="BA199" s="93" t="s">
        <v>599</v>
      </c>
      <c r="BJ199" s="134"/>
    </row>
    <row r="200" spans="1:62">
      <c r="A200" s="100" t="s">
        <v>114</v>
      </c>
      <c r="AV200" s="310"/>
      <c r="AW200" s="310"/>
      <c r="AX200" s="310"/>
      <c r="BA200" s="93"/>
      <c r="BB200" s="93" t="s">
        <v>689</v>
      </c>
      <c r="BC200" s="93" t="s">
        <v>689</v>
      </c>
      <c r="BD200" s="93" t="s">
        <v>689</v>
      </c>
      <c r="BE200" s="93" t="s">
        <v>689</v>
      </c>
      <c r="BJ200" s="134"/>
    </row>
    <row r="201" spans="1:62">
      <c r="A201" s="100" t="s">
        <v>114</v>
      </c>
      <c r="AV201" s="310"/>
      <c r="AW201" s="310"/>
      <c r="AX201" s="310"/>
      <c r="BA201" s="93"/>
      <c r="BB201" s="93"/>
      <c r="BC201" s="93" t="s">
        <v>690</v>
      </c>
      <c r="BJ201" s="134"/>
    </row>
    <row r="202" spans="1:62">
      <c r="A202" s="100" t="s">
        <v>146</v>
      </c>
      <c r="AV202" s="308" t="s">
        <v>691</v>
      </c>
      <c r="AW202" s="308" t="s">
        <v>691</v>
      </c>
      <c r="AX202" s="308" t="s">
        <v>691</v>
      </c>
      <c r="BA202" s="308" t="s">
        <v>691</v>
      </c>
      <c r="BB202" s="308" t="s">
        <v>691</v>
      </c>
      <c r="BC202" s="308" t="s">
        <v>691</v>
      </c>
      <c r="BD202" s="308" t="s">
        <v>691</v>
      </c>
      <c r="BE202" s="308" t="s">
        <v>691</v>
      </c>
      <c r="BH202" s="308" t="s">
        <v>691</v>
      </c>
      <c r="BI202" s="308" t="s">
        <v>691</v>
      </c>
      <c r="BJ202" s="325" t="s">
        <v>691</v>
      </c>
    </row>
    <row r="203" spans="1:62">
      <c r="A203" s="100" t="s">
        <v>146</v>
      </c>
      <c r="AV203" s="308" t="s">
        <v>692</v>
      </c>
      <c r="AW203" s="308" t="s">
        <v>692</v>
      </c>
      <c r="AX203" s="308" t="s">
        <v>692</v>
      </c>
      <c r="BA203" s="308" t="s">
        <v>692</v>
      </c>
      <c r="BB203" s="308" t="s">
        <v>692</v>
      </c>
      <c r="BC203" s="308" t="s">
        <v>692</v>
      </c>
      <c r="BD203" s="308" t="s">
        <v>692</v>
      </c>
      <c r="BE203" s="308" t="s">
        <v>692</v>
      </c>
      <c r="BH203" s="308" t="s">
        <v>692</v>
      </c>
      <c r="BI203" s="308" t="s">
        <v>692</v>
      </c>
      <c r="BJ203" s="325" t="s">
        <v>692</v>
      </c>
    </row>
    <row r="204" spans="1:62">
      <c r="A204" s="100" t="s">
        <v>146</v>
      </c>
      <c r="AV204" s="308" t="s">
        <v>693</v>
      </c>
      <c r="AW204" s="308" t="s">
        <v>693</v>
      </c>
      <c r="AX204" s="308" t="s">
        <v>693</v>
      </c>
      <c r="BA204" s="308" t="s">
        <v>693</v>
      </c>
      <c r="BB204" s="308" t="s">
        <v>693</v>
      </c>
      <c r="BC204" s="308" t="s">
        <v>693</v>
      </c>
      <c r="BD204" s="308" t="s">
        <v>693</v>
      </c>
      <c r="BE204" s="308" t="s">
        <v>693</v>
      </c>
      <c r="BH204" s="308" t="s">
        <v>693</v>
      </c>
      <c r="BI204" s="308" t="s">
        <v>693</v>
      </c>
      <c r="BJ204" s="325" t="s">
        <v>693</v>
      </c>
    </row>
    <row r="205" spans="1:62">
      <c r="A205" s="100" t="s">
        <v>146</v>
      </c>
      <c r="AV205" s="164" t="s">
        <v>633</v>
      </c>
      <c r="BJ205" s="134"/>
    </row>
    <row r="206" spans="1:62">
      <c r="A206" s="100" t="s">
        <v>146</v>
      </c>
      <c r="AV206" s="5"/>
      <c r="AW206" s="5"/>
      <c r="AX206" s="5" t="s">
        <v>563</v>
      </c>
      <c r="BJ206" s="134"/>
    </row>
    <row r="207" spans="1:62">
      <c r="A207" s="100" t="s">
        <v>146</v>
      </c>
      <c r="AV207" s="5"/>
      <c r="AW207" s="5"/>
      <c r="AX207" s="5"/>
      <c r="BA207" s="93" t="s">
        <v>577</v>
      </c>
      <c r="BB207" s="93" t="s">
        <v>577</v>
      </c>
      <c r="BC207" s="93"/>
      <c r="BE207" s="93" t="s">
        <v>577</v>
      </c>
      <c r="BJ207" s="134"/>
    </row>
    <row r="208" spans="1:62">
      <c r="A208" s="100" t="s">
        <v>146</v>
      </c>
      <c r="AV208" s="5"/>
      <c r="AW208" s="5"/>
      <c r="AX208" s="5"/>
      <c r="BA208" s="93" t="s">
        <v>460</v>
      </c>
      <c r="BJ208" s="134"/>
    </row>
    <row r="209" spans="1:62">
      <c r="A209" s="100" t="s">
        <v>146</v>
      </c>
      <c r="AV209" s="5"/>
      <c r="AW209" s="5"/>
      <c r="AX209" s="5"/>
      <c r="BA209" s="93" t="s">
        <v>597</v>
      </c>
      <c r="BB209" s="93" t="s">
        <v>597</v>
      </c>
      <c r="BJ209" s="134"/>
    </row>
    <row r="210" spans="1:62">
      <c r="A210" s="100" t="s">
        <v>146</v>
      </c>
      <c r="AV210" s="5"/>
      <c r="AW210" s="5"/>
      <c r="AX210" s="5"/>
      <c r="BA210" s="93"/>
      <c r="BB210" s="93"/>
      <c r="BD210" s="93" t="s">
        <v>694</v>
      </c>
      <c r="BE210" s="93" t="s">
        <v>694</v>
      </c>
      <c r="BJ210" s="134"/>
    </row>
    <row r="211" spans="1:62">
      <c r="A211" s="100" t="s">
        <v>146</v>
      </c>
      <c r="AV211" s="5"/>
      <c r="AW211" s="5"/>
      <c r="AX211" s="5"/>
      <c r="BA211" s="93"/>
      <c r="BB211" s="93"/>
      <c r="BD211" s="93"/>
      <c r="BE211" s="93" t="s">
        <v>695</v>
      </c>
      <c r="BJ211" s="134"/>
    </row>
    <row r="212" spans="1:62">
      <c r="A212" s="100" t="s">
        <v>146</v>
      </c>
      <c r="AV212" s="5"/>
      <c r="AW212" s="5"/>
      <c r="AX212" s="5"/>
      <c r="BA212" s="93"/>
      <c r="BB212" s="93"/>
      <c r="BD212" s="93"/>
      <c r="BE212" s="93"/>
      <c r="BH212" s="93" t="s">
        <v>696</v>
      </c>
      <c r="BI212" s="93" t="s">
        <v>696</v>
      </c>
      <c r="BJ212" s="272" t="s">
        <v>697</v>
      </c>
    </row>
    <row r="213" spans="1:62">
      <c r="A213" s="100" t="s">
        <v>167</v>
      </c>
      <c r="AV213" s="295" t="s">
        <v>698</v>
      </c>
      <c r="AW213" s="295" t="s">
        <v>698</v>
      </c>
      <c r="AX213" s="295" t="s">
        <v>698</v>
      </c>
      <c r="BA213" s="295" t="s">
        <v>698</v>
      </c>
      <c r="BB213" s="295" t="s">
        <v>698</v>
      </c>
      <c r="BC213" s="295" t="s">
        <v>698</v>
      </c>
      <c r="BD213" s="295" t="s">
        <v>698</v>
      </c>
      <c r="BE213" s="295" t="s">
        <v>698</v>
      </c>
      <c r="BH213" s="295" t="s">
        <v>698</v>
      </c>
      <c r="BI213" s="295" t="s">
        <v>698</v>
      </c>
      <c r="BJ213" s="326" t="s">
        <v>698</v>
      </c>
    </row>
    <row r="214" spans="1:62">
      <c r="A214" s="100" t="s">
        <v>167</v>
      </c>
      <c r="AV214" s="308" t="s">
        <v>699</v>
      </c>
      <c r="AW214" s="308" t="s">
        <v>699</v>
      </c>
      <c r="AX214" s="308" t="s">
        <v>699</v>
      </c>
      <c r="BA214" s="308" t="s">
        <v>699</v>
      </c>
      <c r="BB214" s="308" t="s">
        <v>699</v>
      </c>
      <c r="BC214" s="308" t="s">
        <v>699</v>
      </c>
      <c r="BD214" s="308" t="s">
        <v>699</v>
      </c>
      <c r="BE214" s="308" t="s">
        <v>699</v>
      </c>
      <c r="BH214" s="308" t="s">
        <v>699</v>
      </c>
      <c r="BI214" s="308" t="s">
        <v>699</v>
      </c>
      <c r="BJ214" s="325" t="s">
        <v>699</v>
      </c>
    </row>
    <row r="215" spans="1:62">
      <c r="A215" s="100" t="s">
        <v>167</v>
      </c>
      <c r="AV215" s="164" t="s">
        <v>545</v>
      </c>
      <c r="AW215" s="164" t="s">
        <v>545</v>
      </c>
      <c r="AX215" s="164" t="s">
        <v>545</v>
      </c>
      <c r="BA215" s="164" t="s">
        <v>545</v>
      </c>
      <c r="BB215" s="164" t="s">
        <v>545</v>
      </c>
      <c r="BC215" s="164" t="s">
        <v>545</v>
      </c>
      <c r="BD215" s="164" t="s">
        <v>545</v>
      </c>
      <c r="BE215" s="164" t="s">
        <v>545</v>
      </c>
      <c r="BH215" s="164" t="s">
        <v>545</v>
      </c>
      <c r="BI215" s="164" t="s">
        <v>545</v>
      </c>
      <c r="BJ215" s="327" t="s">
        <v>545</v>
      </c>
    </row>
    <row r="216" spans="1:62">
      <c r="A216" s="100" t="s">
        <v>167</v>
      </c>
      <c r="AV216" s="5" t="s">
        <v>700</v>
      </c>
      <c r="AW216" s="5" t="s">
        <v>700</v>
      </c>
      <c r="AX216" s="5" t="s">
        <v>700</v>
      </c>
      <c r="BA216" s="5" t="s">
        <v>700</v>
      </c>
      <c r="BJ216" s="134"/>
    </row>
    <row r="217" spans="1:62">
      <c r="A217" s="100" t="s">
        <v>167</v>
      </c>
      <c r="AV217" s="5"/>
      <c r="AW217" s="5" t="s">
        <v>701</v>
      </c>
      <c r="BJ217" s="134"/>
    </row>
    <row r="218" spans="1:62">
      <c r="A218" s="100" t="s">
        <v>167</v>
      </c>
      <c r="AV218" s="5"/>
      <c r="AW218" s="271" t="s">
        <v>702</v>
      </c>
      <c r="BJ218" s="134"/>
    </row>
    <row r="219" spans="1:62">
      <c r="A219" s="100" t="s">
        <v>167</v>
      </c>
      <c r="AV219" s="5"/>
      <c r="AW219" s="271" t="s">
        <v>703</v>
      </c>
      <c r="BJ219" s="134"/>
    </row>
    <row r="220" spans="1:62">
      <c r="A220" s="100" t="s">
        <v>167</v>
      </c>
      <c r="AV220" s="5"/>
      <c r="AW220" s="271"/>
      <c r="BA220" t="s">
        <v>607</v>
      </c>
      <c r="BJ220" s="134"/>
    </row>
    <row r="221" spans="1:62">
      <c r="A221" s="100" t="s">
        <v>167</v>
      </c>
      <c r="AW221" s="322"/>
      <c r="AY221" s="100"/>
      <c r="BA221" s="93" t="s">
        <v>703</v>
      </c>
      <c r="BJ221" s="134"/>
    </row>
    <row r="222" spans="1:62">
      <c r="A222" s="100" t="s">
        <v>167</v>
      </c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  <c r="P222" s="272"/>
      <c r="Q222" s="272"/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  <c r="AB222" s="272"/>
      <c r="AC222" s="272"/>
      <c r="AD222" s="272"/>
      <c r="AE222" s="272"/>
      <c r="AF222" s="272"/>
      <c r="AG222" s="272"/>
      <c r="AH222" s="272"/>
      <c r="AI222" s="272"/>
      <c r="AJ222" s="272"/>
      <c r="AK222" s="272"/>
      <c r="AL222" s="272"/>
      <c r="AM222" s="272"/>
      <c r="AN222" s="272"/>
      <c r="AO222" s="272"/>
      <c r="AP222" s="272"/>
      <c r="AQ222" s="272"/>
      <c r="AR222" s="272"/>
      <c r="AS222" s="272"/>
      <c r="AT222" s="272"/>
      <c r="AU222" s="272"/>
      <c r="AV222" s="272"/>
      <c r="AW222" s="368"/>
      <c r="AX222" s="272"/>
      <c r="AY222" s="100"/>
      <c r="AZ222" s="272"/>
      <c r="BA222" s="272"/>
      <c r="BB222" s="272"/>
      <c r="BC222" s="272"/>
      <c r="BD222" s="93" t="s">
        <v>704</v>
      </c>
      <c r="BJ222" s="134"/>
    </row>
    <row r="223" spans="1:62">
      <c r="A223" s="100" t="s">
        <v>167</v>
      </c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  <c r="P223" s="272"/>
      <c r="Q223" s="272"/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  <c r="AB223" s="272"/>
      <c r="AC223" s="272"/>
      <c r="AD223" s="272"/>
      <c r="AE223" s="272"/>
      <c r="AF223" s="272"/>
      <c r="AG223" s="272"/>
      <c r="AH223" s="272"/>
      <c r="AI223" s="272"/>
      <c r="AJ223" s="272"/>
      <c r="AK223" s="272"/>
      <c r="AL223" s="272"/>
      <c r="AM223" s="272"/>
      <c r="AN223" s="272"/>
      <c r="AO223" s="272"/>
      <c r="AP223" s="272"/>
      <c r="AQ223" s="272"/>
      <c r="AR223" s="272"/>
      <c r="AS223" s="272"/>
      <c r="AT223" s="272"/>
      <c r="AU223" s="272"/>
      <c r="AV223" s="272"/>
      <c r="AW223" s="368"/>
      <c r="AX223" s="272"/>
      <c r="AY223" s="100"/>
      <c r="AZ223" s="272"/>
      <c r="BA223" s="272"/>
      <c r="BB223" s="272"/>
      <c r="BC223" s="272"/>
      <c r="BD223" s="93" t="s">
        <v>705</v>
      </c>
      <c r="BJ223" s="134"/>
    </row>
    <row r="224" spans="1:62">
      <c r="A224" s="100" t="s">
        <v>167</v>
      </c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  <c r="P224" s="272"/>
      <c r="Q224" s="272"/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  <c r="AB224" s="272"/>
      <c r="AC224" s="272"/>
      <c r="AD224" s="272"/>
      <c r="AE224" s="272"/>
      <c r="AF224" s="272"/>
      <c r="AG224" s="272"/>
      <c r="AH224" s="272"/>
      <c r="AI224" s="272"/>
      <c r="AJ224" s="272"/>
      <c r="AK224" s="272"/>
      <c r="AL224" s="272"/>
      <c r="AM224" s="272"/>
      <c r="AN224" s="272"/>
      <c r="AO224" s="272"/>
      <c r="AP224" s="272"/>
      <c r="AQ224" s="272"/>
      <c r="AR224" s="272"/>
      <c r="AS224" s="272"/>
      <c r="AT224" s="272"/>
      <c r="AU224" s="272"/>
      <c r="AV224" s="272"/>
      <c r="AW224" s="368"/>
      <c r="AX224" s="272"/>
      <c r="AY224" s="100"/>
      <c r="AZ224" s="272"/>
      <c r="BA224" s="272"/>
      <c r="BB224" s="272"/>
      <c r="BC224" s="272"/>
      <c r="BD224" s="93"/>
      <c r="BE224" t="s">
        <v>706</v>
      </c>
      <c r="BJ224" s="134"/>
    </row>
    <row r="225" spans="1:62">
      <c r="A225" s="100" t="s">
        <v>167</v>
      </c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  <c r="P225" s="272"/>
      <c r="Q225" s="272"/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  <c r="AB225" s="272"/>
      <c r="AC225" s="272"/>
      <c r="AD225" s="272"/>
      <c r="AE225" s="272"/>
      <c r="AF225" s="272"/>
      <c r="AG225" s="272"/>
      <c r="AH225" s="272"/>
      <c r="AI225" s="272"/>
      <c r="AJ225" s="272"/>
      <c r="AK225" s="272"/>
      <c r="AL225" s="272"/>
      <c r="AM225" s="272"/>
      <c r="AN225" s="272"/>
      <c r="AO225" s="272"/>
      <c r="AP225" s="272"/>
      <c r="AQ225" s="272"/>
      <c r="AR225" s="272"/>
      <c r="AS225" s="272"/>
      <c r="AT225" s="272"/>
      <c r="AU225" s="272"/>
      <c r="AV225" s="272"/>
      <c r="AW225" s="368"/>
      <c r="AX225" s="272"/>
      <c r="AY225" s="100"/>
      <c r="AZ225" s="272"/>
      <c r="BA225" s="272"/>
      <c r="BB225" s="272"/>
      <c r="BC225" s="272"/>
      <c r="BD225" s="93"/>
      <c r="BH225" s="93" t="s">
        <v>707</v>
      </c>
      <c r="BJ225" s="134"/>
    </row>
    <row r="226" spans="1:62">
      <c r="A226" s="100" t="s">
        <v>167</v>
      </c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  <c r="P226" s="272"/>
      <c r="Q226" s="272"/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  <c r="AB226" s="272"/>
      <c r="AC226" s="272"/>
      <c r="AD226" s="272"/>
      <c r="AE226" s="272"/>
      <c r="AF226" s="272"/>
      <c r="AG226" s="272"/>
      <c r="AH226" s="272"/>
      <c r="AI226" s="272"/>
      <c r="AJ226" s="272"/>
      <c r="AK226" s="272"/>
      <c r="AL226" s="272"/>
      <c r="AM226" s="272"/>
      <c r="AN226" s="272"/>
      <c r="AO226" s="272"/>
      <c r="AP226" s="272"/>
      <c r="AQ226" s="272"/>
      <c r="AR226" s="272"/>
      <c r="AS226" s="272"/>
      <c r="AT226" s="272"/>
      <c r="AU226" s="272"/>
      <c r="AV226" s="272"/>
      <c r="AW226" s="368"/>
      <c r="AX226" s="272"/>
      <c r="AY226" s="100"/>
      <c r="AZ226" s="272"/>
      <c r="BA226" s="272"/>
      <c r="BB226" s="272"/>
      <c r="BC226" s="272"/>
      <c r="BD226" s="93"/>
      <c r="BH226" s="306" t="s">
        <v>708</v>
      </c>
      <c r="BI226" s="5"/>
      <c r="BJ226" s="134"/>
    </row>
    <row r="227" spans="1:62">
      <c r="A227" s="100" t="s">
        <v>167</v>
      </c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  <c r="P227" s="272"/>
      <c r="Q227" s="272"/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  <c r="AB227" s="272"/>
      <c r="AC227" s="272"/>
      <c r="AD227" s="272"/>
      <c r="AE227" s="272"/>
      <c r="AF227" s="272"/>
      <c r="AG227" s="272"/>
      <c r="AH227" s="272"/>
      <c r="AI227" s="272"/>
      <c r="AJ227" s="272"/>
      <c r="AK227" s="272"/>
      <c r="AL227" s="272"/>
      <c r="AM227" s="272"/>
      <c r="AN227" s="272"/>
      <c r="AO227" s="272"/>
      <c r="AP227" s="272"/>
      <c r="AQ227" s="272"/>
      <c r="AR227" s="272"/>
      <c r="AS227" s="272"/>
      <c r="AT227" s="272"/>
      <c r="AU227" s="272"/>
      <c r="AV227" s="272"/>
      <c r="AW227" s="368"/>
      <c r="AX227" s="272"/>
      <c r="AY227" s="100"/>
      <c r="AZ227" s="272"/>
      <c r="BA227" s="272"/>
      <c r="BB227" s="272"/>
      <c r="BC227" s="272"/>
      <c r="BD227" s="93"/>
      <c r="BH227" s="306" t="s">
        <v>702</v>
      </c>
      <c r="BI227" s="5"/>
      <c r="BJ227" s="134"/>
    </row>
    <row r="228" spans="1:62">
      <c r="A228" s="190" t="s">
        <v>202</v>
      </c>
      <c r="AV228" s="308" t="s">
        <v>709</v>
      </c>
      <c r="AW228" s="308" t="s">
        <v>709</v>
      </c>
      <c r="AX228" s="308" t="s">
        <v>709</v>
      </c>
      <c r="BA228" s="308" t="s">
        <v>709</v>
      </c>
      <c r="BB228" s="308" t="s">
        <v>709</v>
      </c>
      <c r="BC228" s="308" t="s">
        <v>709</v>
      </c>
      <c r="BD228" s="308" t="s">
        <v>709</v>
      </c>
      <c r="BE228" s="308" t="s">
        <v>709</v>
      </c>
      <c r="BH228" s="308" t="s">
        <v>709</v>
      </c>
      <c r="BI228" s="308" t="s">
        <v>709</v>
      </c>
      <c r="BJ228" s="325" t="s">
        <v>709</v>
      </c>
    </row>
    <row r="229" spans="1:62">
      <c r="A229" s="100" t="s">
        <v>202</v>
      </c>
      <c r="AV229" s="310" t="s">
        <v>710</v>
      </c>
      <c r="AW229" s="310" t="s">
        <v>710</v>
      </c>
      <c r="AX229" s="310" t="s">
        <v>710</v>
      </c>
      <c r="BA229" s="310" t="s">
        <v>710</v>
      </c>
    </row>
    <row r="230" spans="1:62">
      <c r="A230" s="100" t="s">
        <v>202</v>
      </c>
      <c r="AW230" s="322" t="s">
        <v>711</v>
      </c>
    </row>
    <row r="231" spans="1:62">
      <c r="A231" s="100" t="s">
        <v>202</v>
      </c>
      <c r="AW231" s="322"/>
      <c r="AX231" t="s">
        <v>712</v>
      </c>
    </row>
    <row r="232" spans="1:62">
      <c r="A232" s="100" t="s">
        <v>202</v>
      </c>
      <c r="AW232" s="322"/>
      <c r="BA232" s="93" t="s">
        <v>713</v>
      </c>
    </row>
    <row r="233" spans="1:62">
      <c r="A233" s="100" t="s">
        <v>202</v>
      </c>
      <c r="AW233" s="322"/>
      <c r="BA233" s="93"/>
      <c r="BH233" s="93" t="s">
        <v>714</v>
      </c>
    </row>
  </sheetData>
  <autoFilter ref="A1:AF232" xr:uid="{07AB94F7-4B60-4417-8697-5BBD4431AD05}"/>
  <conditionalFormatting sqref="T47">
    <cfRule type="cellIs" dxfId="94" priority="38" operator="equal">
      <formula>"S"</formula>
    </cfRule>
  </conditionalFormatting>
  <conditionalFormatting sqref="AA76:AA78">
    <cfRule type="cellIs" dxfId="93" priority="34" operator="equal">
      <formula>"S"</formula>
    </cfRule>
  </conditionalFormatting>
  <conditionalFormatting sqref="AB76:AC76">
    <cfRule type="cellIs" dxfId="92" priority="33" operator="equal">
      <formula>"S"</formula>
    </cfRule>
  </conditionalFormatting>
  <conditionalFormatting sqref="AW218:AW220">
    <cfRule type="cellIs" dxfId="91" priority="17" operator="equal">
      <formula>"S"</formula>
    </cfRule>
  </conditionalFormatting>
  <conditionalFormatting sqref="AX181:AX186">
    <cfRule type="cellIs" dxfId="90" priority="16" operator="equal">
      <formula>"S"</formula>
    </cfRule>
  </conditionalFormatting>
  <conditionalFormatting sqref="AX189">
    <cfRule type="cellIs" dxfId="89" priority="2" operator="equal">
      <formula>"S"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34"/>
  <sheetViews>
    <sheetView showGridLines="0" zoomScale="101" zoomScaleNormal="100" workbookViewId="0">
      <selection activeCell="A30" sqref="A30:B30"/>
    </sheetView>
  </sheetViews>
  <sheetFormatPr defaultColWidth="10" defaultRowHeight="15" customHeight="1"/>
  <cols>
    <col min="1" max="1" width="26.28515625" style="49" customWidth="1"/>
    <col min="2" max="2" width="12.7109375" style="49" customWidth="1"/>
    <col min="3" max="3" width="60.85546875" style="49" customWidth="1"/>
    <col min="4" max="4" width="29.28515625" style="49" customWidth="1"/>
    <col min="5" max="5" width="14.28515625" style="49" customWidth="1"/>
    <col min="6" max="6" width="12.85546875" style="49" customWidth="1"/>
    <col min="7" max="7" width="11.42578125" style="49" customWidth="1"/>
    <col min="8" max="8" width="11.42578125" style="50" customWidth="1"/>
    <col min="9" max="9" width="19.42578125" style="49" customWidth="1"/>
    <col min="10" max="10" width="12" style="49" customWidth="1"/>
    <col min="11" max="16384" width="10" style="49"/>
  </cols>
  <sheetData>
    <row r="1" spans="1:62">
      <c r="A1" s="80" t="s">
        <v>715</v>
      </c>
      <c r="B1" s="80" t="s">
        <v>716</v>
      </c>
      <c r="C1" s="80" t="s">
        <v>717</v>
      </c>
      <c r="D1" s="80" t="s">
        <v>718</v>
      </c>
      <c r="E1" s="80" t="s">
        <v>719</v>
      </c>
      <c r="F1" s="78" t="s">
        <v>720</v>
      </c>
      <c r="J1" s="52" t="s">
        <v>721</v>
      </c>
      <c r="K1" s="52" t="s">
        <v>722</v>
      </c>
    </row>
    <row r="2" spans="1:62">
      <c r="A2" s="79">
        <f ca="1">SUMPRODUCT((D5:D9994="Producción - Electricidad")*(E5:E9994="OK")*(F5:F9994="T1")*(1+ISNUMBER(H5:H9994)*((0.2+0.3*(IFERROR((TODAY()-H5:H9994)/30.44,0)&gt;3)+0.25*(IFERROR((TODAY()-H5:H9994)/30.44,0)&gt;6)+0.25*(IFERROR((TODAY()-H5:H9994)/30.44,0)&gt;9))-1)))</f>
        <v>4</v>
      </c>
      <c r="B2" s="79"/>
      <c r="C2" s="79">
        <f ca="1">SUMPRODUCT((D5:D9994="Producción - Electricidad")*(E5:E9994="OK")*(F5:F9994="T2")*(1+ISNUMBER(H5:H9994)*((0.2+0.3*(IFERROR((TODAY()-H5:H9994)/30.44,0)&gt;3)+0.25*(IFERROR((TODAY()-H5:H9994)/30.44,0)&gt;6)+0.25*(IFERROR((TODAY()-H5:H9994)/30.44,0)&gt;9))-1)))</f>
        <v>5</v>
      </c>
      <c r="D2" s="79">
        <f ca="1">SUMPRODUCT((D5:D9994="Producción")*(E5:E9994="OK")*(F5:F9994="T1")*(1+ISNUMBER(H5:H9994)*((0.2+0.3*(IFERROR((TODAY()-H5:H9994)/30.44,0)&gt;3)+0.25*(IFERROR((TODAY()-H5:H9994)/30.44,0)&gt;6)+0.25*(IFERROR((TODAY()-H5:H9994)/30.44,0)&gt;9))-1)))</f>
        <v>6</v>
      </c>
      <c r="E2" s="79">
        <f ca="1">SUMPRODUCT((D5:D9994="Producción")*(E5:E9994="OK")*(F5:F9994="T2")*(1+ISNUMBER(H5:H9994)*((0.2+0.3*(IFERROR((TODAY()-H5:H9994)/30.44,0)&gt;3)+0.25*(IFERROR((TODAY()-H5:H9994)/30.44,0)&gt;6)+0.25*(IFERROR((TODAY()-H5:H9994)/30.44,0)&gt;9))-1)))</f>
        <v>9</v>
      </c>
      <c r="F2" s="79">
        <f ca="1">SUM(A2:E2)</f>
        <v>24</v>
      </c>
      <c r="J2" s="58" t="s">
        <v>723</v>
      </c>
      <c r="K2" s="54">
        <f ca="1">A2</f>
        <v>4</v>
      </c>
    </row>
    <row r="3" spans="1:62" s="55" customFormat="1">
      <c r="C3" s="56"/>
      <c r="D3" s="56"/>
      <c r="E3" s="56"/>
      <c r="H3" s="57"/>
      <c r="J3" s="58" t="s">
        <v>724</v>
      </c>
      <c r="K3" s="54">
        <f ca="1">C2</f>
        <v>5</v>
      </c>
      <c r="N3" s="59"/>
      <c r="O3" s="59"/>
      <c r="P3" s="59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</row>
    <row r="4" spans="1:62" s="55" customFormat="1" ht="32.25" customHeight="1">
      <c r="A4" s="61" t="s">
        <v>722</v>
      </c>
      <c r="B4" s="230" t="s">
        <v>716</v>
      </c>
      <c r="C4" s="51" t="s">
        <v>0</v>
      </c>
      <c r="D4" s="51" t="s">
        <v>1</v>
      </c>
      <c r="E4" s="51" t="s">
        <v>725</v>
      </c>
      <c r="F4" s="61" t="s">
        <v>3</v>
      </c>
      <c r="G4" s="61" t="s">
        <v>4</v>
      </c>
      <c r="H4" s="201" t="s">
        <v>54</v>
      </c>
      <c r="I4" s="79" t="s">
        <v>726</v>
      </c>
      <c r="J4" s="58" t="s">
        <v>727</v>
      </c>
      <c r="K4" s="54">
        <f ca="1">D2</f>
        <v>6</v>
      </c>
      <c r="N4" s="59"/>
      <c r="O4" s="59"/>
      <c r="P4" s="59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3"/>
    </row>
    <row r="5" spans="1:62" s="55" customFormat="1">
      <c r="A5" s="303">
        <v>1</v>
      </c>
      <c r="B5" s="303" t="s">
        <v>728</v>
      </c>
      <c r="C5" s="65" t="s">
        <v>729</v>
      </c>
      <c r="D5" s="65" t="s">
        <v>67</v>
      </c>
      <c r="E5" s="65" t="s">
        <v>177</v>
      </c>
      <c r="F5" s="66" t="s">
        <v>47</v>
      </c>
      <c r="G5" s="197" t="s">
        <v>48</v>
      </c>
      <c r="H5" s="200" t="s">
        <v>730</v>
      </c>
      <c r="I5" s="200" t="s">
        <v>730</v>
      </c>
      <c r="J5" s="55" t="s">
        <v>731</v>
      </c>
      <c r="K5" s="55">
        <f ca="1">E2</f>
        <v>9</v>
      </c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64"/>
    </row>
    <row r="6" spans="1:62" s="55" customFormat="1">
      <c r="A6" s="303">
        <v>2</v>
      </c>
      <c r="B6" s="303" t="s">
        <v>732</v>
      </c>
      <c r="C6" s="65" t="s">
        <v>733</v>
      </c>
      <c r="D6" s="65" t="s">
        <v>67</v>
      </c>
      <c r="E6" s="65" t="s">
        <v>177</v>
      </c>
      <c r="F6" s="66" t="s">
        <v>47</v>
      </c>
      <c r="G6" s="197" t="s">
        <v>48</v>
      </c>
      <c r="H6" s="200"/>
      <c r="I6" s="200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64"/>
      <c r="BI6" s="194"/>
      <c r="BJ6" s="203"/>
    </row>
    <row r="7" spans="1:62" s="55" customFormat="1">
      <c r="A7" s="303">
        <v>3</v>
      </c>
      <c r="B7" s="303" t="s">
        <v>734</v>
      </c>
      <c r="C7" s="256" t="s">
        <v>735</v>
      </c>
      <c r="D7" s="81" t="s">
        <v>736</v>
      </c>
      <c r="E7" s="81" t="s">
        <v>177</v>
      </c>
      <c r="F7" s="82" t="s">
        <v>47</v>
      </c>
      <c r="G7" s="205" t="s">
        <v>48</v>
      </c>
      <c r="H7" s="206"/>
      <c r="I7" s="206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64"/>
      <c r="BI7" s="194"/>
      <c r="BJ7" s="203"/>
    </row>
    <row r="8" spans="1:62" s="55" customFormat="1">
      <c r="A8" s="303">
        <v>4</v>
      </c>
      <c r="B8" s="393" t="s">
        <v>737</v>
      </c>
      <c r="C8" s="256" t="s">
        <v>615</v>
      </c>
      <c r="D8" s="81" t="s">
        <v>736</v>
      </c>
      <c r="E8" s="81" t="s">
        <v>177</v>
      </c>
      <c r="F8" s="82" t="s">
        <v>47</v>
      </c>
      <c r="G8" s="205" t="s">
        <v>48</v>
      </c>
      <c r="H8" s="206"/>
      <c r="I8" s="206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64"/>
    </row>
    <row r="9" spans="1:62" s="55" customFormat="1">
      <c r="A9" s="338">
        <v>5</v>
      </c>
      <c r="B9" s="338"/>
      <c r="C9" s="339" t="s">
        <v>738</v>
      </c>
      <c r="D9" s="339" t="s">
        <v>6</v>
      </c>
      <c r="E9" s="339" t="s">
        <v>739</v>
      </c>
      <c r="F9" s="338" t="s">
        <v>47</v>
      </c>
      <c r="G9" s="341" t="s">
        <v>48</v>
      </c>
      <c r="H9" s="349"/>
      <c r="I9" s="34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64"/>
    </row>
    <row r="10" spans="1:62" s="55" customFormat="1">
      <c r="A10" s="219">
        <v>6</v>
      </c>
      <c r="B10" s="219" t="s">
        <v>740</v>
      </c>
      <c r="C10" s="355" t="s">
        <v>670</v>
      </c>
      <c r="D10" s="356" t="s">
        <v>6</v>
      </c>
      <c r="E10" s="356" t="s">
        <v>13</v>
      </c>
      <c r="F10" s="357" t="s">
        <v>47</v>
      </c>
      <c r="G10" s="334" t="s">
        <v>48</v>
      </c>
      <c r="H10" s="336"/>
      <c r="I10" s="336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64"/>
    </row>
    <row r="11" spans="1:62" s="55" customFormat="1">
      <c r="A11" s="219">
        <v>8</v>
      </c>
      <c r="B11" s="219" t="s">
        <v>741</v>
      </c>
      <c r="C11" s="355" t="s">
        <v>668</v>
      </c>
      <c r="D11" s="356" t="s">
        <v>6</v>
      </c>
      <c r="E11" s="356" t="s">
        <v>13</v>
      </c>
      <c r="F11" s="357" t="s">
        <v>47</v>
      </c>
      <c r="G11" s="334" t="s">
        <v>48</v>
      </c>
      <c r="H11" s="336"/>
      <c r="I11" s="336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64"/>
    </row>
    <row r="12" spans="1:62" s="55" customFormat="1">
      <c r="A12" s="219">
        <v>9</v>
      </c>
      <c r="B12" s="219" t="s">
        <v>742</v>
      </c>
      <c r="C12" s="355" t="s">
        <v>743</v>
      </c>
      <c r="D12" s="356" t="s">
        <v>6</v>
      </c>
      <c r="E12" s="356" t="s">
        <v>13</v>
      </c>
      <c r="F12" s="357" t="s">
        <v>47</v>
      </c>
      <c r="G12" s="334" t="s">
        <v>48</v>
      </c>
      <c r="H12" s="336"/>
      <c r="I12" s="336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64"/>
    </row>
    <row r="13" spans="1:62" s="225" customFormat="1">
      <c r="A13" s="219">
        <v>10</v>
      </c>
      <c r="B13" s="219" t="s">
        <v>744</v>
      </c>
      <c r="C13" s="355" t="s">
        <v>745</v>
      </c>
      <c r="D13" s="356" t="s">
        <v>6</v>
      </c>
      <c r="E13" s="356" t="s">
        <v>13</v>
      </c>
      <c r="F13" s="357" t="s">
        <v>47</v>
      </c>
      <c r="G13" s="334" t="s">
        <v>48</v>
      </c>
      <c r="H13" s="336" t="s">
        <v>54</v>
      </c>
      <c r="I13" s="336">
        <v>46076</v>
      </c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  <c r="AD13" s="227"/>
      <c r="AE13" s="227"/>
      <c r="AF13" s="227"/>
      <c r="AG13" s="227"/>
      <c r="AH13" s="227"/>
      <c r="AI13" s="227"/>
      <c r="AJ13" s="227"/>
      <c r="AK13" s="227"/>
      <c r="AL13" s="227"/>
      <c r="AM13" s="227"/>
      <c r="AN13" s="227"/>
      <c r="AO13" s="227"/>
      <c r="AP13" s="227"/>
      <c r="AQ13" s="227"/>
      <c r="AR13" s="227"/>
      <c r="AS13" s="227"/>
      <c r="AT13" s="227"/>
      <c r="AU13" s="227"/>
      <c r="AV13" s="227"/>
      <c r="AW13" s="227"/>
      <c r="AX13" s="227"/>
      <c r="AY13" s="227"/>
      <c r="AZ13" s="227"/>
      <c r="BA13" s="227"/>
      <c r="BB13" s="227"/>
      <c r="BC13" s="227"/>
      <c r="BD13" s="227"/>
      <c r="BE13" s="227"/>
      <c r="BF13" s="227"/>
      <c r="BG13" s="227"/>
      <c r="BH13" s="226"/>
    </row>
    <row r="14" spans="1:62" s="55" customFormat="1">
      <c r="A14" s="219">
        <v>11</v>
      </c>
      <c r="B14" s="219" t="s">
        <v>746</v>
      </c>
      <c r="C14" s="355" t="s">
        <v>747</v>
      </c>
      <c r="D14" s="356" t="s">
        <v>6</v>
      </c>
      <c r="E14" s="356" t="s">
        <v>13</v>
      </c>
      <c r="F14" s="357" t="s">
        <v>47</v>
      </c>
      <c r="G14" s="334" t="s">
        <v>48</v>
      </c>
      <c r="H14" s="336"/>
      <c r="I14" s="336"/>
      <c r="J14" s="64"/>
      <c r="K14" s="64"/>
      <c r="L14" s="64"/>
      <c r="M14" s="64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64"/>
    </row>
    <row r="15" spans="1:62" s="55" customFormat="1">
      <c r="A15" s="219">
        <v>12</v>
      </c>
      <c r="B15" s="219" t="s">
        <v>748</v>
      </c>
      <c r="C15" s="355" t="s">
        <v>606</v>
      </c>
      <c r="D15" s="356" t="s">
        <v>6</v>
      </c>
      <c r="E15" s="356" t="s">
        <v>13</v>
      </c>
      <c r="F15" s="357" t="s">
        <v>47</v>
      </c>
      <c r="G15" s="334" t="s">
        <v>48</v>
      </c>
      <c r="H15" s="336"/>
      <c r="I15" s="336"/>
      <c r="J15" s="64"/>
      <c r="K15" s="64"/>
      <c r="L15" s="64"/>
      <c r="M15" s="64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64"/>
    </row>
    <row r="16" spans="1:62" s="55" customFormat="1">
      <c r="A16" s="219">
        <v>13</v>
      </c>
      <c r="B16" s="219" t="s">
        <v>749</v>
      </c>
      <c r="C16" s="355" t="s">
        <v>750</v>
      </c>
      <c r="D16" s="356" t="s">
        <v>59</v>
      </c>
      <c r="E16" s="356" t="s">
        <v>13</v>
      </c>
      <c r="F16" s="357" t="s">
        <v>47</v>
      </c>
      <c r="G16" s="334" t="s">
        <v>48</v>
      </c>
      <c r="H16" s="336"/>
      <c r="I16" s="336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64"/>
    </row>
    <row r="17" spans="1:62" s="55" customFormat="1">
      <c r="A17" s="219">
        <v>14</v>
      </c>
      <c r="B17" s="219" t="s">
        <v>751</v>
      </c>
      <c r="C17" s="355" t="s">
        <v>752</v>
      </c>
      <c r="D17" s="356" t="s">
        <v>59</v>
      </c>
      <c r="E17" s="356" t="s">
        <v>13</v>
      </c>
      <c r="F17" s="357" t="s">
        <v>47</v>
      </c>
      <c r="G17" s="334" t="s">
        <v>48</v>
      </c>
      <c r="H17" s="336" t="s">
        <v>730</v>
      </c>
      <c r="I17" s="336" t="s">
        <v>730</v>
      </c>
      <c r="J17" s="64"/>
      <c r="K17" s="64"/>
      <c r="L17" s="64"/>
      <c r="M17" s="64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64"/>
    </row>
    <row r="18" spans="1:62" s="55" customFormat="1">
      <c r="A18" s="219">
        <v>15</v>
      </c>
      <c r="B18" s="219" t="s">
        <v>753</v>
      </c>
      <c r="C18" s="355" t="s">
        <v>754</v>
      </c>
      <c r="D18" s="356" t="s">
        <v>59</v>
      </c>
      <c r="E18" s="356" t="s">
        <v>13</v>
      </c>
      <c r="F18" s="357" t="s">
        <v>47</v>
      </c>
      <c r="G18" s="334" t="s">
        <v>48</v>
      </c>
      <c r="H18" s="336"/>
      <c r="I18" s="336"/>
      <c r="J18" s="64"/>
      <c r="K18" s="64"/>
      <c r="L18" s="64"/>
      <c r="M18" s="64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64"/>
    </row>
    <row r="19" spans="1:62" s="55" customFormat="1">
      <c r="A19" s="219">
        <v>16</v>
      </c>
      <c r="B19" s="219" t="s">
        <v>755</v>
      </c>
      <c r="C19" s="355" t="s">
        <v>469</v>
      </c>
      <c r="D19" s="356" t="s">
        <v>59</v>
      </c>
      <c r="E19" s="356" t="s">
        <v>13</v>
      </c>
      <c r="F19" s="357" t="s">
        <v>47</v>
      </c>
      <c r="G19" s="334" t="s">
        <v>48</v>
      </c>
      <c r="H19" s="336" t="s">
        <v>54</v>
      </c>
      <c r="I19" s="336">
        <v>46195</v>
      </c>
      <c r="J19" s="64"/>
      <c r="K19" s="64"/>
      <c r="L19" s="64"/>
      <c r="M19" s="64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60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64"/>
    </row>
    <row r="20" spans="1:62" s="55" customFormat="1">
      <c r="A20" s="409">
        <v>17</v>
      </c>
      <c r="B20" s="350" t="s">
        <v>756</v>
      </c>
      <c r="C20" s="345" t="s">
        <v>569</v>
      </c>
      <c r="D20" s="345" t="s">
        <v>6</v>
      </c>
      <c r="E20" s="345" t="s">
        <v>739</v>
      </c>
      <c r="F20" s="346" t="s">
        <v>7</v>
      </c>
      <c r="G20" s="347" t="s">
        <v>48</v>
      </c>
      <c r="H20" s="348"/>
      <c r="I20" s="348"/>
      <c r="J20" s="64"/>
      <c r="K20" s="64"/>
      <c r="L20" s="64"/>
      <c r="M20" s="64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64"/>
    </row>
    <row r="21" spans="1:62" s="55" customFormat="1">
      <c r="A21" s="409">
        <v>18</v>
      </c>
      <c r="B21" s="410" t="s">
        <v>757</v>
      </c>
      <c r="C21" s="90" t="s">
        <v>648</v>
      </c>
      <c r="D21" s="68" t="s">
        <v>6</v>
      </c>
      <c r="E21" s="68" t="s">
        <v>13</v>
      </c>
      <c r="F21" s="61" t="s">
        <v>7</v>
      </c>
      <c r="G21" s="157" t="s">
        <v>48</v>
      </c>
      <c r="H21" s="198"/>
      <c r="I21" s="198"/>
      <c r="J21" s="64"/>
      <c r="K21" s="64"/>
      <c r="L21" s="64"/>
      <c r="M21" s="64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64"/>
    </row>
    <row r="22" spans="1:62" s="55" customFormat="1">
      <c r="A22" s="409">
        <v>19</v>
      </c>
      <c r="B22" s="410" t="s">
        <v>758</v>
      </c>
      <c r="C22" s="90" t="s">
        <v>759</v>
      </c>
      <c r="D22" s="68" t="s">
        <v>6</v>
      </c>
      <c r="E22" s="68" t="s">
        <v>13</v>
      </c>
      <c r="F22" s="61" t="s">
        <v>7</v>
      </c>
      <c r="G22" s="157" t="s">
        <v>48</v>
      </c>
      <c r="H22" s="198"/>
      <c r="I22" s="198"/>
      <c r="J22" s="64"/>
      <c r="K22" s="64"/>
      <c r="L22" s="64"/>
      <c r="M22" s="64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64"/>
    </row>
    <row r="23" spans="1:62" s="55" customFormat="1">
      <c r="A23" s="219">
        <v>20</v>
      </c>
      <c r="B23" s="435" t="s">
        <v>760</v>
      </c>
      <c r="C23" s="329" t="s">
        <v>761</v>
      </c>
      <c r="D23" s="330" t="s">
        <v>6</v>
      </c>
      <c r="E23" s="330" t="s">
        <v>13</v>
      </c>
      <c r="F23" s="331" t="s">
        <v>7</v>
      </c>
      <c r="G23" s="332" t="s">
        <v>48</v>
      </c>
      <c r="H23" s="333"/>
      <c r="I23" s="333"/>
      <c r="J23" s="64"/>
      <c r="K23" s="64"/>
      <c r="L23" s="64"/>
      <c r="M23" s="64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64"/>
    </row>
    <row r="24" spans="1:62" s="55" customFormat="1">
      <c r="A24" s="409">
        <v>21</v>
      </c>
      <c r="B24" s="410" t="s">
        <v>762</v>
      </c>
      <c r="C24" s="156" t="s">
        <v>763</v>
      </c>
      <c r="D24" s="51" t="s">
        <v>6</v>
      </c>
      <c r="E24" s="51" t="s">
        <v>13</v>
      </c>
      <c r="F24" s="61" t="s">
        <v>7</v>
      </c>
      <c r="G24" s="157" t="s">
        <v>48</v>
      </c>
      <c r="H24" s="198"/>
      <c r="I24" s="198"/>
      <c r="J24" s="64"/>
      <c r="K24" s="64"/>
      <c r="L24" s="64"/>
      <c r="M24" s="64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64"/>
    </row>
    <row r="25" spans="1:62" s="55" customFormat="1">
      <c r="A25" s="303">
        <v>22</v>
      </c>
      <c r="B25" s="434" t="s">
        <v>764</v>
      </c>
      <c r="C25" s="81" t="s">
        <v>644</v>
      </c>
      <c r="D25" s="81" t="s">
        <v>6</v>
      </c>
      <c r="E25" s="81" t="s">
        <v>13</v>
      </c>
      <c r="F25" s="82" t="s">
        <v>7</v>
      </c>
      <c r="G25" s="205" t="s">
        <v>48</v>
      </c>
      <c r="H25" s="206"/>
      <c r="I25" s="206"/>
      <c r="J25" s="64"/>
      <c r="K25" s="64"/>
      <c r="L25" s="64"/>
      <c r="M25" s="64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64"/>
    </row>
    <row r="26" spans="1:62" s="55" customFormat="1">
      <c r="A26" s="409">
        <v>23</v>
      </c>
      <c r="B26" s="410" t="s">
        <v>765</v>
      </c>
      <c r="C26" s="68" t="s">
        <v>667</v>
      </c>
      <c r="D26" s="51" t="s">
        <v>6</v>
      </c>
      <c r="E26" s="68" t="s">
        <v>13</v>
      </c>
      <c r="F26" s="61" t="s">
        <v>7</v>
      </c>
      <c r="G26" s="157" t="s">
        <v>48</v>
      </c>
      <c r="H26" s="198" t="s">
        <v>54</v>
      </c>
      <c r="I26" s="198">
        <v>46081</v>
      </c>
      <c r="J26" s="64"/>
      <c r="K26" s="64"/>
      <c r="L26" s="64"/>
      <c r="M26" s="64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64"/>
    </row>
    <row r="27" spans="1:62" s="55" customFormat="1">
      <c r="A27" s="409">
        <v>24</v>
      </c>
      <c r="B27" s="410" t="s">
        <v>766</v>
      </c>
      <c r="C27" s="213" t="s">
        <v>596</v>
      </c>
      <c r="D27" s="51" t="s">
        <v>6</v>
      </c>
      <c r="E27" s="68" t="s">
        <v>13</v>
      </c>
      <c r="F27" s="61" t="s">
        <v>7</v>
      </c>
      <c r="G27" s="157" t="s">
        <v>48</v>
      </c>
      <c r="H27" s="198" t="s">
        <v>54</v>
      </c>
      <c r="I27" s="198">
        <v>46084</v>
      </c>
      <c r="J27" s="64"/>
      <c r="K27" s="64"/>
      <c r="L27" s="64"/>
      <c r="M27" s="64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64"/>
    </row>
    <row r="28" spans="1:62" s="55" customFormat="1">
      <c r="A28" s="409">
        <v>25</v>
      </c>
      <c r="B28" s="410" t="s">
        <v>767</v>
      </c>
      <c r="C28" s="213" t="s">
        <v>768</v>
      </c>
      <c r="D28" s="51" t="s">
        <v>6</v>
      </c>
      <c r="E28" s="68" t="s">
        <v>13</v>
      </c>
      <c r="F28" s="61" t="s">
        <v>7</v>
      </c>
      <c r="G28" s="157" t="s">
        <v>48</v>
      </c>
      <c r="H28" s="198" t="s">
        <v>54</v>
      </c>
      <c r="I28" s="198">
        <v>46084</v>
      </c>
      <c r="J28" s="64"/>
      <c r="K28" s="64"/>
      <c r="L28" s="64"/>
      <c r="M28" s="64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64"/>
    </row>
    <row r="29" spans="1:62">
      <c r="A29" s="409">
        <v>26</v>
      </c>
      <c r="B29" s="410" t="s">
        <v>769</v>
      </c>
      <c r="C29" s="213" t="s">
        <v>770</v>
      </c>
      <c r="D29" s="51" t="s">
        <v>6</v>
      </c>
      <c r="E29" s="68" t="s">
        <v>13</v>
      </c>
      <c r="F29" s="61" t="s">
        <v>7</v>
      </c>
      <c r="G29" s="157" t="s">
        <v>48</v>
      </c>
      <c r="H29" s="198"/>
      <c r="I29" s="198"/>
      <c r="J29" s="55"/>
      <c r="K29" s="55"/>
      <c r="L29" s="55"/>
      <c r="M29" s="55"/>
      <c r="N29" s="55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60"/>
    </row>
    <row r="30" spans="1:62">
      <c r="A30" s="409">
        <v>27</v>
      </c>
      <c r="B30" s="410" t="s">
        <v>771</v>
      </c>
      <c r="C30" s="156" t="s">
        <v>772</v>
      </c>
      <c r="D30" s="51" t="s">
        <v>59</v>
      </c>
      <c r="E30" s="68" t="s">
        <v>13</v>
      </c>
      <c r="F30" s="61" t="s">
        <v>7</v>
      </c>
      <c r="G30" s="157" t="s">
        <v>48</v>
      </c>
      <c r="H30" s="198"/>
      <c r="I30" s="198"/>
      <c r="J30" s="55"/>
      <c r="K30" s="55"/>
      <c r="L30" s="55"/>
      <c r="M30" s="55"/>
      <c r="N30" s="55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60"/>
    </row>
    <row r="31" spans="1:62">
      <c r="A31" s="409">
        <v>28</v>
      </c>
      <c r="B31" s="410" t="s">
        <v>773</v>
      </c>
      <c r="C31" s="156" t="s">
        <v>774</v>
      </c>
      <c r="D31" s="51" t="s">
        <v>59</v>
      </c>
      <c r="E31" s="68" t="s">
        <v>13</v>
      </c>
      <c r="F31" s="61" t="s">
        <v>7</v>
      </c>
      <c r="G31" s="157" t="s">
        <v>48</v>
      </c>
      <c r="H31" s="198"/>
      <c r="I31" s="198"/>
      <c r="J31" s="225"/>
      <c r="K31" s="225"/>
      <c r="L31" s="225"/>
      <c r="M31" s="225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7"/>
      <c r="AL31" s="227"/>
      <c r="AM31" s="227"/>
      <c r="AN31" s="227"/>
      <c r="AO31" s="227"/>
      <c r="AP31" s="227"/>
      <c r="AQ31" s="227"/>
      <c r="AR31" s="227"/>
      <c r="AS31" s="227"/>
      <c r="AT31" s="227"/>
      <c r="AU31" s="227"/>
      <c r="AV31" s="227"/>
      <c r="AW31" s="227"/>
      <c r="AX31" s="227"/>
      <c r="AY31" s="227"/>
      <c r="AZ31" s="227"/>
      <c r="BA31" s="227"/>
      <c r="BB31" s="227"/>
      <c r="BC31" s="227"/>
      <c r="BD31" s="227"/>
      <c r="BE31" s="227"/>
      <c r="BF31" s="227"/>
      <c r="BG31" s="227"/>
      <c r="BH31" s="226"/>
      <c r="BI31" s="225"/>
      <c r="BJ31" s="225"/>
    </row>
    <row r="32" spans="1:62">
      <c r="A32" s="409">
        <v>29</v>
      </c>
      <c r="B32" s="410" t="s">
        <v>775</v>
      </c>
      <c r="C32" s="213" t="s">
        <v>776</v>
      </c>
      <c r="D32" s="51" t="s">
        <v>59</v>
      </c>
      <c r="E32" s="68" t="s">
        <v>13</v>
      </c>
      <c r="F32" s="61" t="s">
        <v>7</v>
      </c>
      <c r="G32" s="157" t="s">
        <v>48</v>
      </c>
      <c r="H32" s="198"/>
      <c r="I32" s="198"/>
      <c r="J32" s="225"/>
      <c r="K32" s="225"/>
      <c r="L32" s="225"/>
      <c r="M32" s="225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7"/>
      <c r="AX32" s="227"/>
      <c r="AY32" s="227"/>
      <c r="AZ32" s="227"/>
      <c r="BA32" s="227"/>
      <c r="BB32" s="227"/>
      <c r="BC32" s="227"/>
      <c r="BD32" s="227"/>
      <c r="BE32" s="227"/>
      <c r="BF32" s="227"/>
      <c r="BG32" s="227"/>
      <c r="BH32" s="226"/>
      <c r="BI32" s="225"/>
      <c r="BJ32" s="225"/>
    </row>
    <row r="33" spans="1:62">
      <c r="A33" s="409">
        <v>30</v>
      </c>
      <c r="B33" s="410" t="s">
        <v>777</v>
      </c>
      <c r="C33" s="156" t="s">
        <v>778</v>
      </c>
      <c r="D33" s="51" t="s">
        <v>59</v>
      </c>
      <c r="E33" s="68" t="s">
        <v>13</v>
      </c>
      <c r="F33" s="61" t="s">
        <v>7</v>
      </c>
      <c r="G33" s="157" t="s">
        <v>48</v>
      </c>
      <c r="H33" s="198" t="s">
        <v>54</v>
      </c>
      <c r="I33" s="198">
        <v>46048</v>
      </c>
      <c r="J33" s="55"/>
      <c r="K33" s="55"/>
      <c r="L33" s="55"/>
      <c r="M33" s="55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64"/>
      <c r="BI33" s="55"/>
      <c r="BJ33" s="55"/>
    </row>
    <row r="34" spans="1:62">
      <c r="A34" s="409">
        <v>31</v>
      </c>
      <c r="B34" s="410" t="s">
        <v>779</v>
      </c>
      <c r="C34" s="213" t="s">
        <v>780</v>
      </c>
      <c r="D34" s="51" t="s">
        <v>59</v>
      </c>
      <c r="E34" s="68" t="s">
        <v>13</v>
      </c>
      <c r="F34" s="61" t="s">
        <v>7</v>
      </c>
      <c r="G34" s="157" t="s">
        <v>48</v>
      </c>
      <c r="H34" s="198" t="s">
        <v>54</v>
      </c>
      <c r="I34" s="198">
        <v>46167</v>
      </c>
      <c r="J34" s="64"/>
      <c r="K34" s="64"/>
      <c r="L34" s="64"/>
      <c r="M34" s="64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64"/>
      <c r="BI34" s="55"/>
      <c r="BJ34" s="55"/>
    </row>
  </sheetData>
  <autoFilter ref="A4:I34" xr:uid="{00000000-0001-0000-0300-000000000000}">
    <sortState xmlns:xlrd2="http://schemas.microsoft.com/office/spreadsheetml/2017/richdata2" ref="A5:I34">
      <sortCondition ref="F4:F34"/>
    </sortState>
  </autoFilter>
  <conditionalFormatting sqref="A1:E1 J17:BH18 I17:I28 J19:AD19 J20:AJ20 J21:BH28 I14:BH15 N3:BH13">
    <cfRule type="cellIs" dxfId="88" priority="16" operator="equal">
      <formula>"S"</formula>
    </cfRule>
  </conditionalFormatting>
  <conditionalFormatting sqref="A3:H4 F17:F24">
    <cfRule type="cellIs" dxfId="87" priority="17" operator="equal">
      <formula>"S"</formula>
    </cfRule>
  </conditionalFormatting>
  <conditionalFormatting sqref="C29:C30">
    <cfRule type="cellIs" dxfId="86" priority="13" operator="equal">
      <formula>"S"</formula>
    </cfRule>
  </conditionalFormatting>
  <conditionalFormatting sqref="N16:BH16">
    <cfRule type="cellIs" dxfId="85" priority="12" operator="equal">
      <formula>"S"</formula>
    </cfRule>
  </conditionalFormatting>
  <conditionalFormatting sqref="N31:BH32">
    <cfRule type="cellIs" dxfId="84" priority="9" operator="equal">
      <formula>"S"</formula>
    </cfRule>
  </conditionalFormatting>
  <conditionalFormatting sqref="O29:BI30">
    <cfRule type="cellIs" dxfId="83" priority="11" operator="equal">
      <formula>"S"</formula>
    </cfRule>
  </conditionalFormatting>
  <conditionalFormatting sqref="AF19:AJ19 AK19:BH20">
    <cfRule type="cellIs" dxfId="82" priority="18" operator="equal">
      <formula>"S"</formula>
    </cfRule>
  </conditionalFormatting>
  <conditionalFormatting sqref="N33:BH33">
    <cfRule type="cellIs" dxfId="81" priority="8" operator="equal">
      <formula>"S"</formula>
    </cfRule>
  </conditionalFormatting>
  <conditionalFormatting sqref="H34:BH34">
    <cfRule type="cellIs" dxfId="80" priority="5" operator="equal">
      <formula>"S"</formula>
    </cfRule>
  </conditionalFormatting>
  <conditionalFormatting sqref="F34">
    <cfRule type="cellIs" dxfId="79" priority="6" operator="equal">
      <formula>"S"</formula>
    </cfRule>
  </conditionalFormatting>
  <conditionalFormatting sqref="H17:H18 H14:H15 H22:H28">
    <cfRule type="cellIs" dxfId="78" priority="4" operator="equal">
      <formula>"S"</formula>
    </cfRule>
  </conditionalFormatting>
  <conditionalFormatting sqref="H19">
    <cfRule type="cellIs" dxfId="77" priority="3" operator="equal">
      <formula>"S"</formula>
    </cfRule>
  </conditionalFormatting>
  <conditionalFormatting sqref="H21">
    <cfRule type="cellIs" dxfId="76" priority="2" operator="equal">
      <formula>"S"</formula>
    </cfRule>
  </conditionalFormatting>
  <conditionalFormatting sqref="H20">
    <cfRule type="cellIs" dxfId="75" priority="1" operator="equal">
      <formula>"S"</formula>
    </cfRule>
  </conditionalFormatting>
  <pageMargins left="0.7" right="0.7" top="0.75" bottom="0.75" header="0.511811023622047" footer="0.511811023622047"/>
  <pageSetup paperSize="9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36"/>
  <sheetViews>
    <sheetView showGridLines="0" zoomScaleNormal="100" workbookViewId="0">
      <selection activeCell="C34" sqref="C34"/>
    </sheetView>
  </sheetViews>
  <sheetFormatPr defaultColWidth="11.42578125" defaultRowHeight="15" customHeight="1"/>
  <cols>
    <col min="1" max="1" width="16.140625" style="49" customWidth="1"/>
    <col min="2" max="2" width="12.7109375" style="49" customWidth="1"/>
    <col min="3" max="3" width="42" style="49" customWidth="1"/>
    <col min="4" max="4" width="23.7109375" style="49" customWidth="1"/>
    <col min="5" max="5" width="14.7109375" style="49" customWidth="1"/>
    <col min="6" max="6" width="14.28515625" style="49" customWidth="1"/>
    <col min="7" max="7" width="11.42578125" style="49"/>
    <col min="8" max="8" width="11.42578125" style="50"/>
    <col min="9" max="9" width="33.85546875" style="184" customWidth="1"/>
    <col min="10" max="10" width="12" style="49" customWidth="1"/>
    <col min="11" max="11" width="10" style="49" customWidth="1"/>
    <col min="12" max="16384" width="11.42578125" style="49"/>
  </cols>
  <sheetData>
    <row r="1" spans="1:61">
      <c r="A1" s="80" t="s">
        <v>715</v>
      </c>
      <c r="B1" s="80" t="s">
        <v>716</v>
      </c>
      <c r="C1" s="80" t="s">
        <v>717</v>
      </c>
      <c r="D1" s="80" t="s">
        <v>718</v>
      </c>
      <c r="E1" s="80" t="s">
        <v>719</v>
      </c>
      <c r="F1" s="78" t="s">
        <v>720</v>
      </c>
      <c r="J1" s="52" t="s">
        <v>721</v>
      </c>
      <c r="K1" s="52" t="s">
        <v>722</v>
      </c>
    </row>
    <row r="2" spans="1:61">
      <c r="A2" s="79">
        <f ca="1">SUMPRODUCT((D5:D9992="Producción - Electricidad")*(E5:E9992="OK")*(F5:F9992="T1")*(1+ISNUMBER(H5:H9992)*((0.2+0.3*(IFERROR((TODAY()-H5:H9992)/30.44,0)&gt;3)+0.25*(IFERROR((TODAY()-H5:H9992)/30.44,0)&gt;6)+0.25*(IFERROR((TODAY()-H5:H9992)/30.44,0)&gt;9))-1)))</f>
        <v>3</v>
      </c>
      <c r="B2" s="79"/>
      <c r="C2" s="79">
        <f ca="1">SUMPRODUCT((D5:D9992="Producción - Electricidad")*(E5:E9992="OK")*(F5:F9992="T2")*(1+ISNUMBER(H5:H9992)*((0.2+0.3*(IFERROR((TODAY()-H5:H9992)/30.44,0)&gt;3)+0.25*(IFERROR((TODAY()-H5:H9992)/30.44,0)&gt;6)+0.25*(IFERROR((TODAY()-H5:H9992)/30.44,0)&gt;9))-1)))</f>
        <v>4</v>
      </c>
      <c r="D2" s="79">
        <f ca="1">SUMPRODUCT((D5:D9992="Producción")*(E5:E9992="OK")*(F5:F9992="T1")*(1+ISNUMBER(H5:H9992)*((0.2+0.3*(IFERROR((TODAY()-H5:H9992)/30.44,0)&gt;3)+0.25*(IFERROR((TODAY()-H5:H9992)/30.44,0)&gt;6)+0.25*(IFERROR((TODAY()-H5:H9992)/30.44,0)&gt;9))-1)))</f>
        <v>9</v>
      </c>
      <c r="E2" s="79">
        <f ca="1">SUMPRODUCT((D5:D9992="Producción")*(E5:E9992="OK")*(F5:F9992="T2")*(1+ISNUMBER(H5:H9992)*((0.2+0.3*(IFERROR((TODAY()-H5:H9992)/30.44,0)&gt;3)+0.25*(IFERROR((TODAY()-H5:H9992)/30.44,0)&gt;6)+0.25*(IFERROR((TODAY()-H5:H9992)/30.44,0)&gt;9))-1)))</f>
        <v>9</v>
      </c>
      <c r="F2" s="79">
        <f ca="1">SUM(A2:E2)</f>
        <v>25</v>
      </c>
      <c r="J2" s="58" t="s">
        <v>723</v>
      </c>
      <c r="K2" s="54">
        <f ca="1">A2</f>
        <v>3</v>
      </c>
    </row>
    <row r="3" spans="1:61" s="55" customFormat="1">
      <c r="C3" s="56"/>
      <c r="D3" s="56"/>
      <c r="E3" s="56"/>
      <c r="H3" s="57"/>
      <c r="I3" s="67"/>
      <c r="J3" s="58" t="s">
        <v>724</v>
      </c>
      <c r="K3" s="54">
        <f ca="1">C2</f>
        <v>4</v>
      </c>
      <c r="O3" s="64"/>
      <c r="P3" s="59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</row>
    <row r="4" spans="1:61" s="55" customFormat="1" ht="30" customHeight="1">
      <c r="A4" s="61" t="s">
        <v>722</v>
      </c>
      <c r="B4" s="80" t="s">
        <v>716</v>
      </c>
      <c r="C4" s="51" t="s">
        <v>0</v>
      </c>
      <c r="D4" s="51" t="s">
        <v>1</v>
      </c>
      <c r="E4" s="51" t="s">
        <v>725</v>
      </c>
      <c r="F4" s="61" t="s">
        <v>3</v>
      </c>
      <c r="G4" s="61" t="s">
        <v>4</v>
      </c>
      <c r="H4" s="201" t="s">
        <v>54</v>
      </c>
      <c r="I4" s="79" t="s">
        <v>726</v>
      </c>
      <c r="J4" s="58" t="s">
        <v>727</v>
      </c>
      <c r="K4" s="54">
        <f ca="1">D2</f>
        <v>9</v>
      </c>
      <c r="O4" s="64"/>
      <c r="P4" s="59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2"/>
      <c r="BG4" s="62"/>
      <c r="BH4" s="63"/>
      <c r="BI4" s="63"/>
    </row>
    <row r="5" spans="1:61" s="55" customFormat="1">
      <c r="A5" s="351">
        <v>1</v>
      </c>
      <c r="B5" s="352"/>
      <c r="C5" s="339" t="s">
        <v>781</v>
      </c>
      <c r="D5" s="340" t="s">
        <v>6</v>
      </c>
      <c r="E5" s="339" t="s">
        <v>739</v>
      </c>
      <c r="F5" s="338" t="s">
        <v>47</v>
      </c>
      <c r="G5" s="341" t="s">
        <v>83</v>
      </c>
      <c r="H5" s="349"/>
      <c r="I5" s="349"/>
      <c r="J5" s="58" t="s">
        <v>731</v>
      </c>
      <c r="K5" s="54">
        <f ca="1">E2</f>
        <v>9</v>
      </c>
      <c r="O5" s="64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64"/>
      <c r="BI5" s="64"/>
    </row>
    <row r="6" spans="1:61" s="55" customFormat="1">
      <c r="A6" s="407">
        <v>2</v>
      </c>
      <c r="B6" s="408" t="s">
        <v>782</v>
      </c>
      <c r="C6" s="355" t="s">
        <v>783</v>
      </c>
      <c r="D6" s="356" t="s">
        <v>6</v>
      </c>
      <c r="E6" s="356" t="s">
        <v>13</v>
      </c>
      <c r="F6" s="357" t="s">
        <v>47</v>
      </c>
      <c r="G6" s="334" t="s">
        <v>83</v>
      </c>
      <c r="H6" s="336"/>
      <c r="I6" s="336"/>
      <c r="O6" s="64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64"/>
      <c r="BI6" s="64"/>
    </row>
    <row r="7" spans="1:61" s="55" customFormat="1">
      <c r="A7" s="407">
        <v>3</v>
      </c>
      <c r="B7" s="408" t="s">
        <v>784</v>
      </c>
      <c r="C7" s="355" t="s">
        <v>785</v>
      </c>
      <c r="D7" s="356" t="s">
        <v>6</v>
      </c>
      <c r="E7" s="356" t="s">
        <v>13</v>
      </c>
      <c r="F7" s="357" t="s">
        <v>47</v>
      </c>
      <c r="G7" s="334" t="s">
        <v>83</v>
      </c>
      <c r="H7" s="336"/>
      <c r="I7" s="336"/>
      <c r="O7" s="64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64"/>
      <c r="BI7" s="64"/>
    </row>
    <row r="8" spans="1:61" s="55" customFormat="1">
      <c r="A8" s="407">
        <v>4</v>
      </c>
      <c r="B8" s="408" t="s">
        <v>786</v>
      </c>
      <c r="C8" s="356" t="s">
        <v>787</v>
      </c>
      <c r="D8" s="356" t="s">
        <v>6</v>
      </c>
      <c r="E8" s="356" t="s">
        <v>13</v>
      </c>
      <c r="F8" s="357" t="s">
        <v>47</v>
      </c>
      <c r="G8" s="334" t="s">
        <v>83</v>
      </c>
      <c r="H8" s="336" t="s">
        <v>54</v>
      </c>
      <c r="I8" s="336">
        <v>46029</v>
      </c>
      <c r="O8" s="64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64"/>
      <c r="BI8" s="64"/>
    </row>
    <row r="9" spans="1:61" s="55" customFormat="1">
      <c r="A9" s="407">
        <v>5</v>
      </c>
      <c r="B9" s="408" t="s">
        <v>788</v>
      </c>
      <c r="C9" s="356" t="s">
        <v>389</v>
      </c>
      <c r="D9" s="356" t="s">
        <v>6</v>
      </c>
      <c r="E9" s="356" t="s">
        <v>13</v>
      </c>
      <c r="F9" s="357" t="s">
        <v>47</v>
      </c>
      <c r="G9" s="334" t="s">
        <v>83</v>
      </c>
      <c r="H9" s="336" t="s">
        <v>54</v>
      </c>
      <c r="I9" s="336">
        <v>46048</v>
      </c>
      <c r="O9" s="64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64"/>
      <c r="BI9" s="64"/>
    </row>
    <row r="10" spans="1:61" s="55" customFormat="1">
      <c r="A10" s="407">
        <v>6</v>
      </c>
      <c r="B10" s="408" t="s">
        <v>789</v>
      </c>
      <c r="C10" s="355" t="s">
        <v>393</v>
      </c>
      <c r="D10" s="356" t="s">
        <v>6</v>
      </c>
      <c r="E10" s="356" t="s">
        <v>13</v>
      </c>
      <c r="F10" s="357" t="s">
        <v>47</v>
      </c>
      <c r="G10" s="334" t="s">
        <v>83</v>
      </c>
      <c r="H10" s="336" t="s">
        <v>54</v>
      </c>
      <c r="I10" s="336">
        <v>46062</v>
      </c>
      <c r="O10" s="64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64"/>
      <c r="BI10" s="64"/>
    </row>
    <row r="11" spans="1:61" s="55" customFormat="1">
      <c r="A11" s="407">
        <v>7</v>
      </c>
      <c r="B11" s="408" t="s">
        <v>790</v>
      </c>
      <c r="C11" s="355" t="s">
        <v>791</v>
      </c>
      <c r="D11" s="356" t="s">
        <v>6</v>
      </c>
      <c r="E11" s="356" t="s">
        <v>13</v>
      </c>
      <c r="F11" s="357" t="s">
        <v>47</v>
      </c>
      <c r="G11" s="334" t="s">
        <v>83</v>
      </c>
      <c r="H11" s="336" t="s">
        <v>54</v>
      </c>
      <c r="I11" s="336">
        <v>46167</v>
      </c>
      <c r="O11" s="64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64"/>
      <c r="BI11" s="64"/>
    </row>
    <row r="12" spans="1:61" s="55" customFormat="1">
      <c r="A12" s="407">
        <v>8</v>
      </c>
      <c r="B12" s="408" t="s">
        <v>792</v>
      </c>
      <c r="C12" s="355" t="s">
        <v>793</v>
      </c>
      <c r="D12" s="358" t="s">
        <v>6</v>
      </c>
      <c r="E12" s="356" t="s">
        <v>13</v>
      </c>
      <c r="F12" s="357" t="s">
        <v>47</v>
      </c>
      <c r="G12" s="334" t="s">
        <v>83</v>
      </c>
      <c r="H12" s="336"/>
      <c r="I12" s="336"/>
      <c r="O12" s="64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64"/>
      <c r="BI12" s="64"/>
    </row>
    <row r="13" spans="1:61" s="55" customFormat="1">
      <c r="A13" s="407">
        <v>9</v>
      </c>
      <c r="B13" s="408" t="s">
        <v>794</v>
      </c>
      <c r="C13" s="355" t="s">
        <v>795</v>
      </c>
      <c r="D13" s="356" t="s">
        <v>6</v>
      </c>
      <c r="E13" s="356" t="s">
        <v>13</v>
      </c>
      <c r="F13" s="357" t="s">
        <v>47</v>
      </c>
      <c r="G13" s="334" t="s">
        <v>83</v>
      </c>
      <c r="H13" s="336" t="s">
        <v>54</v>
      </c>
      <c r="I13" s="336">
        <v>46188</v>
      </c>
      <c r="O13" s="64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64"/>
      <c r="BI13" s="64"/>
    </row>
    <row r="14" spans="1:61" s="55" customFormat="1">
      <c r="A14" s="407">
        <v>10</v>
      </c>
      <c r="B14" s="408" t="s">
        <v>796</v>
      </c>
      <c r="C14" s="355" t="s">
        <v>797</v>
      </c>
      <c r="D14" s="356" t="s">
        <v>6</v>
      </c>
      <c r="E14" s="356" t="s">
        <v>13</v>
      </c>
      <c r="F14" s="357" t="s">
        <v>47</v>
      </c>
      <c r="G14" s="334" t="s">
        <v>83</v>
      </c>
      <c r="H14" s="336" t="s">
        <v>54</v>
      </c>
      <c r="I14" s="336">
        <v>46188</v>
      </c>
      <c r="O14" s="64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64"/>
      <c r="BI14" s="64"/>
    </row>
    <row r="15" spans="1:61" s="55" customFormat="1">
      <c r="A15" s="407">
        <v>11</v>
      </c>
      <c r="B15" s="408" t="s">
        <v>798</v>
      </c>
      <c r="C15" s="356" t="s">
        <v>679</v>
      </c>
      <c r="D15" s="356" t="s">
        <v>59</v>
      </c>
      <c r="E15" s="356" t="s">
        <v>13</v>
      </c>
      <c r="F15" s="357" t="s">
        <v>47</v>
      </c>
      <c r="G15" s="334" t="s">
        <v>83</v>
      </c>
      <c r="H15" s="336"/>
      <c r="I15" s="336"/>
      <c r="O15" s="64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64"/>
      <c r="BI15" s="64"/>
    </row>
    <row r="16" spans="1:61" s="55" customFormat="1">
      <c r="A16" s="407">
        <v>12</v>
      </c>
      <c r="B16" s="408" t="s">
        <v>799</v>
      </c>
      <c r="C16" s="355" t="s">
        <v>680</v>
      </c>
      <c r="D16" s="356" t="s">
        <v>800</v>
      </c>
      <c r="E16" s="356" t="s">
        <v>13</v>
      </c>
      <c r="F16" s="357" t="s">
        <v>47</v>
      </c>
      <c r="G16" s="334" t="s">
        <v>83</v>
      </c>
      <c r="H16" s="336"/>
      <c r="I16" s="336"/>
      <c r="O16" s="64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64"/>
      <c r="BI16" s="64"/>
    </row>
    <row r="17" spans="1:62" s="55" customFormat="1">
      <c r="A17" s="407">
        <v>13</v>
      </c>
      <c r="B17" s="408" t="s">
        <v>801</v>
      </c>
      <c r="C17" s="356" t="s">
        <v>678</v>
      </c>
      <c r="D17" s="356" t="s">
        <v>59</v>
      </c>
      <c r="E17" s="356" t="s">
        <v>13</v>
      </c>
      <c r="F17" s="357" t="s">
        <v>47</v>
      </c>
      <c r="G17" s="334" t="s">
        <v>83</v>
      </c>
      <c r="H17" s="336"/>
      <c r="I17" s="336"/>
      <c r="O17" s="64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64"/>
      <c r="BI17" s="64"/>
    </row>
    <row r="18" spans="1:62" s="55" customFormat="1">
      <c r="A18" s="312">
        <v>14</v>
      </c>
      <c r="B18" s="313" t="s">
        <v>802</v>
      </c>
      <c r="C18" s="256" t="s">
        <v>682</v>
      </c>
      <c r="D18" s="81" t="s">
        <v>800</v>
      </c>
      <c r="E18" s="81" t="s">
        <v>13</v>
      </c>
      <c r="F18" s="82" t="s">
        <v>47</v>
      </c>
      <c r="G18" s="205" t="s">
        <v>83</v>
      </c>
      <c r="H18" s="206"/>
      <c r="I18" s="206"/>
      <c r="J18" s="64"/>
      <c r="K18" s="64"/>
      <c r="L18" s="64"/>
      <c r="M18" s="64"/>
      <c r="N18" s="64"/>
      <c r="O18" s="64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64"/>
      <c r="BI18" s="64"/>
    </row>
    <row r="19" spans="1:62" s="55" customFormat="1">
      <c r="A19" s="407">
        <v>15</v>
      </c>
      <c r="B19" s="408" t="s">
        <v>803</v>
      </c>
      <c r="C19" s="356" t="s">
        <v>558</v>
      </c>
      <c r="D19" s="356" t="s">
        <v>59</v>
      </c>
      <c r="E19" s="356" t="s">
        <v>13</v>
      </c>
      <c r="F19" s="357" t="s">
        <v>47</v>
      </c>
      <c r="G19" s="334" t="s">
        <v>83</v>
      </c>
      <c r="H19" s="336" t="s">
        <v>730</v>
      </c>
      <c r="I19" s="336" t="s">
        <v>730</v>
      </c>
      <c r="J19" s="64"/>
      <c r="K19" s="64"/>
      <c r="L19" s="64"/>
      <c r="M19" s="64"/>
      <c r="N19" s="64"/>
      <c r="O19" s="64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64"/>
      <c r="BI19" s="64"/>
    </row>
    <row r="20" spans="1:62" s="55" customFormat="1">
      <c r="A20" s="312">
        <v>16</v>
      </c>
      <c r="B20" s="313" t="s">
        <v>804</v>
      </c>
      <c r="C20" s="65" t="s">
        <v>805</v>
      </c>
      <c r="D20" s="65" t="s">
        <v>806</v>
      </c>
      <c r="E20" s="65" t="s">
        <v>177</v>
      </c>
      <c r="F20" s="66" t="s">
        <v>47</v>
      </c>
      <c r="G20" s="197" t="s">
        <v>83</v>
      </c>
      <c r="H20" s="208"/>
      <c r="I20" s="208"/>
      <c r="J20" s="64"/>
      <c r="K20" s="64"/>
      <c r="L20" s="64"/>
      <c r="M20" s="64"/>
      <c r="N20" s="64"/>
      <c r="O20" s="64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64"/>
      <c r="BI20" s="64"/>
    </row>
    <row r="21" spans="1:62" s="55" customFormat="1">
      <c r="A21" s="351">
        <v>17</v>
      </c>
      <c r="B21" s="338"/>
      <c r="C21" s="344" t="s">
        <v>807</v>
      </c>
      <c r="D21" s="345" t="s">
        <v>6</v>
      </c>
      <c r="E21" s="345" t="s">
        <v>739</v>
      </c>
      <c r="F21" s="346" t="s">
        <v>7</v>
      </c>
      <c r="G21" s="347" t="s">
        <v>83</v>
      </c>
      <c r="H21" s="348"/>
      <c r="I21" s="348"/>
      <c r="J21" s="64"/>
      <c r="K21" s="64"/>
      <c r="L21" s="64"/>
      <c r="M21" s="64"/>
      <c r="N21" s="64"/>
      <c r="O21" s="64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64"/>
      <c r="BI21" s="64"/>
    </row>
    <row r="22" spans="1:62" s="55" customFormat="1">
      <c r="A22" s="312">
        <v>18</v>
      </c>
      <c r="B22" s="313" t="s">
        <v>808</v>
      </c>
      <c r="C22" s="92" t="s">
        <v>809</v>
      </c>
      <c r="D22" s="65" t="s">
        <v>806</v>
      </c>
      <c r="E22" s="65" t="s">
        <v>13</v>
      </c>
      <c r="F22" s="66" t="s">
        <v>7</v>
      </c>
      <c r="G22" s="197" t="s">
        <v>83</v>
      </c>
      <c r="H22" s="208"/>
      <c r="I22" s="208"/>
      <c r="J22" s="64"/>
      <c r="K22" s="64"/>
      <c r="L22" s="64"/>
      <c r="M22" s="64"/>
      <c r="N22" s="64"/>
      <c r="O22" s="64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64"/>
      <c r="BI22" s="64"/>
    </row>
    <row r="23" spans="1:62" s="55" customFormat="1">
      <c r="A23" s="411">
        <v>19</v>
      </c>
      <c r="B23" s="409" t="s">
        <v>810</v>
      </c>
      <c r="C23" s="231" t="s">
        <v>811</v>
      </c>
      <c r="D23" s="51" t="s">
        <v>6</v>
      </c>
      <c r="E23" s="68" t="s">
        <v>13</v>
      </c>
      <c r="F23" s="61" t="s">
        <v>7</v>
      </c>
      <c r="G23" s="157" t="s">
        <v>83</v>
      </c>
      <c r="H23" s="207"/>
      <c r="I23" s="207"/>
      <c r="J23" s="64"/>
      <c r="K23" s="64"/>
      <c r="L23" s="64"/>
      <c r="M23" s="64"/>
      <c r="N23" s="64"/>
      <c r="O23" s="64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64"/>
      <c r="BI23" s="64"/>
    </row>
    <row r="24" spans="1:62" s="55" customFormat="1">
      <c r="A24" s="411">
        <v>20</v>
      </c>
      <c r="B24" s="409" t="s">
        <v>812</v>
      </c>
      <c r="C24" s="231" t="s">
        <v>813</v>
      </c>
      <c r="D24" s="51" t="s">
        <v>6</v>
      </c>
      <c r="E24" s="68" t="s">
        <v>13</v>
      </c>
      <c r="F24" s="61" t="s">
        <v>7</v>
      </c>
      <c r="G24" s="157" t="s">
        <v>83</v>
      </c>
      <c r="H24" s="207"/>
      <c r="I24" s="207"/>
      <c r="J24" s="61"/>
      <c r="O24" s="64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64"/>
      <c r="BI24" s="64"/>
    </row>
    <row r="25" spans="1:62" s="55" customFormat="1">
      <c r="A25" s="411">
        <v>21</v>
      </c>
      <c r="B25" s="409" t="s">
        <v>814</v>
      </c>
      <c r="C25" s="86" t="s">
        <v>681</v>
      </c>
      <c r="D25" s="51" t="s">
        <v>6</v>
      </c>
      <c r="E25" s="51" t="s">
        <v>13</v>
      </c>
      <c r="F25" s="61" t="s">
        <v>7</v>
      </c>
      <c r="G25" s="157" t="s">
        <v>83</v>
      </c>
      <c r="H25" s="207"/>
      <c r="I25" s="207"/>
      <c r="J25" s="64"/>
      <c r="K25" s="64"/>
      <c r="L25" s="64"/>
      <c r="M25" s="64"/>
      <c r="N25" s="64"/>
      <c r="O25" s="64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64"/>
      <c r="BI25" s="64"/>
    </row>
    <row r="26" spans="1:62" s="55" customFormat="1">
      <c r="A26" s="411">
        <v>22</v>
      </c>
      <c r="B26" s="409" t="s">
        <v>815</v>
      </c>
      <c r="C26" s="68" t="s">
        <v>816</v>
      </c>
      <c r="D26" s="51" t="s">
        <v>6</v>
      </c>
      <c r="E26" s="68" t="s">
        <v>13</v>
      </c>
      <c r="F26" s="61" t="s">
        <v>7</v>
      </c>
      <c r="G26" s="157" t="s">
        <v>83</v>
      </c>
      <c r="H26" s="198" t="s">
        <v>54</v>
      </c>
      <c r="I26" s="198">
        <v>46055</v>
      </c>
      <c r="J26" s="64"/>
      <c r="K26" s="64"/>
      <c r="L26" s="64"/>
      <c r="M26" s="64"/>
      <c r="N26" s="64"/>
      <c r="O26" s="64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64"/>
      <c r="BI26" s="64"/>
    </row>
    <row r="27" spans="1:62">
      <c r="A27" s="411">
        <v>23</v>
      </c>
      <c r="B27" s="409" t="s">
        <v>817</v>
      </c>
      <c r="C27" s="266" t="s">
        <v>818</v>
      </c>
      <c r="D27" s="51" t="s">
        <v>6</v>
      </c>
      <c r="E27" s="68" t="s">
        <v>13</v>
      </c>
      <c r="F27" s="61" t="s">
        <v>7</v>
      </c>
      <c r="G27" s="157" t="s">
        <v>83</v>
      </c>
      <c r="H27" s="198"/>
      <c r="I27" s="198"/>
      <c r="J27" s="64"/>
      <c r="K27" s="64"/>
      <c r="L27" s="64"/>
      <c r="M27" s="64"/>
      <c r="N27" s="64"/>
      <c r="O27" s="64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64"/>
      <c r="BI27" s="64"/>
    </row>
    <row r="28" spans="1:62">
      <c r="A28" s="411">
        <v>24</v>
      </c>
      <c r="B28" s="409" t="s">
        <v>819</v>
      </c>
      <c r="C28" s="266" t="s">
        <v>820</v>
      </c>
      <c r="D28" s="51" t="s">
        <v>6</v>
      </c>
      <c r="E28" s="68" t="s">
        <v>13</v>
      </c>
      <c r="F28" s="61" t="s">
        <v>7</v>
      </c>
      <c r="G28" s="157" t="s">
        <v>83</v>
      </c>
      <c r="H28" s="198"/>
      <c r="I28" s="198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</row>
    <row r="29" spans="1:62">
      <c r="A29" s="411">
        <v>25</v>
      </c>
      <c r="B29" s="409" t="s">
        <v>821</v>
      </c>
      <c r="C29" s="213" t="s">
        <v>822</v>
      </c>
      <c r="D29" s="51" t="s">
        <v>6</v>
      </c>
      <c r="E29" s="68" t="s">
        <v>13</v>
      </c>
      <c r="F29" s="61" t="s">
        <v>7</v>
      </c>
      <c r="G29" s="157" t="s">
        <v>83</v>
      </c>
      <c r="H29" s="198" t="s">
        <v>54</v>
      </c>
      <c r="I29" s="198">
        <v>46055</v>
      </c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</row>
    <row r="30" spans="1:62">
      <c r="A30" s="411">
        <v>26</v>
      </c>
      <c r="B30" s="409" t="s">
        <v>823</v>
      </c>
      <c r="C30" s="68" t="s">
        <v>571</v>
      </c>
      <c r="D30" s="51" t="s">
        <v>6</v>
      </c>
      <c r="E30" s="68" t="s">
        <v>13</v>
      </c>
      <c r="F30" s="61" t="s">
        <v>7</v>
      </c>
      <c r="G30" s="157" t="s">
        <v>83</v>
      </c>
      <c r="H30" s="198" t="s">
        <v>54</v>
      </c>
      <c r="I30" s="198">
        <v>45965</v>
      </c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</row>
    <row r="31" spans="1:62">
      <c r="A31" s="411">
        <v>27</v>
      </c>
      <c r="B31" s="409" t="s">
        <v>824</v>
      </c>
      <c r="C31" s="90" t="s">
        <v>515</v>
      </c>
      <c r="D31" s="51" t="s">
        <v>6</v>
      </c>
      <c r="E31" s="68" t="s">
        <v>13</v>
      </c>
      <c r="F31" s="61" t="s">
        <v>7</v>
      </c>
      <c r="G31" s="157" t="s">
        <v>83</v>
      </c>
      <c r="H31" s="198" t="s">
        <v>54</v>
      </c>
      <c r="I31" s="198">
        <v>46146</v>
      </c>
      <c r="J31" s="55"/>
      <c r="K31" s="55"/>
      <c r="L31" s="55"/>
      <c r="M31" s="55"/>
      <c r="N31" s="55"/>
      <c r="O31" s="64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64"/>
      <c r="BI31" s="64"/>
    </row>
    <row r="32" spans="1:62" ht="15" customHeight="1">
      <c r="A32" s="411">
        <v>28</v>
      </c>
      <c r="B32" s="409" t="s">
        <v>825</v>
      </c>
      <c r="C32" s="321" t="s">
        <v>653</v>
      </c>
      <c r="D32" s="314" t="s">
        <v>59</v>
      </c>
      <c r="E32" s="314" t="s">
        <v>13</v>
      </c>
      <c r="F32" s="317" t="s">
        <v>7</v>
      </c>
      <c r="G32" s="319" t="s">
        <v>83</v>
      </c>
      <c r="H32" s="316"/>
      <c r="I32" s="316"/>
      <c r="J32" s="55"/>
      <c r="K32" s="55"/>
      <c r="L32" s="55"/>
      <c r="M32" s="55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64"/>
      <c r="BI32" s="194"/>
      <c r="BJ32" s="203"/>
    </row>
    <row r="33" spans="1:62" ht="15" customHeight="1">
      <c r="A33" s="411">
        <v>29</v>
      </c>
      <c r="B33" s="409" t="s">
        <v>826</v>
      </c>
      <c r="C33" s="231" t="s">
        <v>677</v>
      </c>
      <c r="D33" s="68" t="s">
        <v>59</v>
      </c>
      <c r="E33" s="68" t="s">
        <v>13</v>
      </c>
      <c r="F33" s="61" t="s">
        <v>7</v>
      </c>
      <c r="G33" s="157" t="s">
        <v>83</v>
      </c>
      <c r="H33" s="198"/>
      <c r="I33" s="198"/>
      <c r="J33" s="55"/>
      <c r="K33" s="55"/>
      <c r="L33" s="55"/>
      <c r="M33" s="55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64"/>
      <c r="BI33" s="194"/>
      <c r="BJ33" s="203"/>
    </row>
    <row r="34" spans="1:62" ht="15" customHeight="1">
      <c r="A34" s="411">
        <v>30</v>
      </c>
      <c r="B34" s="409" t="s">
        <v>827</v>
      </c>
      <c r="C34" s="231" t="s">
        <v>828</v>
      </c>
      <c r="D34" s="68" t="s">
        <v>800</v>
      </c>
      <c r="E34" s="68" t="s">
        <v>13</v>
      </c>
      <c r="F34" s="61" t="s">
        <v>7</v>
      </c>
      <c r="G34" s="157" t="s">
        <v>83</v>
      </c>
      <c r="H34" s="198" t="s">
        <v>54</v>
      </c>
      <c r="I34" s="198">
        <v>46132</v>
      </c>
      <c r="J34" s="55"/>
      <c r="K34" s="55"/>
      <c r="L34" s="55"/>
      <c r="M34" s="55"/>
      <c r="N34" s="55"/>
      <c r="O34" s="64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64"/>
      <c r="BI34" s="64"/>
      <c r="BJ34" s="55"/>
    </row>
    <row r="35" spans="1:62" ht="15" customHeight="1">
      <c r="A35" s="411">
        <v>31</v>
      </c>
      <c r="B35" s="409" t="s">
        <v>829</v>
      </c>
      <c r="C35" s="195" t="s">
        <v>830</v>
      </c>
      <c r="D35" s="68" t="s">
        <v>59</v>
      </c>
      <c r="E35" s="68" t="s">
        <v>13</v>
      </c>
      <c r="F35" s="61" t="s">
        <v>7</v>
      </c>
      <c r="G35" s="157" t="s">
        <v>83</v>
      </c>
      <c r="H35" s="198" t="s">
        <v>831</v>
      </c>
      <c r="I35" s="198">
        <v>46146</v>
      </c>
      <c r="J35" s="64"/>
      <c r="K35" s="64"/>
      <c r="L35" s="64"/>
      <c r="M35" s="64"/>
      <c r="N35" s="64"/>
      <c r="O35" s="64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64"/>
      <c r="BI35" s="64"/>
      <c r="BJ35" s="55"/>
    </row>
    <row r="36" spans="1:62" ht="15" customHeight="1">
      <c r="A36" s="411">
        <v>32</v>
      </c>
      <c r="B36" s="409" t="s">
        <v>832</v>
      </c>
      <c r="C36" s="231" t="s">
        <v>108</v>
      </c>
      <c r="D36" s="68" t="s">
        <v>59</v>
      </c>
      <c r="E36" s="68" t="s">
        <v>13</v>
      </c>
      <c r="F36" s="61" t="s">
        <v>7</v>
      </c>
      <c r="G36" s="157" t="s">
        <v>83</v>
      </c>
      <c r="H36" s="198" t="s">
        <v>54</v>
      </c>
      <c r="I36" s="198">
        <v>46181</v>
      </c>
      <c r="J36" s="55"/>
      <c r="K36" s="55"/>
      <c r="L36" s="55"/>
      <c r="M36" s="55"/>
      <c r="N36" s="55"/>
      <c r="O36" s="64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64"/>
      <c r="BI36" s="64"/>
      <c r="BJ36" s="55"/>
    </row>
  </sheetData>
  <autoFilter ref="A4:I36" xr:uid="{00000000-0001-0000-0400-000000000000}"/>
  <conditionalFormatting sqref="A1:E1 O3:BI17">
    <cfRule type="cellIs" dxfId="74" priority="14" operator="equal">
      <formula>"S"</formula>
    </cfRule>
  </conditionalFormatting>
  <conditionalFormatting sqref="A4:H4">
    <cfRule type="cellIs" dxfId="73" priority="13" operator="equal">
      <formula>"S"</formula>
    </cfRule>
  </conditionalFormatting>
  <conditionalFormatting sqref="A3:I3">
    <cfRule type="cellIs" dxfId="72" priority="29" operator="equal">
      <formula>"S"</formula>
    </cfRule>
  </conditionalFormatting>
  <conditionalFormatting sqref="C15:C20">
    <cfRule type="cellIs" dxfId="71" priority="21" operator="equal">
      <formula>"S"</formula>
    </cfRule>
  </conditionalFormatting>
  <conditionalFormatting sqref="C25">
    <cfRule type="cellIs" dxfId="70" priority="23" operator="equal">
      <formula>"S"</formula>
    </cfRule>
  </conditionalFormatting>
  <conditionalFormatting sqref="C28">
    <cfRule type="cellIs" dxfId="69" priority="19" operator="equal">
      <formula>"S"</formula>
    </cfRule>
  </conditionalFormatting>
  <conditionalFormatting sqref="C31">
    <cfRule type="cellIs" dxfId="68" priority="10" operator="equal">
      <formula>"S"</formula>
    </cfRule>
  </conditionalFormatting>
  <conditionalFormatting sqref="J25:BI27">
    <cfRule type="cellIs" dxfId="67" priority="16" operator="equal">
      <formula>"S"</formula>
    </cfRule>
  </conditionalFormatting>
  <conditionalFormatting sqref="N32:BH33">
    <cfRule type="cellIs" dxfId="66" priority="7" operator="equal">
      <formula>"S"</formula>
    </cfRule>
  </conditionalFormatting>
  <conditionalFormatting sqref="J18:BI23">
    <cfRule type="cellIs" dxfId="65" priority="28" operator="equal">
      <formula>"S"</formula>
    </cfRule>
  </conditionalFormatting>
  <conditionalFormatting sqref="O24:BI24">
    <cfRule type="cellIs" dxfId="64" priority="12" operator="equal">
      <formula>"S"</formula>
    </cfRule>
  </conditionalFormatting>
  <conditionalFormatting sqref="O31:BI31">
    <cfRule type="cellIs" dxfId="63" priority="11" operator="equal">
      <formula>"S"</formula>
    </cfRule>
  </conditionalFormatting>
  <conditionalFormatting sqref="O34:BI34">
    <cfRule type="cellIs" dxfId="62" priority="4" operator="equal">
      <formula>"S"</formula>
    </cfRule>
  </conditionalFormatting>
  <conditionalFormatting sqref="C34">
    <cfRule type="cellIs" dxfId="61" priority="5" operator="equal">
      <formula>"S"</formula>
    </cfRule>
  </conditionalFormatting>
  <conditionalFormatting sqref="C35">
    <cfRule type="cellIs" dxfId="60" priority="2" operator="equal">
      <formula>"S"</formula>
    </cfRule>
  </conditionalFormatting>
  <conditionalFormatting sqref="J35:BI35">
    <cfRule type="cellIs" dxfId="59" priority="3" operator="equal">
      <formula>"S"</formula>
    </cfRule>
  </conditionalFormatting>
  <conditionalFormatting sqref="O36:BI36">
    <cfRule type="cellIs" dxfId="58" priority="1" operator="equal">
      <formula>"S"</formula>
    </cfRule>
  </conditionalFormatting>
  <pageMargins left="0.7" right="0.7" top="0.75" bottom="0.75" header="0.511811023622047" footer="0.511811023622047"/>
  <pageSetup paperSize="9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34"/>
  <sheetViews>
    <sheetView showGridLines="0" zoomScaleNormal="100" workbookViewId="0">
      <selection activeCell="A31" sqref="A31:B31"/>
    </sheetView>
  </sheetViews>
  <sheetFormatPr defaultColWidth="11.42578125" defaultRowHeight="15"/>
  <cols>
    <col min="1" max="1" width="18.42578125" style="49" customWidth="1"/>
    <col min="2" max="2" width="14.5703125" style="49" customWidth="1"/>
    <col min="3" max="3" width="42.42578125" style="49" customWidth="1"/>
    <col min="4" max="4" width="29.28515625" style="49" customWidth="1"/>
    <col min="5" max="5" width="14.28515625" style="49" customWidth="1"/>
    <col min="6" max="6" width="13.7109375" style="49" customWidth="1"/>
    <col min="7" max="7" width="10.28515625" style="49" customWidth="1"/>
    <col min="8" max="8" width="10.7109375" style="50" customWidth="1"/>
    <col min="9" max="9" width="20" style="55" customWidth="1"/>
    <col min="10" max="10" width="12" style="49" customWidth="1"/>
    <col min="11" max="11" width="10" style="49" customWidth="1"/>
    <col min="12" max="12" width="6.140625" style="49" customWidth="1"/>
    <col min="13" max="13" width="5.7109375" style="49" customWidth="1"/>
    <col min="14" max="14" width="10.7109375" style="49" customWidth="1"/>
    <col min="15" max="16384" width="11.42578125" style="49"/>
  </cols>
  <sheetData>
    <row r="1" spans="1:61">
      <c r="A1" s="80" t="s">
        <v>715</v>
      </c>
      <c r="B1" s="80" t="s">
        <v>716</v>
      </c>
      <c r="C1" s="80" t="s">
        <v>717</v>
      </c>
      <c r="D1" s="80" t="s">
        <v>718</v>
      </c>
      <c r="E1" s="80" t="s">
        <v>719</v>
      </c>
      <c r="F1" s="78" t="s">
        <v>720</v>
      </c>
      <c r="J1" s="52" t="s">
        <v>721</v>
      </c>
      <c r="K1" s="52" t="s">
        <v>722</v>
      </c>
    </row>
    <row r="2" spans="1:61">
      <c r="A2" s="79">
        <f ca="1">SUMPRODUCT((D5:D9994="Producción - Electricidad")*(E5:E9994="OK")*(F5:F9994="T1")*(1+ISNUMBER(H5:H9994)*((0.2+0.3*(IFERROR((TODAY()-H5:H9994)/30.44,0)&gt;3)+0.25*(IFERROR((TODAY()-H5:H9994)/30.44,0)&gt;6)+0.25*(IFERROR((TODAY()-H5:H9994)/30.44,0)&gt;9))-1)))</f>
        <v>6</v>
      </c>
      <c r="B2" s="79"/>
      <c r="C2" s="79">
        <f ca="1">SUMPRODUCT((D5:D9994="Producción - Electricidad")*(E5:E9994="OK")*(F5:F9994="T2")*(1+ISNUMBER(H5:H9994)*((0.2+0.3*(IFERROR((TODAY()-H5:H9994)/30.44,0)&gt;3)+0.25*(IFERROR((TODAY()-H5:H9994)/30.44,0)&gt;6)+0.25*(IFERROR((TODAY()-H5:H9994)/30.44,0)&gt;9))-1)))</f>
        <v>5</v>
      </c>
      <c r="D2" s="79">
        <f ca="1">SUMPRODUCT((D5:D9994="Producción")*(E5:E9994="OK")*(F5:F9994="T1")*(1+ISNUMBER(H5:H9994)*((0.2+0.3*(IFERROR((TODAY()-H5:H9994)/30.44,0)&gt;3)+0.25*(IFERROR((TODAY()-H5:H9994)/30.44,0)&gt;6)+0.25*(IFERROR((TODAY()-H5:H9994)/30.44,0)&gt;9))-1)))</f>
        <v>7</v>
      </c>
      <c r="E2" s="79">
        <f ca="1">SUMPRODUCT((D5:D9994="Producción")*(E5:E9994="OK")*(F5:F9994="T2")*(1+ISNUMBER(H5:H9994)*((0.2+0.3*(IFERROR((TODAY()-H5:H9994)/30.44,0)&gt;3)+0.25*(IFERROR((TODAY()-H5:H9994)/30.44,0)&gt;6)+0.25*(IFERROR((TODAY()-H5:H9994)/30.44,0)&gt;9))-1)))</f>
        <v>7</v>
      </c>
      <c r="F2" s="79">
        <f ca="1">SUM(A2:E2)</f>
        <v>25</v>
      </c>
      <c r="J2" s="58" t="s">
        <v>723</v>
      </c>
      <c r="K2" s="54">
        <f ca="1">A2</f>
        <v>6</v>
      </c>
    </row>
    <row r="3" spans="1:61" s="55" customFormat="1">
      <c r="I3" s="67"/>
      <c r="J3" s="58" t="s">
        <v>724</v>
      </c>
      <c r="K3" s="54">
        <f ca="1">C2</f>
        <v>5</v>
      </c>
      <c r="O3" s="64"/>
      <c r="P3" s="59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</row>
    <row r="4" spans="1:61" s="55" customFormat="1">
      <c r="A4" s="61" t="s">
        <v>722</v>
      </c>
      <c r="B4" s="80" t="s">
        <v>716</v>
      </c>
      <c r="C4" s="51" t="s">
        <v>0</v>
      </c>
      <c r="D4" s="51" t="s">
        <v>1</v>
      </c>
      <c r="E4" s="51" t="s">
        <v>725</v>
      </c>
      <c r="F4" s="61" t="s">
        <v>3</v>
      </c>
      <c r="G4" s="61" t="s">
        <v>4</v>
      </c>
      <c r="H4" s="201" t="s">
        <v>54</v>
      </c>
      <c r="I4" s="79" t="s">
        <v>726</v>
      </c>
      <c r="J4" s="58" t="s">
        <v>727</v>
      </c>
      <c r="K4" s="54">
        <f ca="1">D2</f>
        <v>7</v>
      </c>
      <c r="O4" s="64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</row>
    <row r="5" spans="1:61" s="55" customFormat="1">
      <c r="A5" s="337">
        <v>1</v>
      </c>
      <c r="B5" s="338"/>
      <c r="C5" s="339" t="s">
        <v>833</v>
      </c>
      <c r="D5" s="339" t="s">
        <v>11</v>
      </c>
      <c r="E5" s="339" t="s">
        <v>739</v>
      </c>
      <c r="F5" s="338" t="s">
        <v>47</v>
      </c>
      <c r="G5" s="341" t="s">
        <v>114</v>
      </c>
      <c r="H5" s="349"/>
      <c r="I5" s="349"/>
      <c r="J5" s="58" t="s">
        <v>731</v>
      </c>
      <c r="K5" s="54">
        <f ca="1">E2</f>
        <v>7</v>
      </c>
      <c r="O5" s="64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</row>
    <row r="6" spans="1:61" s="55" customFormat="1">
      <c r="A6" s="82">
        <v>2</v>
      </c>
      <c r="B6" s="303" t="s">
        <v>834</v>
      </c>
      <c r="C6" s="81" t="s">
        <v>835</v>
      </c>
      <c r="D6" s="81" t="s">
        <v>67</v>
      </c>
      <c r="E6" s="81" t="s">
        <v>13</v>
      </c>
      <c r="F6" s="82" t="s">
        <v>47</v>
      </c>
      <c r="G6" s="205" t="s">
        <v>114</v>
      </c>
      <c r="H6" s="206"/>
      <c r="I6" s="206"/>
      <c r="O6" s="64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</row>
    <row r="7" spans="1:61" s="55" customFormat="1">
      <c r="A7" s="61">
        <v>3</v>
      </c>
      <c r="B7" s="219" t="s">
        <v>836</v>
      </c>
      <c r="C7" s="356" t="s">
        <v>579</v>
      </c>
      <c r="D7" s="356" t="s">
        <v>6</v>
      </c>
      <c r="E7" s="356" t="s">
        <v>13</v>
      </c>
      <c r="F7" s="357" t="s">
        <v>47</v>
      </c>
      <c r="G7" s="334" t="s">
        <v>114</v>
      </c>
      <c r="H7" s="336"/>
      <c r="I7" s="336"/>
      <c r="O7" s="64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</row>
    <row r="8" spans="1:61" s="225" customFormat="1">
      <c r="A8" s="61">
        <v>4</v>
      </c>
      <c r="B8" s="219" t="s">
        <v>837</v>
      </c>
      <c r="C8" s="355" t="s">
        <v>838</v>
      </c>
      <c r="D8" s="356" t="s">
        <v>6</v>
      </c>
      <c r="E8" s="356" t="s">
        <v>13</v>
      </c>
      <c r="F8" s="357" t="s">
        <v>47</v>
      </c>
      <c r="G8" s="334" t="s">
        <v>114</v>
      </c>
      <c r="H8" s="336" t="s">
        <v>54</v>
      </c>
      <c r="I8" s="336">
        <v>46125</v>
      </c>
      <c r="O8" s="226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</row>
    <row r="9" spans="1:61" s="55" customFormat="1">
      <c r="A9" s="61">
        <v>5</v>
      </c>
      <c r="B9" s="219" t="s">
        <v>839</v>
      </c>
      <c r="C9" s="355" t="s">
        <v>685</v>
      </c>
      <c r="D9" s="356" t="s">
        <v>6</v>
      </c>
      <c r="E9" s="356" t="s">
        <v>13</v>
      </c>
      <c r="F9" s="357" t="s">
        <v>47</v>
      </c>
      <c r="G9" s="334" t="s">
        <v>114</v>
      </c>
      <c r="H9" s="336" t="s">
        <v>54</v>
      </c>
      <c r="I9" s="336">
        <v>46076</v>
      </c>
      <c r="O9" s="64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</row>
    <row r="10" spans="1:61" s="55" customFormat="1">
      <c r="A10" s="61">
        <v>6</v>
      </c>
      <c r="B10" s="219" t="s">
        <v>840</v>
      </c>
      <c r="C10" s="355" t="s">
        <v>841</v>
      </c>
      <c r="D10" s="356" t="s">
        <v>6</v>
      </c>
      <c r="E10" s="356" t="s">
        <v>13</v>
      </c>
      <c r="F10" s="357" t="s">
        <v>47</v>
      </c>
      <c r="G10" s="334" t="s">
        <v>114</v>
      </c>
      <c r="H10" s="336"/>
      <c r="I10" s="336"/>
      <c r="O10" s="64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</row>
    <row r="11" spans="1:61" s="55" customFormat="1">
      <c r="A11" s="61">
        <v>7</v>
      </c>
      <c r="B11" s="219" t="s">
        <v>842</v>
      </c>
      <c r="C11" s="355" t="s">
        <v>843</v>
      </c>
      <c r="D11" s="356" t="s">
        <v>6</v>
      </c>
      <c r="E11" s="356" t="s">
        <v>13</v>
      </c>
      <c r="F11" s="357" t="s">
        <v>47</v>
      </c>
      <c r="G11" s="334" t="s">
        <v>114</v>
      </c>
      <c r="H11" s="336"/>
      <c r="I11" s="336"/>
      <c r="O11" s="64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</row>
    <row r="12" spans="1:61" s="55" customFormat="1">
      <c r="A12" s="61">
        <v>8</v>
      </c>
      <c r="B12" s="219" t="s">
        <v>844</v>
      </c>
      <c r="C12" s="355" t="s">
        <v>845</v>
      </c>
      <c r="D12" s="356" t="s">
        <v>6</v>
      </c>
      <c r="E12" s="356" t="s">
        <v>13</v>
      </c>
      <c r="F12" s="357" t="s">
        <v>47</v>
      </c>
      <c r="G12" s="334" t="s">
        <v>114</v>
      </c>
      <c r="H12" s="336" t="s">
        <v>54</v>
      </c>
      <c r="I12" s="336">
        <v>46076</v>
      </c>
      <c r="O12" s="64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1" s="55" customFormat="1">
      <c r="A13" s="61">
        <v>9</v>
      </c>
      <c r="B13" s="219" t="s">
        <v>846</v>
      </c>
      <c r="C13" s="355" t="s">
        <v>847</v>
      </c>
      <c r="D13" s="356" t="s">
        <v>6</v>
      </c>
      <c r="E13" s="356" t="s">
        <v>13</v>
      </c>
      <c r="F13" s="357" t="s">
        <v>47</v>
      </c>
      <c r="G13" s="334" t="s">
        <v>114</v>
      </c>
      <c r="H13" s="336"/>
      <c r="I13" s="336"/>
      <c r="O13" s="64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</row>
    <row r="14" spans="1:61" s="55" customFormat="1">
      <c r="A14" s="61">
        <v>10</v>
      </c>
      <c r="B14" s="219" t="s">
        <v>848</v>
      </c>
      <c r="C14" s="355" t="s">
        <v>849</v>
      </c>
      <c r="D14" s="356" t="s">
        <v>59</v>
      </c>
      <c r="E14" s="356" t="s">
        <v>13</v>
      </c>
      <c r="F14" s="357" t="s">
        <v>47</v>
      </c>
      <c r="G14" s="334" t="s">
        <v>114</v>
      </c>
      <c r="H14" s="336" t="s">
        <v>730</v>
      </c>
      <c r="I14" s="336" t="s">
        <v>730</v>
      </c>
      <c r="O14" s="64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</row>
    <row r="15" spans="1:61" s="55" customFormat="1">
      <c r="A15" s="61">
        <v>11</v>
      </c>
      <c r="B15" s="219" t="s">
        <v>850</v>
      </c>
      <c r="C15" s="355" t="s">
        <v>851</v>
      </c>
      <c r="D15" s="356" t="s">
        <v>59</v>
      </c>
      <c r="E15" s="356" t="s">
        <v>13</v>
      </c>
      <c r="F15" s="357" t="s">
        <v>47</v>
      </c>
      <c r="G15" s="334" t="s">
        <v>114</v>
      </c>
      <c r="H15" s="336" t="s">
        <v>831</v>
      </c>
      <c r="I15" s="336">
        <v>46181</v>
      </c>
      <c r="J15" s="64"/>
      <c r="K15" s="64"/>
      <c r="L15" s="64"/>
      <c r="M15" s="64"/>
      <c r="N15" s="64"/>
      <c r="O15" s="64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</row>
    <row r="16" spans="1:61" s="55" customFormat="1">
      <c r="A16" s="61">
        <v>12</v>
      </c>
      <c r="B16" s="219" t="s">
        <v>852</v>
      </c>
      <c r="C16" s="355" t="s">
        <v>853</v>
      </c>
      <c r="D16" s="356" t="s">
        <v>59</v>
      </c>
      <c r="E16" s="356" t="s">
        <v>13</v>
      </c>
      <c r="F16" s="357" t="s">
        <v>47</v>
      </c>
      <c r="G16" s="334" t="s">
        <v>114</v>
      </c>
      <c r="H16" s="336"/>
      <c r="I16" s="336"/>
      <c r="O16" s="64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</row>
    <row r="17" spans="1:61" s="55" customFormat="1">
      <c r="A17" s="61">
        <v>13</v>
      </c>
      <c r="B17" s="219" t="s">
        <v>854</v>
      </c>
      <c r="C17" s="355" t="s">
        <v>855</v>
      </c>
      <c r="D17" s="356" t="s">
        <v>59</v>
      </c>
      <c r="E17" s="356" t="s">
        <v>13</v>
      </c>
      <c r="F17" s="357" t="s">
        <v>47</v>
      </c>
      <c r="G17" s="334" t="s">
        <v>114</v>
      </c>
      <c r="H17" s="336"/>
      <c r="I17" s="336"/>
      <c r="J17" s="64"/>
      <c r="K17" s="64"/>
      <c r="L17" s="64"/>
      <c r="M17" s="64"/>
      <c r="N17" s="64"/>
      <c r="O17" s="64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</row>
    <row r="18" spans="1:61" s="55" customFormat="1">
      <c r="A18" s="82">
        <v>14</v>
      </c>
      <c r="B18" s="303" t="s">
        <v>856</v>
      </c>
      <c r="C18" s="81" t="s">
        <v>857</v>
      </c>
      <c r="D18" s="81" t="s">
        <v>59</v>
      </c>
      <c r="E18" s="81" t="s">
        <v>13</v>
      </c>
      <c r="F18" s="82" t="s">
        <v>47</v>
      </c>
      <c r="G18" s="205" t="s">
        <v>114</v>
      </c>
      <c r="H18" s="206"/>
      <c r="I18" s="206"/>
      <c r="J18" s="64"/>
      <c r="K18" s="64"/>
      <c r="L18" s="64"/>
      <c r="M18" s="64"/>
      <c r="N18" s="64"/>
      <c r="O18" s="64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</row>
    <row r="19" spans="1:61" s="55" customFormat="1">
      <c r="A19" s="61">
        <v>15</v>
      </c>
      <c r="B19" s="219" t="s">
        <v>858</v>
      </c>
      <c r="C19" s="355" t="s">
        <v>493</v>
      </c>
      <c r="D19" s="356" t="s">
        <v>59</v>
      </c>
      <c r="E19" s="356" t="s">
        <v>13</v>
      </c>
      <c r="F19" s="357" t="s">
        <v>47</v>
      </c>
      <c r="G19" s="334" t="s">
        <v>114</v>
      </c>
      <c r="H19" s="336" t="s">
        <v>831</v>
      </c>
      <c r="I19" s="336">
        <v>46202</v>
      </c>
      <c r="J19" s="64"/>
      <c r="K19" s="64"/>
      <c r="L19" s="64"/>
      <c r="M19" s="64"/>
      <c r="N19" s="64"/>
      <c r="O19" s="64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</row>
    <row r="20" spans="1:61" s="55" customFormat="1">
      <c r="A20" s="337">
        <v>16</v>
      </c>
      <c r="B20" s="338"/>
      <c r="C20" s="344" t="s">
        <v>859</v>
      </c>
      <c r="D20" s="345" t="s">
        <v>6</v>
      </c>
      <c r="E20" s="345" t="s">
        <v>739</v>
      </c>
      <c r="F20" s="346" t="s">
        <v>7</v>
      </c>
      <c r="G20" s="347" t="s">
        <v>114</v>
      </c>
      <c r="H20" s="348"/>
      <c r="I20" s="348"/>
      <c r="J20" s="64"/>
      <c r="K20" s="64"/>
      <c r="L20" s="64"/>
      <c r="M20" s="64"/>
      <c r="N20" s="64"/>
      <c r="O20" s="64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</row>
    <row r="21" spans="1:61" s="55" customFormat="1">
      <c r="A21" s="82">
        <v>17</v>
      </c>
      <c r="B21" s="303" t="s">
        <v>860</v>
      </c>
      <c r="C21" s="84" t="s">
        <v>585</v>
      </c>
      <c r="D21" s="81" t="s">
        <v>67</v>
      </c>
      <c r="E21" s="81" t="s">
        <v>13</v>
      </c>
      <c r="F21" s="82" t="s">
        <v>7</v>
      </c>
      <c r="G21" s="205" t="s">
        <v>114</v>
      </c>
      <c r="H21" s="206"/>
      <c r="I21" s="206"/>
      <c r="J21" s="64"/>
      <c r="K21" s="64"/>
      <c r="L21" s="64"/>
      <c r="M21" s="64"/>
      <c r="N21" s="64"/>
      <c r="O21" s="64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</row>
    <row r="22" spans="1:61" s="55" customFormat="1">
      <c r="A22" s="412">
        <v>18</v>
      </c>
      <c r="B22" s="409" t="s">
        <v>861</v>
      </c>
      <c r="C22" s="85" t="s">
        <v>599</v>
      </c>
      <c r="D22" s="51" t="s">
        <v>6</v>
      </c>
      <c r="E22" s="68" t="s">
        <v>13</v>
      </c>
      <c r="F22" s="61" t="s">
        <v>7</v>
      </c>
      <c r="G22" s="157" t="s">
        <v>114</v>
      </c>
      <c r="H22" s="198"/>
      <c r="I22" s="198"/>
      <c r="J22" s="70"/>
      <c r="K22" s="70"/>
      <c r="L22" s="64"/>
      <c r="M22" s="64"/>
      <c r="N22" s="64"/>
      <c r="O22" s="64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</row>
    <row r="23" spans="1:61" s="55" customFormat="1">
      <c r="A23" s="82">
        <v>19</v>
      </c>
      <c r="B23" s="303" t="s">
        <v>862</v>
      </c>
      <c r="C23" s="84" t="s">
        <v>863</v>
      </c>
      <c r="D23" s="65" t="s">
        <v>67</v>
      </c>
      <c r="E23" s="65" t="s">
        <v>13</v>
      </c>
      <c r="F23" s="66" t="s">
        <v>7</v>
      </c>
      <c r="G23" s="197" t="s">
        <v>114</v>
      </c>
      <c r="H23" s="200"/>
      <c r="I23" s="200"/>
      <c r="L23" s="67"/>
      <c r="M23" s="64"/>
      <c r="N23" s="64"/>
      <c r="O23" s="64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</row>
    <row r="24" spans="1:61" s="55" customFormat="1">
      <c r="A24" s="412">
        <v>20</v>
      </c>
      <c r="B24" s="409" t="s">
        <v>864</v>
      </c>
      <c r="C24" s="51" t="s">
        <v>865</v>
      </c>
      <c r="D24" s="51" t="s">
        <v>6</v>
      </c>
      <c r="E24" s="68" t="s">
        <v>13</v>
      </c>
      <c r="F24" s="61" t="s">
        <v>7</v>
      </c>
      <c r="G24" s="157" t="s">
        <v>114</v>
      </c>
      <c r="H24" s="198"/>
      <c r="I24" s="198"/>
      <c r="J24" s="53"/>
      <c r="K24" s="53"/>
      <c r="L24" s="64"/>
      <c r="M24" s="64"/>
      <c r="N24" s="64"/>
      <c r="O24" s="64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</row>
    <row r="25" spans="1:61" s="55" customFormat="1">
      <c r="A25" s="412">
        <v>21</v>
      </c>
      <c r="B25" s="409" t="s">
        <v>866</v>
      </c>
      <c r="C25" s="86" t="s">
        <v>586</v>
      </c>
      <c r="D25" s="51" t="s">
        <v>6</v>
      </c>
      <c r="E25" s="68" t="s">
        <v>13</v>
      </c>
      <c r="F25" s="61" t="s">
        <v>7</v>
      </c>
      <c r="G25" s="157" t="s">
        <v>114</v>
      </c>
      <c r="H25" s="198"/>
      <c r="I25" s="198"/>
      <c r="L25" s="64"/>
      <c r="M25" s="64"/>
      <c r="N25" s="64"/>
      <c r="O25" s="64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</row>
    <row r="26" spans="1:61" s="55" customFormat="1">
      <c r="A26" s="412">
        <v>22</v>
      </c>
      <c r="B26" s="409" t="s">
        <v>867</v>
      </c>
      <c r="C26" s="85" t="s">
        <v>600</v>
      </c>
      <c r="D26" s="51" t="s">
        <v>6</v>
      </c>
      <c r="E26" s="68" t="s">
        <v>13</v>
      </c>
      <c r="F26" s="61" t="s">
        <v>7</v>
      </c>
      <c r="G26" s="157" t="s">
        <v>114</v>
      </c>
      <c r="H26" s="198"/>
      <c r="I26" s="198"/>
      <c r="L26" s="64"/>
      <c r="M26" s="64"/>
      <c r="N26" s="64"/>
      <c r="O26" s="64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</row>
    <row r="27" spans="1:61" s="55" customFormat="1">
      <c r="A27" s="412">
        <v>23</v>
      </c>
      <c r="B27" s="409" t="s">
        <v>868</v>
      </c>
      <c r="C27" s="231" t="s">
        <v>869</v>
      </c>
      <c r="D27" s="51" t="s">
        <v>6</v>
      </c>
      <c r="E27" s="68" t="s">
        <v>13</v>
      </c>
      <c r="F27" s="61" t="s">
        <v>7</v>
      </c>
      <c r="G27" s="157" t="s">
        <v>114</v>
      </c>
      <c r="H27" s="198"/>
      <c r="I27" s="198"/>
      <c r="J27" s="64"/>
      <c r="K27" s="64"/>
      <c r="L27" s="64"/>
      <c r="M27" s="64"/>
      <c r="N27" s="64"/>
      <c r="O27" s="64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</row>
    <row r="28" spans="1:61" s="55" customFormat="1">
      <c r="A28" s="412">
        <v>24</v>
      </c>
      <c r="B28" s="409" t="s">
        <v>870</v>
      </c>
      <c r="C28" s="68" t="s">
        <v>871</v>
      </c>
      <c r="D28" s="51" t="s">
        <v>6</v>
      </c>
      <c r="E28" s="68" t="s">
        <v>13</v>
      </c>
      <c r="F28" s="61" t="s">
        <v>7</v>
      </c>
      <c r="G28" s="157" t="s">
        <v>114</v>
      </c>
      <c r="H28" s="198" t="s">
        <v>54</v>
      </c>
      <c r="I28" s="198">
        <v>46084</v>
      </c>
      <c r="J28" s="64"/>
      <c r="K28" s="64"/>
      <c r="L28" s="64"/>
      <c r="M28" s="64"/>
      <c r="N28" s="64"/>
      <c r="O28" s="64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</row>
    <row r="29" spans="1:61" s="55" customFormat="1">
      <c r="A29" s="412">
        <v>25</v>
      </c>
      <c r="B29" s="409" t="s">
        <v>872</v>
      </c>
      <c r="C29" s="213" t="s">
        <v>873</v>
      </c>
      <c r="D29" s="51" t="s">
        <v>6</v>
      </c>
      <c r="E29" s="68" t="s">
        <v>13</v>
      </c>
      <c r="F29" s="61" t="s">
        <v>7</v>
      </c>
      <c r="G29" s="267" t="s">
        <v>114</v>
      </c>
      <c r="H29" s="211" t="s">
        <v>54</v>
      </c>
      <c r="I29" s="211">
        <v>46119</v>
      </c>
      <c r="J29" s="64"/>
      <c r="K29" s="64"/>
      <c r="L29" s="64"/>
      <c r="M29" s="64"/>
      <c r="N29" s="64"/>
      <c r="O29" s="64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</row>
    <row r="30" spans="1:61" s="55" customFormat="1">
      <c r="A30" s="412">
        <v>26</v>
      </c>
      <c r="B30" s="409" t="s">
        <v>874</v>
      </c>
      <c r="C30" s="156" t="s">
        <v>875</v>
      </c>
      <c r="D30" s="51" t="s">
        <v>59</v>
      </c>
      <c r="E30" s="51" t="s">
        <v>13</v>
      </c>
      <c r="F30" s="157" t="s">
        <v>7</v>
      </c>
      <c r="G30" s="296" t="s">
        <v>114</v>
      </c>
      <c r="H30" s="212" t="s">
        <v>54</v>
      </c>
      <c r="I30" s="212">
        <v>46069</v>
      </c>
      <c r="J30" s="64"/>
      <c r="K30" s="64"/>
      <c r="L30" s="64"/>
      <c r="M30" s="64"/>
      <c r="N30" s="64"/>
      <c r="O30" s="64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</row>
    <row r="31" spans="1:61" s="55" customFormat="1">
      <c r="A31" s="412">
        <v>27</v>
      </c>
      <c r="B31" s="409" t="s">
        <v>876</v>
      </c>
      <c r="C31" s="231" t="s">
        <v>877</v>
      </c>
      <c r="D31" s="51" t="s">
        <v>59</v>
      </c>
      <c r="E31" s="68" t="s">
        <v>13</v>
      </c>
      <c r="F31" s="61" t="s">
        <v>7</v>
      </c>
      <c r="G31" s="210" t="s">
        <v>114</v>
      </c>
      <c r="H31" s="406"/>
      <c r="I31" s="406"/>
      <c r="J31" s="64"/>
      <c r="K31" s="64"/>
      <c r="L31" s="64"/>
      <c r="M31" s="64"/>
      <c r="N31" s="64"/>
      <c r="O31" s="64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</row>
    <row r="32" spans="1:61">
      <c r="A32" s="412">
        <v>28</v>
      </c>
      <c r="B32" s="409" t="s">
        <v>878</v>
      </c>
      <c r="C32" s="318" t="s">
        <v>690</v>
      </c>
      <c r="D32" s="311" t="s">
        <v>59</v>
      </c>
      <c r="E32" s="311" t="s">
        <v>13</v>
      </c>
      <c r="F32" s="315" t="s">
        <v>7</v>
      </c>
      <c r="G32" s="413" t="s">
        <v>114</v>
      </c>
      <c r="H32" s="316"/>
      <c r="I32" s="316"/>
      <c r="J32" s="55"/>
      <c r="K32" s="55"/>
      <c r="L32" s="55"/>
      <c r="M32" s="55"/>
      <c r="N32" s="55"/>
      <c r="O32" s="64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64"/>
      <c r="BI32" s="64"/>
    </row>
    <row r="33" spans="1:61">
      <c r="A33" s="412">
        <v>29</v>
      </c>
      <c r="B33" s="409" t="s">
        <v>879</v>
      </c>
      <c r="C33" s="86" t="s">
        <v>646</v>
      </c>
      <c r="D33" s="51" t="s">
        <v>59</v>
      </c>
      <c r="E33" s="68" t="s">
        <v>13</v>
      </c>
      <c r="F33" s="61" t="s">
        <v>7</v>
      </c>
      <c r="G33" s="210" t="s">
        <v>114</v>
      </c>
      <c r="H33" s="415"/>
      <c r="I33" s="198"/>
      <c r="J33" s="64"/>
      <c r="K33" s="64"/>
      <c r="L33" s="64"/>
      <c r="M33" s="64"/>
      <c r="N33" s="64"/>
      <c r="O33" s="64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64"/>
      <c r="BI33" s="64"/>
    </row>
    <row r="34" spans="1:61">
      <c r="A34" s="412">
        <v>30</v>
      </c>
      <c r="B34" s="409" t="s">
        <v>880</v>
      </c>
      <c r="C34" s="51" t="s">
        <v>470</v>
      </c>
      <c r="D34" s="51" t="s">
        <v>59</v>
      </c>
      <c r="E34" s="68" t="s">
        <v>13</v>
      </c>
      <c r="F34" s="61" t="s">
        <v>7</v>
      </c>
      <c r="G34" s="210" t="s">
        <v>114</v>
      </c>
      <c r="H34" s="414" t="s">
        <v>831</v>
      </c>
      <c r="I34" s="268">
        <v>46146</v>
      </c>
      <c r="J34" s="64"/>
      <c r="K34" s="64"/>
      <c r="L34" s="64"/>
      <c r="M34" s="64"/>
      <c r="N34" s="64"/>
      <c r="O34" s="64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64"/>
      <c r="BI34" s="64"/>
    </row>
  </sheetData>
  <autoFilter ref="A4:I34" xr:uid="{00000000-0001-0000-0500-000000000000}">
    <sortState xmlns:xlrd2="http://schemas.microsoft.com/office/spreadsheetml/2017/richdata2" ref="A5:I34">
      <sortCondition ref="F4:F33"/>
    </sortState>
  </autoFilter>
  <conditionalFormatting sqref="A3:B3 I3 L25:BI26 D31:G31 O3:BI14 O16:BI16 H24:BI24 H27:BI31 H15:BI15 H17:BI22">
    <cfRule type="cellIs" dxfId="57" priority="21" operator="equal">
      <formula>"S"</formula>
    </cfRule>
  </conditionalFormatting>
  <conditionalFormatting sqref="A2:C2">
    <cfRule type="cellIs" dxfId="56" priority="19" operator="equal">
      <formula>"S"</formula>
    </cfRule>
  </conditionalFormatting>
  <conditionalFormatting sqref="A1:E1">
    <cfRule type="cellIs" dxfId="55" priority="7" operator="equal">
      <formula>"S"</formula>
    </cfRule>
  </conditionalFormatting>
  <conditionalFormatting sqref="A4:H4">
    <cfRule type="cellIs" dxfId="54" priority="6" operator="equal">
      <formula>"S"</formula>
    </cfRule>
  </conditionalFormatting>
  <conditionalFormatting sqref="C20:C24">
    <cfRule type="cellIs" dxfId="53" priority="13" operator="equal">
      <formula>"S"</formula>
    </cfRule>
  </conditionalFormatting>
  <conditionalFormatting sqref="C27:C29">
    <cfRule type="cellIs" dxfId="52" priority="10" operator="equal">
      <formula>"S"</formula>
    </cfRule>
  </conditionalFormatting>
  <conditionalFormatting sqref="C31">
    <cfRule type="cellIs" dxfId="51" priority="9" operator="equal">
      <formula>"S"</formula>
    </cfRule>
  </conditionalFormatting>
  <conditionalFormatting sqref="C33:C34">
    <cfRule type="cellIs" dxfId="50" priority="4" operator="equal">
      <formula>"S"</formula>
    </cfRule>
  </conditionalFormatting>
  <conditionalFormatting sqref="G33:G34">
    <cfRule type="cellIs" dxfId="49" priority="3" operator="equal">
      <formula>"S"</formula>
    </cfRule>
  </conditionalFormatting>
  <conditionalFormatting sqref="J33:BI33">
    <cfRule type="cellIs" dxfId="48" priority="2" operator="equal">
      <formula>"S"</formula>
    </cfRule>
  </conditionalFormatting>
  <conditionalFormatting sqref="L23:BI23">
    <cfRule type="cellIs" dxfId="47" priority="20" operator="equal">
      <formula>"S"</formula>
    </cfRule>
  </conditionalFormatting>
  <conditionalFormatting sqref="O32:BI32">
    <cfRule type="cellIs" dxfId="46" priority="8" operator="equal">
      <formula>"S"</formula>
    </cfRule>
  </conditionalFormatting>
  <conditionalFormatting sqref="J34:BI34">
    <cfRule type="cellIs" dxfId="45" priority="1" operator="equal">
      <formula>"S"</formula>
    </cfRule>
  </conditionalFormatting>
  <pageMargins left="0.7" right="0.7" top="0.75" bottom="0.75" header="0.511811023622047" footer="0.511811023622047"/>
  <pageSetup paperSize="9" orientation="landscape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28"/>
  <sheetViews>
    <sheetView showGridLines="0" zoomScaleNormal="100" workbookViewId="0">
      <selection activeCell="F34" sqref="F34"/>
    </sheetView>
  </sheetViews>
  <sheetFormatPr defaultColWidth="11.42578125" defaultRowHeight="15" customHeight="1"/>
  <cols>
    <col min="1" max="1" width="12.5703125" style="49" customWidth="1"/>
    <col min="2" max="2" width="15.42578125" style="49" customWidth="1"/>
    <col min="3" max="3" width="68.5703125" style="49" customWidth="1"/>
    <col min="4" max="4" width="29.28515625" style="49" customWidth="1"/>
    <col min="5" max="5" width="14.28515625" style="49" customWidth="1"/>
    <col min="6" max="6" width="13.7109375" style="49" customWidth="1"/>
    <col min="7" max="7" width="11.42578125" style="49"/>
    <col min="8" max="8" width="11.42578125" style="50"/>
    <col min="9" max="9" width="18.140625" style="49" customWidth="1"/>
    <col min="10" max="10" width="12" style="49" customWidth="1"/>
    <col min="11" max="11" width="10" style="49" customWidth="1"/>
    <col min="12" max="12" width="6.140625" style="49" customWidth="1"/>
    <col min="13" max="13" width="5.7109375" style="49" customWidth="1"/>
    <col min="14" max="16384" width="11.42578125" style="49"/>
  </cols>
  <sheetData>
    <row r="1" spans="1:62">
      <c r="A1" s="80" t="s">
        <v>715</v>
      </c>
      <c r="B1" s="80"/>
      <c r="C1" s="80" t="s">
        <v>717</v>
      </c>
      <c r="D1" s="80" t="s">
        <v>718</v>
      </c>
      <c r="E1" s="80" t="s">
        <v>719</v>
      </c>
      <c r="F1" s="78" t="s">
        <v>720</v>
      </c>
      <c r="J1" s="52" t="s">
        <v>721</v>
      </c>
      <c r="K1" s="52" t="s">
        <v>722</v>
      </c>
      <c r="M1" s="49">
        <v>1</v>
      </c>
      <c r="N1" s="49" t="s">
        <v>881</v>
      </c>
    </row>
    <row r="2" spans="1:62">
      <c r="A2" s="79">
        <f ca="1">SUMPRODUCT((D5:D9991="Producción - Electricidad")*(E5:E9991="OK")*(F5:F9991="T1")*(1+ISNUMBER(H5:H9991)*((0.2+0.3*(IFERROR((TODAY()-H5:H9991)/30.44,0)&gt;3)+0.25*(IFERROR((TODAY()-H5:H9991)/30.44,0)&gt;6)+0.25*(IFERROR((TODAY()-H5:H9991)/30.44,0)&gt;9))-1)))</f>
        <v>2</v>
      </c>
      <c r="B2" s="79"/>
      <c r="C2" s="79">
        <f ca="1">SUMPRODUCT((D5:D9991="Producción - Electricidad")*(E5:E9991="OK")*(F5:F9991="T2")*(1+ISNUMBER(H5:H9991)*((0.2+0.3*(IFERROR((TODAY()-H5:H9991)/30.44,0)&gt;3)+0.25*(IFERROR((TODAY()-H5:H9991)/30.44,0)&gt;6)+0.25*(IFERROR((TODAY()-H5:H9991)/30.44,0)&gt;9))-1)))</f>
        <v>3</v>
      </c>
      <c r="D2" s="79">
        <f ca="1">SUMPRODUCT((D5:D9991="Producción")*(E5:E9991="OK")*(F5:F9991="T1")*(1+ISNUMBER(H5:H9991)*((0.2+0.3*(IFERROR((TODAY()-H5:H9991)/30.44,0)&gt;3)+0.25*(IFERROR((TODAY()-H5:H9991)/30.44,0)&gt;6)+0.25*(IFERROR((TODAY()-H5:H9991)/30.44,0)&gt;9))-1)))</f>
        <v>4</v>
      </c>
      <c r="E2" s="79">
        <f ca="1">SUMPRODUCT((D5:D9991="Producción")*(E5:E9991="OK")*(F5:F9991="T2")*(1+ISNUMBER(H5:H9991)*((0.2+0.3*(IFERROR((TODAY()-H5:H9991)/30.44,0)&gt;3)+0.25*(IFERROR((TODAY()-H5:H9991)/30.44,0)&gt;6)+0.25*(IFERROR((TODAY()-H5:H9991)/30.44,0)&gt;9))-1)))</f>
        <v>5</v>
      </c>
      <c r="F2" s="79">
        <f ca="1">SUM(A2:E2)</f>
        <v>14</v>
      </c>
      <c r="J2" s="58" t="s">
        <v>723</v>
      </c>
      <c r="K2" s="54">
        <f ca="1">A2</f>
        <v>2</v>
      </c>
      <c r="M2" s="49">
        <v>1</v>
      </c>
      <c r="N2" s="49">
        <v>0</v>
      </c>
    </row>
    <row r="3" spans="1:62">
      <c r="J3" s="58" t="s">
        <v>724</v>
      </c>
      <c r="K3" s="54">
        <f ca="1">C2</f>
        <v>3</v>
      </c>
      <c r="L3" s="55"/>
      <c r="M3" s="55"/>
      <c r="N3" s="55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</row>
    <row r="4" spans="1:62" s="55" customFormat="1">
      <c r="A4" s="61" t="s">
        <v>722</v>
      </c>
      <c r="B4" s="80" t="s">
        <v>716</v>
      </c>
      <c r="C4" s="51" t="s">
        <v>0</v>
      </c>
      <c r="D4" s="51" t="s">
        <v>1</v>
      </c>
      <c r="E4" s="51" t="s">
        <v>725</v>
      </c>
      <c r="F4" s="157" t="s">
        <v>3</v>
      </c>
      <c r="G4" s="79" t="s">
        <v>4</v>
      </c>
      <c r="H4" s="439" t="s">
        <v>54</v>
      </c>
      <c r="I4" s="444" t="s">
        <v>726</v>
      </c>
      <c r="J4" s="196" t="s">
        <v>727</v>
      </c>
      <c r="K4" s="54">
        <f ca="1">D2</f>
        <v>4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55" customFormat="1">
      <c r="A5" s="337">
        <v>1</v>
      </c>
      <c r="B5" s="338"/>
      <c r="C5" s="339" t="s">
        <v>882</v>
      </c>
      <c r="D5" s="340" t="s">
        <v>59</v>
      </c>
      <c r="E5" s="339" t="s">
        <v>739</v>
      </c>
      <c r="F5" s="338" t="s">
        <v>47</v>
      </c>
      <c r="G5" s="438" t="s">
        <v>146</v>
      </c>
      <c r="H5" s="437"/>
      <c r="I5" s="343"/>
      <c r="J5" s="58" t="s">
        <v>731</v>
      </c>
      <c r="K5" s="54">
        <f ca="1">E2</f>
        <v>5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60"/>
    </row>
    <row r="6" spans="1:62" s="55" customFormat="1">
      <c r="A6" s="61">
        <v>2</v>
      </c>
      <c r="B6" s="219" t="s">
        <v>883</v>
      </c>
      <c r="C6" s="356" t="s">
        <v>589</v>
      </c>
      <c r="D6" s="356" t="s">
        <v>6</v>
      </c>
      <c r="E6" s="356" t="s">
        <v>13</v>
      </c>
      <c r="F6" s="357" t="s">
        <v>47</v>
      </c>
      <c r="G6" s="334" t="s">
        <v>146</v>
      </c>
      <c r="H6" s="403"/>
      <c r="I6" s="359"/>
      <c r="J6" s="58"/>
      <c r="K6" s="54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60"/>
    </row>
    <row r="7" spans="1:62" s="55" customFormat="1">
      <c r="A7" s="61">
        <v>3</v>
      </c>
      <c r="B7" s="219" t="s">
        <v>884</v>
      </c>
      <c r="C7" s="356" t="s">
        <v>577</v>
      </c>
      <c r="D7" s="356" t="s">
        <v>6</v>
      </c>
      <c r="E7" s="356" t="s">
        <v>13</v>
      </c>
      <c r="F7" s="357" t="s">
        <v>47</v>
      </c>
      <c r="G7" s="334" t="s">
        <v>146</v>
      </c>
      <c r="H7" s="403"/>
      <c r="I7" s="336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60"/>
    </row>
    <row r="8" spans="1:62" s="55" customFormat="1">
      <c r="A8" s="61">
        <v>4</v>
      </c>
      <c r="B8" s="219" t="s">
        <v>885</v>
      </c>
      <c r="C8" s="391" t="s">
        <v>694</v>
      </c>
      <c r="D8" s="391" t="s">
        <v>6</v>
      </c>
      <c r="E8" s="356" t="s">
        <v>13</v>
      </c>
      <c r="F8" s="357" t="s">
        <v>47</v>
      </c>
      <c r="G8" s="334" t="s">
        <v>146</v>
      </c>
      <c r="H8" s="403" t="s">
        <v>54</v>
      </c>
      <c r="I8" s="336">
        <v>46084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60"/>
    </row>
    <row r="9" spans="1:62" s="55" customFormat="1" ht="12.75" customHeight="1">
      <c r="A9" s="61">
        <v>5</v>
      </c>
      <c r="B9" s="219" t="s">
        <v>886</v>
      </c>
      <c r="C9" s="391" t="s">
        <v>887</v>
      </c>
      <c r="D9" s="391" t="s">
        <v>6</v>
      </c>
      <c r="E9" s="356" t="s">
        <v>13</v>
      </c>
      <c r="F9" s="357" t="s">
        <v>47</v>
      </c>
      <c r="G9" s="334" t="s">
        <v>146</v>
      </c>
      <c r="H9" s="403" t="s">
        <v>54</v>
      </c>
      <c r="I9" s="336">
        <v>46161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60"/>
    </row>
    <row r="10" spans="1:62" s="55" customFormat="1">
      <c r="A10" s="61">
        <v>6</v>
      </c>
      <c r="B10" s="219"/>
      <c r="C10" s="391" t="s">
        <v>464</v>
      </c>
      <c r="D10" s="391" t="s">
        <v>888</v>
      </c>
      <c r="E10" s="356" t="s">
        <v>13</v>
      </c>
      <c r="F10" s="357" t="s">
        <v>47</v>
      </c>
      <c r="G10" s="334" t="s">
        <v>146</v>
      </c>
      <c r="H10" s="403" t="s">
        <v>54</v>
      </c>
      <c r="I10" s="336">
        <v>46188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60"/>
    </row>
    <row r="11" spans="1:62" s="55" customFormat="1">
      <c r="A11" s="61">
        <v>7</v>
      </c>
      <c r="B11" s="393" t="s">
        <v>889</v>
      </c>
      <c r="C11" s="355" t="s">
        <v>890</v>
      </c>
      <c r="D11" s="356" t="s">
        <v>65</v>
      </c>
      <c r="E11" s="356" t="s">
        <v>13</v>
      </c>
      <c r="F11" s="357" t="s">
        <v>47</v>
      </c>
      <c r="G11" s="334" t="s">
        <v>146</v>
      </c>
      <c r="H11" s="403"/>
      <c r="I11" s="336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55" customFormat="1">
      <c r="A12" s="61">
        <v>8</v>
      </c>
      <c r="B12" s="393" t="s">
        <v>891</v>
      </c>
      <c r="C12" s="356" t="s">
        <v>563</v>
      </c>
      <c r="D12" s="356" t="s">
        <v>892</v>
      </c>
      <c r="E12" s="356" t="s">
        <v>13</v>
      </c>
      <c r="F12" s="357" t="s">
        <v>47</v>
      </c>
      <c r="G12" s="334" t="s">
        <v>146</v>
      </c>
      <c r="H12" s="403"/>
      <c r="I12" s="336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60"/>
    </row>
    <row r="13" spans="1:62" s="55" customFormat="1">
      <c r="A13" s="61">
        <v>9</v>
      </c>
      <c r="B13" s="219" t="s">
        <v>893</v>
      </c>
      <c r="C13" s="390" t="s">
        <v>894</v>
      </c>
      <c r="D13" s="391" t="s">
        <v>65</v>
      </c>
      <c r="E13" s="360" t="s">
        <v>13</v>
      </c>
      <c r="F13" s="361" t="s">
        <v>47</v>
      </c>
      <c r="G13" s="362" t="s">
        <v>146</v>
      </c>
      <c r="H13" s="404" t="s">
        <v>895</v>
      </c>
      <c r="I13" s="363">
        <v>46146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60"/>
    </row>
    <row r="14" spans="1:62" s="55" customFormat="1">
      <c r="A14" s="61">
        <v>10</v>
      </c>
      <c r="B14" s="393" t="s">
        <v>896</v>
      </c>
      <c r="C14" s="355" t="s">
        <v>897</v>
      </c>
      <c r="D14" s="356" t="s">
        <v>59</v>
      </c>
      <c r="E14" s="356" t="s">
        <v>13</v>
      </c>
      <c r="F14" s="357" t="s">
        <v>47</v>
      </c>
      <c r="G14" s="334" t="s">
        <v>146</v>
      </c>
      <c r="H14" s="403" t="s">
        <v>54</v>
      </c>
      <c r="I14" s="336">
        <v>46167</v>
      </c>
      <c r="J14" s="53"/>
      <c r="K14" s="53"/>
      <c r="L14" s="64"/>
      <c r="M14" s="64"/>
      <c r="N14" s="64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60"/>
    </row>
    <row r="15" spans="1:62" s="55" customFormat="1">
      <c r="A15" s="82">
        <v>11</v>
      </c>
      <c r="B15" s="303" t="s">
        <v>898</v>
      </c>
      <c r="C15" s="65" t="s">
        <v>658</v>
      </c>
      <c r="D15" s="65" t="s">
        <v>375</v>
      </c>
      <c r="E15" s="65" t="s">
        <v>177</v>
      </c>
      <c r="F15" s="66" t="s">
        <v>47</v>
      </c>
      <c r="G15" s="197" t="s">
        <v>146</v>
      </c>
      <c r="H15" s="405"/>
      <c r="I15" s="200"/>
      <c r="J15" s="53"/>
      <c r="K15" s="53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60"/>
    </row>
    <row r="16" spans="1:62" s="55" customFormat="1">
      <c r="A16" s="82">
        <v>12</v>
      </c>
      <c r="B16" s="303" t="s">
        <v>899</v>
      </c>
      <c r="C16" s="297" t="s">
        <v>900</v>
      </c>
      <c r="D16" s="298" t="s">
        <v>806</v>
      </c>
      <c r="E16" s="298" t="s">
        <v>177</v>
      </c>
      <c r="F16" s="299" t="s">
        <v>47</v>
      </c>
      <c r="G16" s="445" t="s">
        <v>146</v>
      </c>
      <c r="H16" s="446"/>
      <c r="I16" s="300"/>
      <c r="J16" s="53"/>
      <c r="K16" s="53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60"/>
    </row>
    <row r="17" spans="1:62" s="55" customFormat="1">
      <c r="A17" s="337">
        <v>13</v>
      </c>
      <c r="B17" s="338"/>
      <c r="C17" s="344" t="s">
        <v>901</v>
      </c>
      <c r="D17" s="345" t="s">
        <v>6</v>
      </c>
      <c r="E17" s="345" t="s">
        <v>739</v>
      </c>
      <c r="F17" s="347" t="s">
        <v>7</v>
      </c>
      <c r="G17" s="440" t="s">
        <v>146</v>
      </c>
      <c r="H17" s="441"/>
      <c r="I17" s="348"/>
      <c r="J17" s="53"/>
      <c r="K17" s="53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60"/>
    </row>
    <row r="18" spans="1:62" s="55" customFormat="1">
      <c r="A18" s="412">
        <v>14</v>
      </c>
      <c r="B18" s="409" t="s">
        <v>902</v>
      </c>
      <c r="C18" s="266" t="s">
        <v>903</v>
      </c>
      <c r="D18" s="51" t="s">
        <v>6</v>
      </c>
      <c r="E18" s="68" t="s">
        <v>13</v>
      </c>
      <c r="F18" s="157" t="s">
        <v>7</v>
      </c>
      <c r="G18" s="79" t="s">
        <v>146</v>
      </c>
      <c r="H18" s="442"/>
      <c r="I18" s="198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60"/>
    </row>
    <row r="19" spans="1:62" s="55" customFormat="1">
      <c r="A19" s="412">
        <v>15</v>
      </c>
      <c r="B19" s="409" t="s">
        <v>904</v>
      </c>
      <c r="C19" s="266" t="s">
        <v>905</v>
      </c>
      <c r="D19" s="51" t="s">
        <v>6</v>
      </c>
      <c r="E19" s="68" t="s">
        <v>13</v>
      </c>
      <c r="F19" s="157" t="s">
        <v>7</v>
      </c>
      <c r="G19" s="443" t="s">
        <v>146</v>
      </c>
      <c r="H19" s="442" t="s">
        <v>54</v>
      </c>
      <c r="I19" s="198">
        <v>46132</v>
      </c>
      <c r="J19" s="64"/>
      <c r="K19" s="64"/>
      <c r="L19" s="64"/>
      <c r="M19" s="64"/>
      <c r="N19" s="64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60"/>
    </row>
    <row r="20" spans="1:62">
      <c r="A20" s="61">
        <v>16</v>
      </c>
      <c r="B20" s="219" t="s">
        <v>906</v>
      </c>
      <c r="C20" s="91" t="s">
        <v>907</v>
      </c>
      <c r="D20" s="51" t="s">
        <v>6</v>
      </c>
      <c r="E20" s="68" t="s">
        <v>13</v>
      </c>
      <c r="F20" s="157" t="s">
        <v>7</v>
      </c>
      <c r="G20" s="79" t="s">
        <v>146</v>
      </c>
      <c r="H20" s="442"/>
      <c r="I20" s="19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</row>
    <row r="21" spans="1:62">
      <c r="A21" s="412">
        <v>17</v>
      </c>
      <c r="B21" s="409" t="s">
        <v>908</v>
      </c>
      <c r="C21" s="231" t="s">
        <v>909</v>
      </c>
      <c r="D21" s="68" t="s">
        <v>6</v>
      </c>
      <c r="E21" s="68" t="s">
        <v>13</v>
      </c>
      <c r="F21" s="157" t="s">
        <v>7</v>
      </c>
      <c r="G21" s="79" t="s">
        <v>146</v>
      </c>
      <c r="H21" s="442"/>
      <c r="I21" s="198"/>
      <c r="J21" s="55"/>
      <c r="K21" s="55"/>
      <c r="L21" s="55"/>
      <c r="M21" s="55"/>
      <c r="N21" s="55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60"/>
    </row>
    <row r="22" spans="1:62">
      <c r="A22" s="412">
        <v>18</v>
      </c>
      <c r="B22" s="409" t="s">
        <v>910</v>
      </c>
      <c r="C22" s="266" t="s">
        <v>911</v>
      </c>
      <c r="D22" s="51" t="s">
        <v>6</v>
      </c>
      <c r="E22" s="68" t="s">
        <v>13</v>
      </c>
      <c r="F22" s="157" t="s">
        <v>7</v>
      </c>
      <c r="G22" s="443" t="s">
        <v>146</v>
      </c>
      <c r="H22" s="442" t="s">
        <v>54</v>
      </c>
      <c r="I22" s="198">
        <v>46174</v>
      </c>
      <c r="J22" s="55"/>
      <c r="K22" s="55"/>
      <c r="L22" s="55"/>
      <c r="M22" s="55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64"/>
    </row>
    <row r="23" spans="1:62">
      <c r="A23" s="412">
        <v>19</v>
      </c>
      <c r="B23" s="409" t="s">
        <v>912</v>
      </c>
      <c r="C23" s="231" t="s">
        <v>913</v>
      </c>
      <c r="D23" s="51" t="s">
        <v>59</v>
      </c>
      <c r="E23" s="68" t="s">
        <v>13</v>
      </c>
      <c r="F23" s="157" t="s">
        <v>7</v>
      </c>
      <c r="G23" s="443" t="s">
        <v>146</v>
      </c>
      <c r="H23" s="442"/>
      <c r="I23" s="212"/>
      <c r="J23" s="55"/>
      <c r="K23" s="55"/>
      <c r="L23" s="55"/>
      <c r="M23" s="55"/>
      <c r="N23" s="55"/>
      <c r="O23" s="64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64"/>
      <c r="BI23" s="64"/>
    </row>
    <row r="24" spans="1:62">
      <c r="A24" s="412">
        <v>21</v>
      </c>
      <c r="B24" s="419" t="s">
        <v>914</v>
      </c>
      <c r="C24" s="156" t="s">
        <v>915</v>
      </c>
      <c r="D24" s="51" t="s">
        <v>59</v>
      </c>
      <c r="E24" s="51" t="s">
        <v>13</v>
      </c>
      <c r="F24" s="157" t="s">
        <v>7</v>
      </c>
      <c r="G24" s="79" t="s">
        <v>146</v>
      </c>
      <c r="H24" s="442" t="s">
        <v>54</v>
      </c>
      <c r="I24" s="198">
        <v>46181</v>
      </c>
      <c r="J24" s="55"/>
      <c r="K24" s="55"/>
      <c r="L24" s="55"/>
      <c r="M24" s="55"/>
      <c r="N24" s="55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60"/>
    </row>
    <row r="25" spans="1:62" ht="15" customHeight="1">
      <c r="A25" s="61">
        <v>22</v>
      </c>
      <c r="B25" s="219" t="s">
        <v>916</v>
      </c>
      <c r="C25" s="270" t="s">
        <v>917</v>
      </c>
      <c r="D25" s="51" t="s">
        <v>918</v>
      </c>
      <c r="E25" s="68" t="s">
        <v>13</v>
      </c>
      <c r="F25" s="157" t="s">
        <v>7</v>
      </c>
      <c r="G25" s="443" t="s">
        <v>146</v>
      </c>
      <c r="H25" s="442"/>
      <c r="I25" s="198"/>
      <c r="J25" s="55"/>
      <c r="K25" s="55"/>
      <c r="L25" s="55"/>
      <c r="M25" s="55"/>
      <c r="N25" s="55"/>
      <c r="O25" s="64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64"/>
      <c r="BI25" s="64"/>
    </row>
    <row r="26" spans="1:62" ht="15" customHeight="1">
      <c r="A26" s="82">
        <v>23</v>
      </c>
      <c r="B26" s="303" t="s">
        <v>919</v>
      </c>
      <c r="C26" s="256" t="s">
        <v>920</v>
      </c>
      <c r="D26" s="81" t="s">
        <v>806</v>
      </c>
      <c r="E26" s="81" t="s">
        <v>177</v>
      </c>
      <c r="F26" s="82" t="s">
        <v>47</v>
      </c>
      <c r="G26" s="447" t="s">
        <v>146</v>
      </c>
      <c r="H26" s="448" t="s">
        <v>54</v>
      </c>
      <c r="I26" s="206">
        <v>46203</v>
      </c>
      <c r="J26" s="55"/>
      <c r="K26" s="55"/>
      <c r="L26" s="55"/>
      <c r="M26" s="55"/>
      <c r="N26" s="55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60"/>
    </row>
    <row r="27" spans="1:62" ht="15" customHeight="1">
      <c r="A27" s="412">
        <v>24</v>
      </c>
      <c r="B27" s="409" t="s">
        <v>921</v>
      </c>
      <c r="C27" s="156" t="s">
        <v>922</v>
      </c>
      <c r="D27" s="68" t="s">
        <v>59</v>
      </c>
      <c r="E27" s="68" t="s">
        <v>13</v>
      </c>
      <c r="F27" s="157" t="s">
        <v>7</v>
      </c>
      <c r="G27" s="79" t="s">
        <v>146</v>
      </c>
      <c r="H27" s="442" t="s">
        <v>54</v>
      </c>
      <c r="I27" s="198">
        <v>46153</v>
      </c>
    </row>
    <row r="28" spans="1:62" ht="15" customHeight="1">
      <c r="C28"/>
    </row>
  </sheetData>
  <autoFilter ref="A4:I27" xr:uid="{00000000-0001-0000-0600-000000000000}"/>
  <conditionalFormatting sqref="A1:E1 O23:BI25">
    <cfRule type="cellIs" dxfId="44" priority="11" operator="equal">
      <formula>"S"</formula>
    </cfRule>
  </conditionalFormatting>
  <conditionalFormatting sqref="A4:H4">
    <cfRule type="cellIs" dxfId="43" priority="10" operator="equal">
      <formula>"S"</formula>
    </cfRule>
  </conditionalFormatting>
  <conditionalFormatting sqref="C15:C18">
    <cfRule type="cellIs" dxfId="42" priority="18" operator="equal">
      <formula>"S"</formula>
    </cfRule>
  </conditionalFormatting>
  <conditionalFormatting sqref="C20">
    <cfRule type="cellIs" dxfId="41" priority="19" operator="equal">
      <formula>"S"</formula>
    </cfRule>
  </conditionalFormatting>
  <conditionalFormatting sqref="C24:C25">
    <cfRule type="cellIs" dxfId="40" priority="3" operator="equal">
      <formula>"S"</formula>
    </cfRule>
  </conditionalFormatting>
  <conditionalFormatting sqref="N22:BH22">
    <cfRule type="cellIs" dxfId="39" priority="13" operator="equal">
      <formula>"S"</formula>
    </cfRule>
  </conditionalFormatting>
  <conditionalFormatting sqref="O4:BI13 J14:BI19">
    <cfRule type="cellIs" dxfId="38" priority="25" operator="equal">
      <formula>"S"</formula>
    </cfRule>
  </conditionalFormatting>
  <conditionalFormatting sqref="O21:BI21">
    <cfRule type="cellIs" dxfId="37" priority="15" operator="equal">
      <formula>"S"</formula>
    </cfRule>
  </conditionalFormatting>
  <conditionalFormatting sqref="O26:BI26">
    <cfRule type="cellIs" dxfId="36" priority="1" operator="equal">
      <formula>"S"</formula>
    </cfRule>
  </conditionalFormatting>
  <pageMargins left="0.7" right="0.7" top="0.75" bottom="0.75" header="0.511811023622047" footer="0.511811023622047"/>
  <pageSetup paperSize="9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194"/>
  <sheetViews>
    <sheetView showGridLines="0" zoomScaleNormal="100" workbookViewId="0">
      <selection activeCell="C38" sqref="C38"/>
    </sheetView>
  </sheetViews>
  <sheetFormatPr defaultColWidth="11.42578125" defaultRowHeight="15" customHeight="1"/>
  <cols>
    <col min="1" max="1" width="17.42578125" style="49" customWidth="1"/>
    <col min="2" max="2" width="17.28515625" style="49" customWidth="1"/>
    <col min="3" max="3" width="69.28515625" style="49" customWidth="1"/>
    <col min="4" max="4" width="25.140625" style="49" customWidth="1"/>
    <col min="5" max="5" width="14.7109375" style="49" customWidth="1"/>
    <col min="6" max="6" width="14.28515625" style="49" customWidth="1"/>
    <col min="7" max="7" width="11.42578125" style="49"/>
    <col min="8" max="8" width="11.42578125" style="50"/>
    <col min="9" max="9" width="15.7109375" style="49" customWidth="1"/>
    <col min="10" max="10" width="12" style="49" customWidth="1"/>
    <col min="11" max="11" width="10" style="49" customWidth="1"/>
    <col min="12" max="12" width="6.140625" style="49" customWidth="1"/>
    <col min="13" max="16384" width="11.42578125" style="49"/>
  </cols>
  <sheetData>
    <row r="1" spans="1:61">
      <c r="A1" s="80" t="s">
        <v>715</v>
      </c>
      <c r="B1" s="80" t="s">
        <v>716</v>
      </c>
      <c r="C1" s="80" t="s">
        <v>717</v>
      </c>
      <c r="D1" s="80" t="s">
        <v>718</v>
      </c>
      <c r="E1" s="80" t="s">
        <v>719</v>
      </c>
      <c r="F1" s="78" t="s">
        <v>720</v>
      </c>
      <c r="J1" s="52" t="s">
        <v>721</v>
      </c>
      <c r="K1" s="52" t="s">
        <v>722</v>
      </c>
    </row>
    <row r="2" spans="1:61">
      <c r="A2" s="79">
        <f ca="1">SUMPRODUCT((D5:D194="Producción - Electricidad")*(E5:E194="OK")*(F5:F194="T1")*(1+ISNUMBER(H5:H194)*((0.2+0.3*(IFERROR((TODAY()-H5:H194)/30.44,0)&gt;3)+0.25*(IFERROR((TODAY()-H5:H194)/30.44,0)&gt;6)+0.25*(IFERROR((TODAY()-H5:H194)/30.44,0)&gt;9))-1)))</f>
        <v>5</v>
      </c>
      <c r="B2" s="79"/>
      <c r="C2" s="79">
        <f ca="1">SUMPRODUCT((D5:D194="Producción - Electricidad")*(E5:E194="OK")*(F5:F194="T2")*(1+ISNUMBER(H5:H194)*((0.2+0.3*(IFERROR((TODAY()-H5:H194)/30.44,0)&gt;3)+0.25*(IFERROR((TODAY()-H5:H194)/30.44,0)&gt;6)+0.25*(IFERROR((TODAY()-H5:H194)/30.44,0)&gt;9))-1)))</f>
        <v>3</v>
      </c>
      <c r="D2" s="79">
        <f ca="1">SUMPRODUCT((D5:D194="Producción")*(E5:E194="OK")*(F5:F194="T1")*(1+ISNUMBER(H5:H194)*((0.2+0.3*(IFERROR((TODAY()-H5:H194)/30.44,0)&gt;3)+0.25*(IFERROR((TODAY()-H5:H194)/30.44,0)&gt;6)+0.25*(IFERROR((TODAY()-H5:H194)/30.44,0)&gt;9))-1)))</f>
        <v>8</v>
      </c>
      <c r="E2" s="79">
        <f ca="1">SUMPRODUCT((D5:D194="Producción")*(E5:E194="OK")*(F5:F194="T2")*(1+ISNUMBER(H5:H194)*((0.2+0.3*(IFERROR((TODAY()-H5:H194)/30.44,0)&gt;3)+0.25*(IFERROR((TODAY()-H5:H194)/30.44,0)&gt;6)+0.25*(IFERROR((TODAY()-H5:H194)/30.44,0)&gt;9))-1)))</f>
        <v>6</v>
      </c>
      <c r="F2" s="79">
        <f ca="1">SUM(A2:E2)</f>
        <v>22</v>
      </c>
      <c r="J2" s="58" t="s">
        <v>723</v>
      </c>
      <c r="K2" s="54">
        <f ca="1">A2</f>
        <v>5</v>
      </c>
    </row>
    <row r="3" spans="1:61" s="55" customFormat="1">
      <c r="C3" s="56"/>
      <c r="D3" s="56"/>
      <c r="E3" s="56"/>
      <c r="H3" s="57"/>
      <c r="I3" s="71"/>
      <c r="J3" s="58" t="s">
        <v>724</v>
      </c>
      <c r="K3" s="54">
        <f ca="1">C2</f>
        <v>3</v>
      </c>
      <c r="O3" s="59"/>
      <c r="P3" s="59"/>
      <c r="Q3" s="59"/>
      <c r="R3" s="59"/>
      <c r="S3" s="59"/>
      <c r="T3" s="59"/>
      <c r="U3" s="59"/>
      <c r="AB3" s="72"/>
      <c r="AH3" s="72"/>
      <c r="AI3" s="72"/>
      <c r="AJ3" s="72"/>
      <c r="AK3" s="72"/>
      <c r="AM3" s="72"/>
      <c r="AN3" s="72"/>
      <c r="AO3" s="72"/>
    </row>
    <row r="4" spans="1:61" s="55" customFormat="1">
      <c r="A4" s="61" t="s">
        <v>722</v>
      </c>
      <c r="B4" s="80" t="s">
        <v>716</v>
      </c>
      <c r="C4" s="51" t="s">
        <v>0</v>
      </c>
      <c r="D4" s="51" t="s">
        <v>1</v>
      </c>
      <c r="E4" s="51" t="s">
        <v>725</v>
      </c>
      <c r="F4" s="61" t="s">
        <v>3</v>
      </c>
      <c r="G4" s="61" t="s">
        <v>4</v>
      </c>
      <c r="H4" s="201" t="s">
        <v>54</v>
      </c>
      <c r="I4" s="79" t="s">
        <v>726</v>
      </c>
      <c r="J4" s="58" t="s">
        <v>727</v>
      </c>
      <c r="K4" s="54">
        <f ca="1">D2</f>
        <v>8</v>
      </c>
      <c r="O4" s="59"/>
      <c r="P4" s="59"/>
      <c r="Q4" s="59"/>
      <c r="R4" s="59"/>
      <c r="S4" s="59"/>
      <c r="T4" s="59"/>
      <c r="U4" s="59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</row>
    <row r="5" spans="1:61" s="55" customFormat="1">
      <c r="A5" s="337">
        <v>1</v>
      </c>
      <c r="B5" s="338"/>
      <c r="C5" s="339" t="s">
        <v>923</v>
      </c>
      <c r="D5" s="339" t="s">
        <v>6</v>
      </c>
      <c r="E5" s="339" t="s">
        <v>739</v>
      </c>
      <c r="F5" s="338" t="s">
        <v>47</v>
      </c>
      <c r="G5" s="341" t="s">
        <v>167</v>
      </c>
      <c r="H5" s="349"/>
      <c r="I5" s="349"/>
      <c r="J5" s="58" t="s">
        <v>731</v>
      </c>
      <c r="K5" s="54">
        <f ca="1">E2</f>
        <v>6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</row>
    <row r="6" spans="1:61" s="55" customFormat="1">
      <c r="A6" s="61">
        <v>2</v>
      </c>
      <c r="B6" s="219" t="s">
        <v>924</v>
      </c>
      <c r="C6" s="364" t="s">
        <v>607</v>
      </c>
      <c r="D6" s="356" t="s">
        <v>6</v>
      </c>
      <c r="E6" s="356" t="s">
        <v>13</v>
      </c>
      <c r="F6" s="357" t="s">
        <v>47</v>
      </c>
      <c r="G6" s="334" t="s">
        <v>167</v>
      </c>
      <c r="H6" s="336"/>
      <c r="I6" s="336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</row>
    <row r="7" spans="1:61" s="55" customFormat="1">
      <c r="A7" s="61">
        <v>3</v>
      </c>
      <c r="B7" s="219" t="s">
        <v>925</v>
      </c>
      <c r="C7" s="355" t="s">
        <v>926</v>
      </c>
      <c r="D7" s="356" t="s">
        <v>6</v>
      </c>
      <c r="E7" s="356" t="s">
        <v>13</v>
      </c>
      <c r="F7" s="357" t="s">
        <v>47</v>
      </c>
      <c r="G7" s="334" t="s">
        <v>167</v>
      </c>
      <c r="H7" s="336"/>
      <c r="I7" s="336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</row>
    <row r="8" spans="1:61" s="55" customFormat="1">
      <c r="A8" s="61">
        <v>4</v>
      </c>
      <c r="B8" s="219" t="s">
        <v>927</v>
      </c>
      <c r="C8" s="356" t="s">
        <v>575</v>
      </c>
      <c r="D8" s="356" t="s">
        <v>6</v>
      </c>
      <c r="E8" s="356" t="s">
        <v>13</v>
      </c>
      <c r="F8" s="357" t="s">
        <v>47</v>
      </c>
      <c r="G8" s="334" t="s">
        <v>167</v>
      </c>
      <c r="H8" s="336"/>
      <c r="I8" s="336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</row>
    <row r="9" spans="1:61" s="55" customFormat="1">
      <c r="A9" s="61">
        <v>5</v>
      </c>
      <c r="B9" s="435" t="s">
        <v>928</v>
      </c>
      <c r="C9" s="355" t="s">
        <v>929</v>
      </c>
      <c r="D9" s="356" t="s">
        <v>6</v>
      </c>
      <c r="E9" s="356" t="s">
        <v>13</v>
      </c>
      <c r="F9" s="357" t="s">
        <v>47</v>
      </c>
      <c r="G9" s="334" t="s">
        <v>167</v>
      </c>
      <c r="H9" s="336" t="s">
        <v>54</v>
      </c>
      <c r="I9" s="336">
        <v>46062</v>
      </c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</row>
    <row r="10" spans="1:61" s="55" customFormat="1">
      <c r="A10" s="61">
        <v>6</v>
      </c>
      <c r="B10" s="219" t="s">
        <v>930</v>
      </c>
      <c r="C10" s="356" t="s">
        <v>931</v>
      </c>
      <c r="D10" s="356" t="s">
        <v>6</v>
      </c>
      <c r="E10" s="356" t="s">
        <v>13</v>
      </c>
      <c r="F10" s="357" t="s">
        <v>47</v>
      </c>
      <c r="G10" s="334" t="s">
        <v>167</v>
      </c>
      <c r="H10" s="336" t="s">
        <v>54</v>
      </c>
      <c r="I10" s="336">
        <v>46084</v>
      </c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</row>
    <row r="11" spans="1:61" s="55" customFormat="1">
      <c r="A11" s="61">
        <v>7</v>
      </c>
      <c r="B11" s="219" t="s">
        <v>932</v>
      </c>
      <c r="C11" s="355" t="s">
        <v>704</v>
      </c>
      <c r="D11" s="356" t="s">
        <v>6</v>
      </c>
      <c r="E11" s="356" t="s">
        <v>13</v>
      </c>
      <c r="F11" s="357" t="s">
        <v>47</v>
      </c>
      <c r="G11" s="334" t="s">
        <v>167</v>
      </c>
      <c r="H11" s="336" t="s">
        <v>54</v>
      </c>
      <c r="I11" s="336">
        <v>46062</v>
      </c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</row>
    <row r="12" spans="1:61" s="55" customFormat="1">
      <c r="A12" s="61">
        <v>8</v>
      </c>
      <c r="B12" s="219" t="s">
        <v>933</v>
      </c>
      <c r="C12" s="355" t="s">
        <v>934</v>
      </c>
      <c r="D12" s="356" t="s">
        <v>6</v>
      </c>
      <c r="E12" s="356" t="s">
        <v>13</v>
      </c>
      <c r="F12" s="357" t="s">
        <v>47</v>
      </c>
      <c r="G12" s="334" t="s">
        <v>167</v>
      </c>
      <c r="H12" s="336" t="s">
        <v>54</v>
      </c>
      <c r="I12" s="336">
        <v>46181</v>
      </c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1" s="55" customFormat="1">
      <c r="A13" s="61">
        <v>10</v>
      </c>
      <c r="B13" s="219" t="s">
        <v>935</v>
      </c>
      <c r="C13" s="365" t="s">
        <v>441</v>
      </c>
      <c r="D13" s="356" t="s">
        <v>6</v>
      </c>
      <c r="E13" s="356" t="s">
        <v>13</v>
      </c>
      <c r="F13" s="357" t="s">
        <v>47</v>
      </c>
      <c r="G13" s="334" t="s">
        <v>167</v>
      </c>
      <c r="H13" s="336" t="s">
        <v>54</v>
      </c>
      <c r="I13" s="336">
        <v>46188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</row>
    <row r="14" spans="1:61" s="55" customFormat="1">
      <c r="A14" s="61">
        <v>11</v>
      </c>
      <c r="B14" s="219" t="s">
        <v>936</v>
      </c>
      <c r="C14" s="355" t="s">
        <v>937</v>
      </c>
      <c r="D14" s="356" t="s">
        <v>59</v>
      </c>
      <c r="E14" s="356" t="s">
        <v>13</v>
      </c>
      <c r="F14" s="357" t="s">
        <v>47</v>
      </c>
      <c r="G14" s="334" t="s">
        <v>167</v>
      </c>
      <c r="H14" s="336"/>
      <c r="I14" s="336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</row>
    <row r="15" spans="1:61" s="55" customFormat="1">
      <c r="A15" s="61">
        <v>12</v>
      </c>
      <c r="B15" s="219" t="s">
        <v>938</v>
      </c>
      <c r="C15" s="355" t="s">
        <v>939</v>
      </c>
      <c r="D15" s="356" t="s">
        <v>59</v>
      </c>
      <c r="E15" s="356" t="s">
        <v>13</v>
      </c>
      <c r="F15" s="357" t="s">
        <v>47</v>
      </c>
      <c r="G15" s="334" t="s">
        <v>167</v>
      </c>
      <c r="H15" s="336"/>
      <c r="I15" s="336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</row>
    <row r="16" spans="1:61" s="55" customFormat="1">
      <c r="A16" s="82">
        <v>13</v>
      </c>
      <c r="B16" s="303" t="s">
        <v>940</v>
      </c>
      <c r="C16" s="256" t="s">
        <v>941</v>
      </c>
      <c r="D16" s="81" t="s">
        <v>59</v>
      </c>
      <c r="E16" s="81" t="s">
        <v>13</v>
      </c>
      <c r="F16" s="82" t="s">
        <v>47</v>
      </c>
      <c r="G16" s="205" t="s">
        <v>167</v>
      </c>
      <c r="H16" s="206"/>
      <c r="I16" s="206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</row>
    <row r="17" spans="1:61" s="55" customFormat="1">
      <c r="A17" s="61">
        <v>14</v>
      </c>
      <c r="B17" s="219" t="s">
        <v>942</v>
      </c>
      <c r="C17" s="355" t="s">
        <v>943</v>
      </c>
      <c r="D17" s="356" t="s">
        <v>59</v>
      </c>
      <c r="E17" s="356" t="s">
        <v>13</v>
      </c>
      <c r="F17" s="357" t="s">
        <v>47</v>
      </c>
      <c r="G17" s="334" t="s">
        <v>167</v>
      </c>
      <c r="H17" s="336" t="s">
        <v>831</v>
      </c>
      <c r="I17" s="336">
        <v>46146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</row>
    <row r="18" spans="1:61" s="55" customFormat="1">
      <c r="A18" s="61">
        <v>15</v>
      </c>
      <c r="B18" s="219" t="s">
        <v>944</v>
      </c>
      <c r="C18" s="355" t="s">
        <v>945</v>
      </c>
      <c r="D18" s="356" t="s">
        <v>59</v>
      </c>
      <c r="E18" s="356" t="s">
        <v>13</v>
      </c>
      <c r="F18" s="357" t="s">
        <v>47</v>
      </c>
      <c r="G18" s="334" t="s">
        <v>167</v>
      </c>
      <c r="H18" s="336"/>
      <c r="I18" s="336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</row>
    <row r="19" spans="1:61" s="55" customFormat="1">
      <c r="A19" s="337">
        <v>16</v>
      </c>
      <c r="B19" s="338"/>
      <c r="C19" s="344" t="s">
        <v>946</v>
      </c>
      <c r="D19" s="345" t="s">
        <v>6</v>
      </c>
      <c r="E19" s="345" t="s">
        <v>739</v>
      </c>
      <c r="F19" s="346" t="s">
        <v>7</v>
      </c>
      <c r="G19" s="347" t="s">
        <v>167</v>
      </c>
      <c r="H19" s="348"/>
      <c r="I19" s="348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</row>
    <row r="20" spans="1:61" s="55" customFormat="1">
      <c r="A20" s="412">
        <v>17</v>
      </c>
      <c r="B20" s="409" t="s">
        <v>947</v>
      </c>
      <c r="C20" s="266" t="s">
        <v>948</v>
      </c>
      <c r="D20" s="51" t="s">
        <v>6</v>
      </c>
      <c r="E20" s="51" t="s">
        <v>13</v>
      </c>
      <c r="F20" s="61" t="s">
        <v>7</v>
      </c>
      <c r="G20" s="157" t="s">
        <v>167</v>
      </c>
      <c r="H20" s="198"/>
      <c r="I20" s="198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</row>
    <row r="21" spans="1:61" s="55" customFormat="1">
      <c r="A21" s="412">
        <v>18</v>
      </c>
      <c r="B21" s="409" t="s">
        <v>949</v>
      </c>
      <c r="C21" s="266" t="s">
        <v>707</v>
      </c>
      <c r="D21" s="51" t="s">
        <v>6</v>
      </c>
      <c r="E21" s="51" t="s">
        <v>13</v>
      </c>
      <c r="F21" s="61" t="s">
        <v>7</v>
      </c>
      <c r="G21" s="157" t="s">
        <v>167</v>
      </c>
      <c r="H21" s="198"/>
      <c r="I21" s="198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</row>
    <row r="22" spans="1:61" s="55" customFormat="1">
      <c r="A22" s="412">
        <v>19</v>
      </c>
      <c r="B22" s="409" t="s">
        <v>950</v>
      </c>
      <c r="C22" s="156" t="s">
        <v>951</v>
      </c>
      <c r="D22" s="51" t="s">
        <v>6</v>
      </c>
      <c r="E22" s="51" t="s">
        <v>13</v>
      </c>
      <c r="F22" s="61" t="s">
        <v>7</v>
      </c>
      <c r="G22" s="157" t="s">
        <v>167</v>
      </c>
      <c r="H22" s="198" t="s">
        <v>54</v>
      </c>
      <c r="I22" s="198">
        <v>45979</v>
      </c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</row>
    <row r="23" spans="1:61" s="55" customFormat="1">
      <c r="A23" s="412">
        <v>20</v>
      </c>
      <c r="B23" s="409" t="s">
        <v>952</v>
      </c>
      <c r="C23" s="156" t="s">
        <v>953</v>
      </c>
      <c r="D23" s="51" t="s">
        <v>6</v>
      </c>
      <c r="E23" s="51" t="s">
        <v>13</v>
      </c>
      <c r="F23" s="61" t="s">
        <v>7</v>
      </c>
      <c r="G23" s="157" t="s">
        <v>167</v>
      </c>
      <c r="H23" s="198" t="s">
        <v>54</v>
      </c>
      <c r="I23" s="198">
        <v>46090</v>
      </c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</row>
    <row r="24" spans="1:61" s="55" customFormat="1">
      <c r="A24" s="412">
        <v>21</v>
      </c>
      <c r="B24" s="409" t="s">
        <v>954</v>
      </c>
      <c r="C24" s="156" t="s">
        <v>955</v>
      </c>
      <c r="D24" s="51" t="s">
        <v>6</v>
      </c>
      <c r="E24" s="51" t="s">
        <v>13</v>
      </c>
      <c r="F24" s="61" t="s">
        <v>7</v>
      </c>
      <c r="G24" s="157" t="s">
        <v>167</v>
      </c>
      <c r="H24" s="198" t="s">
        <v>54</v>
      </c>
      <c r="I24" s="198">
        <v>46090</v>
      </c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</row>
    <row r="25" spans="1:61" s="55" customFormat="1">
      <c r="A25" s="412">
        <v>22</v>
      </c>
      <c r="B25" s="409" t="s">
        <v>956</v>
      </c>
      <c r="C25" s="266" t="s">
        <v>703</v>
      </c>
      <c r="D25" s="51" t="s">
        <v>6</v>
      </c>
      <c r="E25" s="51" t="s">
        <v>13</v>
      </c>
      <c r="F25" s="61" t="s">
        <v>7</v>
      </c>
      <c r="G25" s="157" t="s">
        <v>167</v>
      </c>
      <c r="H25" s="198" t="s">
        <v>54</v>
      </c>
      <c r="I25" s="198">
        <v>46119</v>
      </c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</row>
    <row r="26" spans="1:61" s="55" customFormat="1">
      <c r="A26" s="412">
        <v>23</v>
      </c>
      <c r="B26" s="409" t="s">
        <v>957</v>
      </c>
      <c r="C26" s="86" t="s">
        <v>705</v>
      </c>
      <c r="D26" s="51" t="s">
        <v>59</v>
      </c>
      <c r="E26" s="51" t="s">
        <v>13</v>
      </c>
      <c r="F26" s="61" t="s">
        <v>7</v>
      </c>
      <c r="G26" s="157" t="s">
        <v>167</v>
      </c>
      <c r="H26" s="198"/>
      <c r="I26" s="198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</row>
    <row r="27" spans="1:61" s="55" customFormat="1">
      <c r="A27" s="61">
        <v>24</v>
      </c>
      <c r="B27" s="219" t="s">
        <v>958</v>
      </c>
      <c r="C27" s="156" t="s">
        <v>959</v>
      </c>
      <c r="D27" s="51" t="s">
        <v>59</v>
      </c>
      <c r="E27" s="51" t="s">
        <v>13</v>
      </c>
      <c r="F27" s="61" t="s">
        <v>7</v>
      </c>
      <c r="G27" s="157" t="s">
        <v>167</v>
      </c>
      <c r="H27" s="198"/>
      <c r="I27" s="198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</row>
    <row r="28" spans="1:61" s="55" customFormat="1">
      <c r="A28" s="412">
        <v>25</v>
      </c>
      <c r="B28" s="409" t="s">
        <v>960</v>
      </c>
      <c r="C28" s="156" t="s">
        <v>961</v>
      </c>
      <c r="D28" s="68" t="s">
        <v>59</v>
      </c>
      <c r="E28" s="51" t="s">
        <v>13</v>
      </c>
      <c r="F28" s="61" t="s">
        <v>7</v>
      </c>
      <c r="G28" s="157" t="s">
        <v>167</v>
      </c>
      <c r="H28" s="198" t="s">
        <v>831</v>
      </c>
      <c r="I28" s="198">
        <v>46153</v>
      </c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64"/>
    </row>
    <row r="29" spans="1:61" s="55" customFormat="1" ht="14.25" customHeight="1">
      <c r="A29" s="82">
        <v>27</v>
      </c>
      <c r="B29" s="303" t="s">
        <v>962</v>
      </c>
      <c r="C29" s="92" t="s">
        <v>963</v>
      </c>
      <c r="D29" s="81" t="s">
        <v>67</v>
      </c>
      <c r="E29" s="81" t="s">
        <v>13</v>
      </c>
      <c r="F29" s="82" t="s">
        <v>7</v>
      </c>
      <c r="G29" s="205" t="s">
        <v>167</v>
      </c>
      <c r="H29" s="206"/>
      <c r="I29" s="206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</row>
    <row r="30" spans="1:61" s="55" customFormat="1">
      <c r="A30" s="82">
        <v>28</v>
      </c>
      <c r="B30" s="303" t="s">
        <v>964</v>
      </c>
      <c r="C30" s="84" t="s">
        <v>965</v>
      </c>
      <c r="D30" s="65" t="s">
        <v>67</v>
      </c>
      <c r="E30" s="65" t="s">
        <v>13</v>
      </c>
      <c r="F30" s="66" t="s">
        <v>7</v>
      </c>
      <c r="G30" s="197" t="s">
        <v>167</v>
      </c>
      <c r="H30" s="200"/>
      <c r="I30" s="20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</row>
    <row r="31" spans="1:61" s="55" customFormat="1">
      <c r="C31" s="56"/>
      <c r="D31" s="56"/>
      <c r="E31" s="56"/>
      <c r="H31" s="57"/>
    </row>
    <row r="32" spans="1:61" s="55" customFormat="1">
      <c r="C32" s="56"/>
      <c r="D32" s="56"/>
      <c r="E32" s="56"/>
      <c r="H32" s="57"/>
    </row>
    <row r="33" spans="3:8" s="55" customFormat="1">
      <c r="C33" s="56"/>
      <c r="D33" s="56"/>
      <c r="E33" s="56"/>
      <c r="H33" s="57"/>
    </row>
    <row r="34" spans="3:8" s="55" customFormat="1">
      <c r="C34" s="56"/>
      <c r="D34" s="56"/>
      <c r="E34" s="56"/>
      <c r="H34" s="57"/>
    </row>
    <row r="35" spans="3:8" s="55" customFormat="1">
      <c r="C35" s="56"/>
      <c r="D35" s="56"/>
      <c r="E35" s="56"/>
      <c r="H35" s="57"/>
    </row>
    <row r="36" spans="3:8" s="55" customFormat="1">
      <c r="C36" s="56"/>
      <c r="D36" s="56"/>
      <c r="E36" s="56"/>
      <c r="H36" s="57"/>
    </row>
    <row r="37" spans="3:8" s="55" customFormat="1">
      <c r="C37" s="56"/>
      <c r="D37" s="56"/>
      <c r="E37" s="56"/>
      <c r="H37" s="57"/>
    </row>
    <row r="38" spans="3:8" s="55" customFormat="1">
      <c r="C38" s="56"/>
      <c r="D38" s="56"/>
      <c r="E38" s="56"/>
      <c r="H38" s="57"/>
    </row>
    <row r="39" spans="3:8" s="55" customFormat="1">
      <c r="C39" s="56"/>
      <c r="D39" s="56"/>
      <c r="E39" s="56"/>
      <c r="H39" s="57"/>
    </row>
    <row r="40" spans="3:8" s="55" customFormat="1">
      <c r="C40" s="56"/>
      <c r="D40" s="56"/>
      <c r="E40" s="56"/>
      <c r="H40" s="57"/>
    </row>
    <row r="41" spans="3:8" s="55" customFormat="1">
      <c r="C41" s="56"/>
      <c r="D41" s="56"/>
      <c r="E41" s="56"/>
      <c r="H41" s="57"/>
    </row>
    <row r="42" spans="3:8" s="55" customFormat="1">
      <c r="C42" s="56"/>
      <c r="D42" s="56"/>
      <c r="E42" s="56"/>
      <c r="H42" s="57"/>
    </row>
    <row r="43" spans="3:8" s="55" customFormat="1">
      <c r="C43" s="56"/>
      <c r="D43" s="56"/>
      <c r="E43" s="56"/>
      <c r="H43" s="57"/>
    </row>
    <row r="44" spans="3:8" s="55" customFormat="1">
      <c r="C44" s="56"/>
      <c r="D44" s="56"/>
      <c r="E44" s="56"/>
      <c r="H44" s="57"/>
    </row>
    <row r="45" spans="3:8" s="55" customFormat="1">
      <c r="C45" s="56"/>
      <c r="D45" s="56"/>
      <c r="E45" s="56"/>
      <c r="H45" s="57"/>
    </row>
    <row r="46" spans="3:8" s="55" customFormat="1">
      <c r="C46" s="56"/>
      <c r="D46" s="56"/>
      <c r="E46" s="56"/>
      <c r="H46" s="57"/>
    </row>
    <row r="47" spans="3:8" s="55" customFormat="1">
      <c r="C47" s="56"/>
      <c r="D47" s="56"/>
      <c r="E47" s="56"/>
      <c r="H47" s="57"/>
    </row>
    <row r="48" spans="3:8" s="55" customFormat="1">
      <c r="C48" s="56"/>
      <c r="D48" s="56"/>
      <c r="E48" s="56"/>
      <c r="H48" s="57"/>
    </row>
    <row r="49" spans="3:8" s="55" customFormat="1">
      <c r="C49" s="56"/>
      <c r="D49" s="56"/>
      <c r="E49" s="56"/>
      <c r="H49" s="57"/>
    </row>
    <row r="50" spans="3:8" s="55" customFormat="1">
      <c r="C50" s="56"/>
      <c r="D50" s="56"/>
      <c r="E50" s="56"/>
      <c r="H50" s="57"/>
    </row>
    <row r="51" spans="3:8" s="55" customFormat="1">
      <c r="C51" s="56"/>
      <c r="D51" s="56"/>
      <c r="E51" s="56"/>
      <c r="H51" s="57"/>
    </row>
    <row r="52" spans="3:8" s="55" customFormat="1">
      <c r="C52" s="56"/>
      <c r="D52" s="56"/>
      <c r="E52" s="56"/>
      <c r="H52" s="57"/>
    </row>
    <row r="53" spans="3:8" s="55" customFormat="1">
      <c r="C53" s="56"/>
      <c r="D53" s="56"/>
      <c r="E53" s="56"/>
      <c r="H53" s="57"/>
    </row>
    <row r="54" spans="3:8" s="55" customFormat="1">
      <c r="C54" s="56"/>
      <c r="D54" s="56"/>
      <c r="E54" s="56"/>
      <c r="H54" s="57"/>
    </row>
    <row r="55" spans="3:8" s="55" customFormat="1">
      <c r="C55" s="56"/>
      <c r="D55" s="56"/>
      <c r="E55" s="56"/>
      <c r="H55" s="57"/>
    </row>
    <row r="56" spans="3:8" s="55" customFormat="1">
      <c r="C56" s="56"/>
      <c r="D56" s="56"/>
      <c r="E56" s="56"/>
      <c r="H56" s="57"/>
    </row>
    <row r="57" spans="3:8" s="55" customFormat="1">
      <c r="C57" s="56"/>
      <c r="D57" s="56"/>
      <c r="E57" s="56"/>
      <c r="H57" s="57"/>
    </row>
    <row r="58" spans="3:8" s="55" customFormat="1">
      <c r="C58" s="56"/>
      <c r="D58" s="56"/>
      <c r="E58" s="56"/>
      <c r="H58" s="57"/>
    </row>
    <row r="59" spans="3:8" s="55" customFormat="1">
      <c r="C59" s="56"/>
      <c r="D59" s="56"/>
      <c r="E59" s="56"/>
      <c r="H59" s="57"/>
    </row>
    <row r="60" spans="3:8" s="55" customFormat="1">
      <c r="C60" s="56"/>
      <c r="D60" s="56"/>
      <c r="E60" s="56"/>
      <c r="H60" s="57"/>
    </row>
    <row r="61" spans="3:8" s="55" customFormat="1">
      <c r="C61" s="56"/>
      <c r="D61" s="56"/>
      <c r="E61" s="56"/>
      <c r="H61" s="57"/>
    </row>
    <row r="62" spans="3:8" s="55" customFormat="1">
      <c r="C62" s="56"/>
      <c r="D62" s="56"/>
      <c r="E62" s="56"/>
      <c r="H62" s="57"/>
    </row>
    <row r="63" spans="3:8" s="55" customFormat="1">
      <c r="C63" s="56"/>
      <c r="D63" s="56"/>
      <c r="E63" s="56"/>
      <c r="H63" s="57"/>
    </row>
    <row r="64" spans="3:8" s="55" customFormat="1">
      <c r="C64" s="56"/>
      <c r="D64" s="56"/>
      <c r="E64" s="56"/>
      <c r="H64" s="57"/>
    </row>
    <row r="65" spans="3:8" s="55" customFormat="1">
      <c r="C65" s="56"/>
      <c r="D65" s="56"/>
      <c r="E65" s="56"/>
      <c r="H65" s="57"/>
    </row>
    <row r="66" spans="3:8" s="55" customFormat="1">
      <c r="C66" s="56"/>
      <c r="D66" s="56"/>
      <c r="E66" s="56"/>
      <c r="H66" s="57"/>
    </row>
    <row r="67" spans="3:8" s="55" customFormat="1">
      <c r="C67" s="56"/>
      <c r="D67" s="56"/>
      <c r="E67" s="56"/>
      <c r="H67" s="57"/>
    </row>
    <row r="68" spans="3:8" s="55" customFormat="1">
      <c r="C68" s="56"/>
      <c r="D68" s="56"/>
      <c r="E68" s="56"/>
      <c r="H68" s="57"/>
    </row>
    <row r="69" spans="3:8" s="55" customFormat="1">
      <c r="C69" s="56"/>
      <c r="D69" s="56"/>
      <c r="E69" s="56"/>
      <c r="H69" s="57"/>
    </row>
    <row r="70" spans="3:8" s="55" customFormat="1">
      <c r="C70" s="56"/>
      <c r="D70" s="56"/>
      <c r="E70" s="56"/>
      <c r="H70" s="57"/>
    </row>
    <row r="71" spans="3:8" s="55" customFormat="1">
      <c r="C71" s="56"/>
      <c r="D71" s="56"/>
      <c r="E71" s="56"/>
      <c r="H71" s="57"/>
    </row>
    <row r="72" spans="3:8" s="55" customFormat="1">
      <c r="C72" s="56"/>
      <c r="D72" s="56"/>
      <c r="E72" s="56"/>
      <c r="H72" s="57"/>
    </row>
    <row r="73" spans="3:8" s="55" customFormat="1">
      <c r="C73" s="56"/>
      <c r="D73" s="56"/>
      <c r="E73" s="56"/>
      <c r="H73" s="57"/>
    </row>
    <row r="74" spans="3:8" s="55" customFormat="1">
      <c r="C74" s="56"/>
      <c r="D74" s="56"/>
      <c r="E74" s="56"/>
      <c r="H74" s="57"/>
    </row>
    <row r="75" spans="3:8" s="55" customFormat="1">
      <c r="C75" s="56"/>
      <c r="D75" s="56"/>
      <c r="E75" s="56"/>
      <c r="H75" s="57"/>
    </row>
    <row r="76" spans="3:8" s="55" customFormat="1">
      <c r="C76" s="56"/>
      <c r="D76" s="56"/>
      <c r="E76" s="56"/>
      <c r="H76" s="57"/>
    </row>
    <row r="77" spans="3:8" s="55" customFormat="1">
      <c r="C77" s="56"/>
      <c r="D77" s="56"/>
      <c r="E77" s="56"/>
      <c r="H77" s="57"/>
    </row>
    <row r="78" spans="3:8" s="55" customFormat="1">
      <c r="C78" s="56"/>
      <c r="D78" s="56"/>
      <c r="E78" s="56"/>
      <c r="H78" s="57"/>
    </row>
    <row r="79" spans="3:8" s="55" customFormat="1">
      <c r="C79" s="56"/>
      <c r="D79" s="56"/>
      <c r="E79" s="56"/>
      <c r="H79" s="57"/>
    </row>
    <row r="80" spans="3:8" s="55" customFormat="1">
      <c r="C80" s="56"/>
      <c r="D80" s="56"/>
      <c r="E80" s="56"/>
      <c r="H80" s="57"/>
    </row>
    <row r="81" spans="3:8" s="55" customFormat="1">
      <c r="C81" s="56"/>
      <c r="D81" s="56"/>
      <c r="E81" s="56"/>
      <c r="H81" s="57"/>
    </row>
    <row r="82" spans="3:8" s="55" customFormat="1">
      <c r="C82" s="56"/>
      <c r="D82" s="56"/>
      <c r="E82" s="56"/>
      <c r="H82" s="57"/>
    </row>
    <row r="83" spans="3:8" s="55" customFormat="1">
      <c r="C83" s="56"/>
      <c r="D83" s="56"/>
      <c r="E83" s="56"/>
      <c r="H83" s="57"/>
    </row>
    <row r="84" spans="3:8" s="55" customFormat="1">
      <c r="C84" s="56"/>
      <c r="D84" s="56"/>
      <c r="E84" s="56"/>
      <c r="H84" s="57"/>
    </row>
    <row r="85" spans="3:8" s="55" customFormat="1">
      <c r="C85" s="56"/>
      <c r="D85" s="56"/>
      <c r="E85" s="56"/>
      <c r="H85" s="57"/>
    </row>
    <row r="86" spans="3:8" s="55" customFormat="1">
      <c r="C86" s="56"/>
      <c r="D86" s="56"/>
      <c r="E86" s="56"/>
      <c r="H86" s="57"/>
    </row>
    <row r="87" spans="3:8" s="55" customFormat="1">
      <c r="C87" s="56"/>
      <c r="D87" s="56"/>
      <c r="E87" s="56"/>
      <c r="H87" s="57"/>
    </row>
    <row r="88" spans="3:8" s="55" customFormat="1">
      <c r="C88" s="56"/>
      <c r="D88" s="56"/>
      <c r="E88" s="56"/>
      <c r="H88" s="57"/>
    </row>
    <row r="89" spans="3:8" s="55" customFormat="1">
      <c r="C89" s="56"/>
      <c r="D89" s="56"/>
      <c r="E89" s="56"/>
      <c r="H89" s="57"/>
    </row>
    <row r="90" spans="3:8" s="55" customFormat="1">
      <c r="C90" s="56"/>
      <c r="D90" s="56"/>
      <c r="E90" s="56"/>
      <c r="H90" s="57"/>
    </row>
    <row r="91" spans="3:8" s="55" customFormat="1">
      <c r="C91" s="56"/>
      <c r="D91" s="56"/>
      <c r="E91" s="56"/>
      <c r="H91" s="57"/>
    </row>
    <row r="92" spans="3:8" s="55" customFormat="1">
      <c r="C92" s="56"/>
      <c r="D92" s="56"/>
      <c r="E92" s="56"/>
      <c r="H92" s="57"/>
    </row>
    <row r="93" spans="3:8" s="55" customFormat="1">
      <c r="C93" s="56"/>
      <c r="D93" s="56"/>
      <c r="E93" s="56"/>
      <c r="H93" s="57"/>
    </row>
    <row r="94" spans="3:8" s="55" customFormat="1">
      <c r="C94" s="56"/>
      <c r="D94" s="56"/>
      <c r="E94" s="56"/>
      <c r="H94" s="57"/>
    </row>
    <row r="95" spans="3:8" s="55" customFormat="1">
      <c r="C95" s="56"/>
      <c r="D95" s="56"/>
      <c r="E95" s="56"/>
      <c r="H95" s="57"/>
    </row>
    <row r="96" spans="3:8" s="55" customFormat="1">
      <c r="C96" s="56"/>
      <c r="D96" s="56"/>
      <c r="E96" s="56"/>
      <c r="H96" s="57"/>
    </row>
    <row r="97" spans="3:8" s="55" customFormat="1">
      <c r="C97" s="56"/>
      <c r="D97" s="56"/>
      <c r="E97" s="56"/>
      <c r="H97" s="57"/>
    </row>
    <row r="98" spans="3:8" s="55" customFormat="1">
      <c r="C98" s="56"/>
      <c r="D98" s="56"/>
      <c r="E98" s="56"/>
      <c r="H98" s="57"/>
    </row>
    <row r="99" spans="3:8" s="55" customFormat="1">
      <c r="C99" s="56"/>
      <c r="D99" s="56"/>
      <c r="E99" s="56"/>
      <c r="H99" s="57"/>
    </row>
    <row r="100" spans="3:8" s="55" customFormat="1">
      <c r="C100" s="56"/>
      <c r="D100" s="56"/>
      <c r="E100" s="56"/>
      <c r="H100" s="57"/>
    </row>
    <row r="101" spans="3:8" s="55" customFormat="1">
      <c r="C101" s="56"/>
      <c r="D101" s="56"/>
      <c r="E101" s="56"/>
      <c r="H101" s="57"/>
    </row>
    <row r="102" spans="3:8" s="55" customFormat="1">
      <c r="C102" s="56"/>
      <c r="D102" s="56"/>
      <c r="E102" s="56"/>
      <c r="H102" s="57"/>
    </row>
    <row r="103" spans="3:8" s="55" customFormat="1">
      <c r="C103" s="56"/>
      <c r="D103" s="56"/>
      <c r="E103" s="56"/>
      <c r="H103" s="57"/>
    </row>
    <row r="104" spans="3:8" s="55" customFormat="1">
      <c r="C104" s="56"/>
      <c r="D104" s="56"/>
      <c r="E104" s="56"/>
      <c r="H104" s="57"/>
    </row>
    <row r="105" spans="3:8" s="55" customFormat="1">
      <c r="C105" s="56"/>
      <c r="D105" s="56"/>
      <c r="E105" s="56"/>
      <c r="H105" s="57"/>
    </row>
    <row r="106" spans="3:8" s="55" customFormat="1">
      <c r="C106" s="56"/>
      <c r="D106" s="56"/>
      <c r="E106" s="56"/>
      <c r="H106" s="57"/>
    </row>
    <row r="107" spans="3:8" s="55" customFormat="1">
      <c r="C107" s="56"/>
      <c r="D107" s="56"/>
      <c r="E107" s="56"/>
      <c r="H107" s="57"/>
    </row>
    <row r="108" spans="3:8" s="55" customFormat="1">
      <c r="C108" s="56"/>
      <c r="D108" s="56"/>
      <c r="E108" s="56"/>
      <c r="H108" s="57"/>
    </row>
    <row r="109" spans="3:8" s="55" customFormat="1">
      <c r="C109" s="56"/>
      <c r="D109" s="56"/>
      <c r="E109" s="56"/>
      <c r="H109" s="57"/>
    </row>
    <row r="110" spans="3:8" s="55" customFormat="1">
      <c r="C110" s="56"/>
      <c r="D110" s="56"/>
      <c r="E110" s="56"/>
      <c r="H110" s="57"/>
    </row>
    <row r="111" spans="3:8" s="55" customFormat="1">
      <c r="C111" s="56"/>
      <c r="D111" s="56"/>
      <c r="E111" s="56"/>
      <c r="H111" s="57"/>
    </row>
    <row r="112" spans="3:8" s="55" customFormat="1">
      <c r="C112" s="56"/>
      <c r="D112" s="56"/>
      <c r="E112" s="56"/>
      <c r="H112" s="57"/>
    </row>
    <row r="113" spans="3:8" s="55" customFormat="1">
      <c r="C113" s="56"/>
      <c r="D113" s="56"/>
      <c r="E113" s="56"/>
      <c r="H113" s="57"/>
    </row>
    <row r="114" spans="3:8" s="55" customFormat="1">
      <c r="C114" s="56"/>
      <c r="D114" s="56"/>
      <c r="E114" s="56"/>
      <c r="H114" s="57"/>
    </row>
    <row r="115" spans="3:8" s="55" customFormat="1">
      <c r="C115" s="56"/>
      <c r="D115" s="56"/>
      <c r="E115" s="56"/>
      <c r="H115" s="57"/>
    </row>
    <row r="116" spans="3:8" s="55" customFormat="1">
      <c r="C116" s="56"/>
      <c r="D116" s="56"/>
      <c r="E116" s="56"/>
      <c r="H116" s="57"/>
    </row>
    <row r="117" spans="3:8" s="55" customFormat="1">
      <c r="C117" s="56"/>
      <c r="D117" s="56"/>
      <c r="E117" s="56"/>
      <c r="H117" s="57"/>
    </row>
    <row r="118" spans="3:8" s="55" customFormat="1">
      <c r="C118" s="56"/>
      <c r="D118" s="56"/>
      <c r="E118" s="56"/>
      <c r="H118" s="57"/>
    </row>
    <row r="119" spans="3:8" s="55" customFormat="1">
      <c r="C119" s="56"/>
      <c r="D119" s="56"/>
      <c r="E119" s="56"/>
      <c r="H119" s="57"/>
    </row>
    <row r="120" spans="3:8" s="55" customFormat="1">
      <c r="C120" s="56"/>
      <c r="D120" s="56"/>
      <c r="E120" s="56"/>
      <c r="H120" s="57"/>
    </row>
    <row r="121" spans="3:8" s="55" customFormat="1">
      <c r="C121" s="56"/>
      <c r="D121" s="56"/>
      <c r="E121" s="56"/>
      <c r="H121" s="57"/>
    </row>
    <row r="122" spans="3:8" s="55" customFormat="1">
      <c r="C122" s="56"/>
      <c r="D122" s="56"/>
      <c r="E122" s="56"/>
      <c r="H122" s="57"/>
    </row>
    <row r="123" spans="3:8" s="55" customFormat="1">
      <c r="C123" s="56"/>
      <c r="D123" s="56"/>
      <c r="E123" s="56"/>
      <c r="H123" s="57"/>
    </row>
    <row r="124" spans="3:8" s="55" customFormat="1">
      <c r="C124" s="56"/>
      <c r="D124" s="56"/>
      <c r="E124" s="56"/>
      <c r="H124" s="57"/>
    </row>
    <row r="125" spans="3:8" s="55" customFormat="1">
      <c r="C125" s="56"/>
      <c r="D125" s="56"/>
      <c r="E125" s="56"/>
      <c r="H125" s="57"/>
    </row>
    <row r="126" spans="3:8" s="55" customFormat="1">
      <c r="C126" s="56"/>
      <c r="D126" s="56"/>
      <c r="E126" s="56"/>
      <c r="H126" s="57"/>
    </row>
    <row r="127" spans="3:8" s="55" customFormat="1">
      <c r="C127" s="56"/>
      <c r="D127" s="56"/>
      <c r="E127" s="56"/>
      <c r="H127" s="57"/>
    </row>
    <row r="128" spans="3:8" s="55" customFormat="1">
      <c r="C128" s="56"/>
      <c r="D128" s="56"/>
      <c r="E128" s="56"/>
      <c r="H128" s="57"/>
    </row>
    <row r="129" spans="3:8" s="55" customFormat="1">
      <c r="C129" s="56"/>
      <c r="D129" s="56"/>
      <c r="E129" s="56"/>
      <c r="H129" s="57"/>
    </row>
    <row r="130" spans="3:8" s="55" customFormat="1">
      <c r="C130" s="56"/>
      <c r="D130" s="56"/>
      <c r="E130" s="56"/>
      <c r="H130" s="57"/>
    </row>
    <row r="131" spans="3:8" s="55" customFormat="1">
      <c r="C131" s="56"/>
      <c r="D131" s="56"/>
      <c r="E131" s="56"/>
      <c r="H131" s="57"/>
    </row>
    <row r="132" spans="3:8" s="55" customFormat="1">
      <c r="C132" s="56"/>
      <c r="D132" s="56"/>
      <c r="E132" s="56"/>
      <c r="H132" s="57"/>
    </row>
    <row r="133" spans="3:8" s="55" customFormat="1">
      <c r="C133" s="56"/>
      <c r="D133" s="56"/>
      <c r="E133" s="56"/>
      <c r="H133" s="57"/>
    </row>
    <row r="134" spans="3:8" s="55" customFormat="1">
      <c r="C134" s="56"/>
      <c r="D134" s="56"/>
      <c r="E134" s="56"/>
      <c r="H134" s="57"/>
    </row>
    <row r="135" spans="3:8" s="55" customFormat="1">
      <c r="C135" s="56"/>
      <c r="D135" s="56"/>
      <c r="E135" s="56"/>
      <c r="H135" s="57"/>
    </row>
    <row r="136" spans="3:8" s="55" customFormat="1">
      <c r="C136" s="56"/>
      <c r="D136" s="56"/>
      <c r="E136" s="56"/>
      <c r="H136" s="57"/>
    </row>
    <row r="137" spans="3:8" s="55" customFormat="1">
      <c r="C137" s="56"/>
      <c r="D137" s="56"/>
      <c r="E137" s="56"/>
      <c r="H137" s="57"/>
    </row>
    <row r="138" spans="3:8" s="55" customFormat="1">
      <c r="C138" s="56"/>
      <c r="D138" s="56"/>
      <c r="E138" s="56"/>
      <c r="H138" s="57"/>
    </row>
    <row r="139" spans="3:8" s="55" customFormat="1">
      <c r="C139" s="56"/>
      <c r="D139" s="56"/>
      <c r="E139" s="56"/>
      <c r="H139" s="57"/>
    </row>
    <row r="140" spans="3:8" s="55" customFormat="1">
      <c r="C140" s="56"/>
      <c r="D140" s="56"/>
      <c r="E140" s="56"/>
      <c r="H140" s="57"/>
    </row>
    <row r="141" spans="3:8" s="55" customFormat="1">
      <c r="C141" s="56"/>
      <c r="D141" s="56"/>
      <c r="E141" s="56"/>
      <c r="H141" s="57"/>
    </row>
    <row r="142" spans="3:8" s="55" customFormat="1">
      <c r="C142" s="56"/>
      <c r="D142" s="56"/>
      <c r="E142" s="56"/>
      <c r="H142" s="57"/>
    </row>
    <row r="143" spans="3:8" s="55" customFormat="1">
      <c r="C143" s="56"/>
      <c r="D143" s="56"/>
      <c r="E143" s="56"/>
      <c r="H143" s="57"/>
    </row>
    <row r="144" spans="3:8" s="55" customFormat="1">
      <c r="C144" s="56"/>
      <c r="D144" s="56"/>
      <c r="E144" s="56"/>
      <c r="H144" s="57"/>
    </row>
    <row r="145" spans="3:8" s="55" customFormat="1">
      <c r="C145" s="56"/>
      <c r="D145" s="56"/>
      <c r="E145" s="56"/>
      <c r="H145" s="57"/>
    </row>
    <row r="146" spans="3:8" s="55" customFormat="1">
      <c r="C146" s="56"/>
      <c r="D146" s="56"/>
      <c r="E146" s="56"/>
      <c r="H146" s="57"/>
    </row>
    <row r="147" spans="3:8" s="55" customFormat="1">
      <c r="C147" s="56"/>
      <c r="D147" s="56"/>
      <c r="E147" s="56"/>
      <c r="H147" s="57"/>
    </row>
    <row r="148" spans="3:8" s="55" customFormat="1">
      <c r="C148" s="56"/>
      <c r="D148" s="56"/>
      <c r="E148" s="56"/>
      <c r="H148" s="57"/>
    </row>
    <row r="149" spans="3:8" s="55" customFormat="1">
      <c r="C149" s="56"/>
      <c r="D149" s="56"/>
      <c r="E149" s="56"/>
      <c r="H149" s="57"/>
    </row>
    <row r="150" spans="3:8" s="55" customFormat="1">
      <c r="C150" s="56"/>
      <c r="D150" s="56"/>
      <c r="E150" s="56"/>
      <c r="H150" s="57"/>
    </row>
    <row r="151" spans="3:8" s="55" customFormat="1">
      <c r="C151" s="56"/>
      <c r="D151" s="56"/>
      <c r="E151" s="56"/>
      <c r="H151" s="57"/>
    </row>
    <row r="152" spans="3:8" s="55" customFormat="1">
      <c r="C152" s="56"/>
      <c r="D152" s="56"/>
      <c r="E152" s="56"/>
      <c r="H152" s="57"/>
    </row>
    <row r="153" spans="3:8" s="55" customFormat="1">
      <c r="C153" s="56"/>
      <c r="D153" s="56"/>
      <c r="E153" s="56"/>
      <c r="H153" s="57"/>
    </row>
    <row r="154" spans="3:8" s="55" customFormat="1">
      <c r="C154" s="56"/>
      <c r="D154" s="56"/>
      <c r="E154" s="56"/>
      <c r="H154" s="57"/>
    </row>
    <row r="155" spans="3:8" s="55" customFormat="1">
      <c r="C155" s="56"/>
      <c r="D155" s="56"/>
      <c r="E155" s="56"/>
      <c r="H155" s="57"/>
    </row>
    <row r="156" spans="3:8" s="55" customFormat="1">
      <c r="C156" s="56"/>
      <c r="D156" s="56"/>
      <c r="E156" s="56"/>
      <c r="H156" s="57"/>
    </row>
    <row r="157" spans="3:8" s="55" customFormat="1">
      <c r="C157" s="56"/>
      <c r="D157" s="56"/>
      <c r="E157" s="56"/>
      <c r="H157" s="57"/>
    </row>
    <row r="158" spans="3:8" s="55" customFormat="1">
      <c r="C158" s="56"/>
      <c r="D158" s="56"/>
      <c r="E158" s="56"/>
      <c r="H158" s="57"/>
    </row>
    <row r="159" spans="3:8" s="55" customFormat="1">
      <c r="C159" s="56"/>
      <c r="D159" s="56"/>
      <c r="E159" s="56"/>
      <c r="H159" s="57"/>
    </row>
    <row r="160" spans="3:8" s="55" customFormat="1">
      <c r="C160" s="56"/>
      <c r="D160" s="56"/>
      <c r="E160" s="56"/>
      <c r="H160" s="57"/>
    </row>
    <row r="161" spans="3:8" s="55" customFormat="1">
      <c r="C161" s="56"/>
      <c r="D161" s="56"/>
      <c r="E161" s="56"/>
      <c r="H161" s="57"/>
    </row>
    <row r="162" spans="3:8" s="55" customFormat="1">
      <c r="C162" s="56"/>
      <c r="D162" s="56"/>
      <c r="E162" s="56"/>
      <c r="H162" s="57"/>
    </row>
    <row r="163" spans="3:8" s="55" customFormat="1">
      <c r="C163" s="56"/>
      <c r="D163" s="56"/>
      <c r="E163" s="56"/>
      <c r="H163" s="57"/>
    </row>
    <row r="164" spans="3:8" s="55" customFormat="1">
      <c r="C164" s="56"/>
      <c r="D164" s="56"/>
      <c r="E164" s="56"/>
      <c r="H164" s="57"/>
    </row>
    <row r="165" spans="3:8" s="55" customFormat="1">
      <c r="C165" s="56"/>
      <c r="D165" s="56"/>
      <c r="E165" s="56"/>
      <c r="H165" s="57"/>
    </row>
    <row r="166" spans="3:8" s="55" customFormat="1">
      <c r="C166" s="56"/>
      <c r="D166" s="56"/>
      <c r="E166" s="56"/>
      <c r="H166" s="57"/>
    </row>
    <row r="167" spans="3:8" s="55" customFormat="1">
      <c r="C167" s="56"/>
      <c r="D167" s="56"/>
      <c r="E167" s="56"/>
      <c r="H167" s="57"/>
    </row>
    <row r="168" spans="3:8" s="55" customFormat="1">
      <c r="C168" s="56"/>
      <c r="D168" s="56"/>
      <c r="E168" s="56"/>
      <c r="H168" s="57"/>
    </row>
    <row r="169" spans="3:8" s="55" customFormat="1">
      <c r="C169" s="56"/>
      <c r="D169" s="56"/>
      <c r="E169" s="56"/>
      <c r="H169" s="57"/>
    </row>
    <row r="170" spans="3:8" s="55" customFormat="1">
      <c r="C170" s="56"/>
      <c r="D170" s="56"/>
      <c r="E170" s="56"/>
      <c r="H170" s="57"/>
    </row>
    <row r="171" spans="3:8" s="55" customFormat="1">
      <c r="C171" s="56"/>
      <c r="D171" s="56"/>
      <c r="E171" s="56"/>
      <c r="H171" s="57"/>
    </row>
    <row r="172" spans="3:8" s="55" customFormat="1">
      <c r="C172" s="56"/>
      <c r="D172" s="56"/>
      <c r="E172" s="56"/>
      <c r="H172" s="57"/>
    </row>
    <row r="173" spans="3:8" s="55" customFormat="1">
      <c r="C173" s="56"/>
      <c r="D173" s="56"/>
      <c r="E173" s="56"/>
      <c r="H173" s="57"/>
    </row>
    <row r="174" spans="3:8" s="55" customFormat="1">
      <c r="C174" s="56"/>
      <c r="D174" s="56"/>
      <c r="E174" s="56"/>
      <c r="H174" s="57"/>
    </row>
    <row r="175" spans="3:8" s="55" customFormat="1">
      <c r="C175" s="56"/>
      <c r="D175" s="56"/>
      <c r="E175" s="56"/>
      <c r="H175" s="57"/>
    </row>
    <row r="176" spans="3:8" s="55" customFormat="1">
      <c r="C176" s="56"/>
      <c r="D176" s="56"/>
      <c r="E176" s="56"/>
      <c r="H176" s="57"/>
    </row>
    <row r="177" spans="3:8" s="55" customFormat="1">
      <c r="C177" s="56"/>
      <c r="D177" s="56"/>
      <c r="E177" s="56"/>
      <c r="H177" s="57"/>
    </row>
    <row r="178" spans="3:8" s="55" customFormat="1">
      <c r="C178" s="56"/>
      <c r="D178" s="56"/>
      <c r="E178" s="56"/>
      <c r="H178" s="57"/>
    </row>
    <row r="179" spans="3:8" s="55" customFormat="1">
      <c r="C179" s="56"/>
      <c r="D179" s="56"/>
      <c r="E179" s="56"/>
      <c r="H179" s="57"/>
    </row>
    <row r="180" spans="3:8" s="55" customFormat="1">
      <c r="C180" s="56"/>
      <c r="D180" s="56"/>
      <c r="E180" s="56"/>
      <c r="H180" s="57"/>
    </row>
    <row r="181" spans="3:8" s="55" customFormat="1">
      <c r="C181" s="56"/>
      <c r="D181" s="56"/>
      <c r="E181" s="56"/>
      <c r="H181" s="57"/>
    </row>
    <row r="182" spans="3:8" s="55" customFormat="1">
      <c r="C182" s="56"/>
      <c r="D182" s="56"/>
      <c r="E182" s="56"/>
      <c r="H182" s="57"/>
    </row>
    <row r="183" spans="3:8" s="55" customFormat="1">
      <c r="C183" s="56"/>
      <c r="D183" s="56"/>
      <c r="E183" s="56"/>
      <c r="H183" s="57"/>
    </row>
    <row r="184" spans="3:8" s="55" customFormat="1">
      <c r="C184" s="56"/>
      <c r="D184" s="56"/>
      <c r="E184" s="56"/>
      <c r="H184" s="57"/>
    </row>
    <row r="185" spans="3:8" s="55" customFormat="1">
      <c r="C185" s="56"/>
      <c r="D185" s="56"/>
      <c r="E185" s="56"/>
      <c r="H185" s="57"/>
    </row>
    <row r="186" spans="3:8" s="55" customFormat="1">
      <c r="C186" s="56"/>
      <c r="D186" s="56"/>
      <c r="E186" s="56"/>
      <c r="H186" s="57"/>
    </row>
    <row r="187" spans="3:8" s="55" customFormat="1">
      <c r="C187" s="56"/>
      <c r="D187" s="56"/>
      <c r="E187" s="56"/>
      <c r="H187" s="57"/>
    </row>
    <row r="188" spans="3:8" s="55" customFormat="1">
      <c r="C188" s="56"/>
      <c r="D188" s="56"/>
      <c r="E188" s="56"/>
      <c r="H188" s="57"/>
    </row>
    <row r="189" spans="3:8" s="55" customFormat="1">
      <c r="C189" s="56"/>
      <c r="D189" s="56"/>
      <c r="E189" s="56"/>
      <c r="H189" s="57"/>
    </row>
    <row r="190" spans="3:8" s="55" customFormat="1">
      <c r="C190" s="56"/>
      <c r="D190" s="56"/>
      <c r="E190" s="56"/>
      <c r="H190" s="57"/>
    </row>
    <row r="191" spans="3:8" s="55" customFormat="1">
      <c r="C191" s="56"/>
      <c r="D191" s="56"/>
      <c r="E191" s="56"/>
      <c r="H191" s="57"/>
    </row>
    <row r="192" spans="3:8" s="55" customFormat="1">
      <c r="C192" s="56"/>
      <c r="D192" s="56"/>
      <c r="E192" s="56"/>
      <c r="H192" s="57"/>
    </row>
    <row r="193" spans="3:8" s="55" customFormat="1">
      <c r="C193" s="56"/>
      <c r="D193" s="56"/>
      <c r="E193" s="56"/>
      <c r="H193" s="57"/>
    </row>
    <row r="194" spans="3:8" s="55" customFormat="1">
      <c r="C194" s="56"/>
      <c r="D194" s="56"/>
      <c r="E194" s="56"/>
      <c r="H194" s="57"/>
    </row>
  </sheetData>
  <autoFilter ref="A4:I30" xr:uid="{00000000-0001-0000-0700-000000000000}"/>
  <conditionalFormatting sqref="A1:E1 I15:BI23 O3:BI13">
    <cfRule type="cellIs" dxfId="35" priority="6" operator="equal">
      <formula>"S"</formula>
    </cfRule>
  </conditionalFormatting>
  <conditionalFormatting sqref="A4:H4">
    <cfRule type="cellIs" dxfId="34" priority="5" operator="equal">
      <formula>"S"</formula>
    </cfRule>
  </conditionalFormatting>
  <conditionalFormatting sqref="A3:I3">
    <cfRule type="cellIs" dxfId="33" priority="24" operator="equal">
      <formula>"S"</formula>
    </cfRule>
  </conditionalFormatting>
  <conditionalFormatting sqref="C15">
    <cfRule type="cellIs" dxfId="32" priority="18" operator="equal">
      <formula>"S"</formula>
    </cfRule>
  </conditionalFormatting>
  <conditionalFormatting sqref="C19:C22">
    <cfRule type="cellIs" dxfId="31" priority="13" operator="equal">
      <formula>"S"</formula>
    </cfRule>
  </conditionalFormatting>
  <conditionalFormatting sqref="C26">
    <cfRule type="cellIs" dxfId="30" priority="10" operator="equal">
      <formula>"S"</formula>
    </cfRule>
  </conditionalFormatting>
  <conditionalFormatting sqref="N28:BH28">
    <cfRule type="cellIs" dxfId="29" priority="7" operator="equal">
      <formula>"S"</formula>
    </cfRule>
  </conditionalFormatting>
  <conditionalFormatting sqref="A31:BI1048392 H26:BI26 H29:BI30">
    <cfRule type="cellIs" dxfId="28" priority="23" operator="equal">
      <formula>"S"</formula>
    </cfRule>
  </conditionalFormatting>
  <conditionalFormatting sqref="O24:BI25">
    <cfRule type="cellIs" dxfId="27" priority="11" operator="equal">
      <formula>"S"</formula>
    </cfRule>
  </conditionalFormatting>
  <conditionalFormatting sqref="O27:BI27">
    <cfRule type="cellIs" dxfId="26" priority="9" operator="equal">
      <formula>"S"</formula>
    </cfRule>
  </conditionalFormatting>
  <conditionalFormatting sqref="O14:BI14">
    <cfRule type="cellIs" dxfId="25" priority="2" operator="equal">
      <formula>"S"</formula>
    </cfRule>
  </conditionalFormatting>
  <conditionalFormatting sqref="H15:H23">
    <cfRule type="cellIs" dxfId="24" priority="1" operator="equal">
      <formula>"S"</formula>
    </cfRule>
  </conditionalFormatting>
  <pageMargins left="0.7" right="0.7" top="0.75" bottom="0.75" header="0.511811023622047" footer="0.511811023622047"/>
  <pageSetup paperSize="9" orientation="landscape" horizontalDpi="300" verticalDpi="3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J199"/>
  <sheetViews>
    <sheetView zoomScaleNormal="100" workbookViewId="0">
      <selection activeCell="A6" sqref="A6:B7"/>
    </sheetView>
  </sheetViews>
  <sheetFormatPr defaultColWidth="11.42578125" defaultRowHeight="15"/>
  <cols>
    <col min="1" max="1" width="14.28515625" style="55" customWidth="1"/>
    <col min="2" max="2" width="11.42578125" style="55"/>
    <col min="3" max="3" width="35.7109375" style="56" customWidth="1"/>
    <col min="4" max="4" width="18" style="56" customWidth="1"/>
    <col min="5" max="5" width="12.28515625" style="56" customWidth="1"/>
    <col min="6" max="7" width="12.42578125" style="55" customWidth="1"/>
    <col min="8" max="16384" width="11.42578125" style="55"/>
  </cols>
  <sheetData>
    <row r="1" spans="1:62">
      <c r="A1" s="80" t="s">
        <v>715</v>
      </c>
      <c r="B1" s="80" t="s">
        <v>716</v>
      </c>
      <c r="C1" s="80" t="s">
        <v>717</v>
      </c>
      <c r="D1" s="80" t="s">
        <v>718</v>
      </c>
      <c r="E1" s="80" t="s">
        <v>719</v>
      </c>
      <c r="F1" s="78" t="s">
        <v>720</v>
      </c>
      <c r="G1" s="49"/>
      <c r="H1" s="50"/>
      <c r="I1" s="49"/>
      <c r="J1" s="52" t="s">
        <v>721</v>
      </c>
      <c r="K1" s="52" t="s">
        <v>722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</row>
    <row r="2" spans="1:62">
      <c r="A2" s="79" cm="1">
        <f t="array" aca="1" ref="A2" ca="1">SUMPRODUCT((D5:D199="BOX-ELEC")*(E5:E199="OK")*(F5:F199="T1")*(1+ISNUMBER(H5:H199)*((0.2+0.3*(IFERROR((TODAY()-_xlfn.SINGLE(H5:H199))/30.44,0)&gt;3)+0.25*(IFERROR((TODAY()-_xlfn.SINGLE(H5:H199))/30.44,0)&gt;6)+0.25*(IFERROR((TODAY()-_xlfn.SINGLE(H5:H199))/30.44,0)&gt;9))-1)))</f>
        <v>0</v>
      </c>
      <c r="B2" s="79"/>
      <c r="C2" s="79" cm="1">
        <f t="array" aca="1" ref="C2" ca="1">SUMPRODUCT((D5:D199="BOX-ELEC")*(E5:E199="OK")*(F5:F199="T2")*(1+ISNUMBER(H5:H199)*((0.2+0.3*(IFERROR((TODAY()-_xlfn.SINGLE(H5:H199))/30.44,0)&gt;3)+0.25*(IFERROR((TODAY()-_xlfn.SINGLE(H5:H199))/30.44,0)&gt;6)+0.25*(IFERROR((TODAY()-_xlfn.SINGLE(H5:H199))/30.44,0)&gt;9))-1)))</f>
        <v>2</v>
      </c>
      <c r="D2" s="79" cm="1">
        <f t="array" aca="1" ref="D2" ca="1">SUMPRODUCT((D5:D199="BOX")*(E5:E199="OK")*(F5:F199="T1")*(1+ISNUMBER(H5:H199)*((0.2+0.3*(IFERROR((TODAY()-_xlfn.SINGLE(H5:H199))/30.44,0)&gt;3)+0.25*(IFERROR((TODAY()-_xlfn.SINGLE(H5:H199))/30.44,0)&gt;6)+0.25*(IFERROR((TODAY()-_xlfn.SINGLE(H5:H199))/30.44,0)&gt;9))-1)))</f>
        <v>0</v>
      </c>
      <c r="E2" s="79" cm="1">
        <f t="array" aca="1" ref="E2" ca="1">SUMPRODUCT((D5:D199="BOX")*(E5:E199="OK")*(F5:F199="T2")*(1+ISNUMBER(H5:H199)*((0.2+0.3*(IFERROR((TODAY()-_xlfn.SINGLE(H5:H199))/30.44,0)&gt;3)+0.25*(IFERROR((TODAY()-_xlfn.SINGLE(H5:H199))/30.44,0)&gt;6)+0.25*(IFERROR((TODAY()-_xlfn.SINGLE(H5:H199))/30.44,0)&gt;9))-1)))</f>
        <v>1</v>
      </c>
      <c r="F2" s="79">
        <f ca="1">SUM(A2:E2)</f>
        <v>3</v>
      </c>
      <c r="G2" s="49"/>
      <c r="H2" s="50"/>
      <c r="I2" s="49"/>
      <c r="J2" s="58" t="s">
        <v>723</v>
      </c>
      <c r="K2" s="54">
        <f ca="1">A2</f>
        <v>0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</row>
    <row r="3" spans="1:62">
      <c r="H3" s="57"/>
      <c r="I3" s="71"/>
      <c r="J3" s="58" t="s">
        <v>724</v>
      </c>
      <c r="K3" s="54">
        <f ca="1">C2</f>
        <v>2</v>
      </c>
      <c r="O3" s="59"/>
      <c r="P3" s="59"/>
      <c r="Q3" s="59"/>
      <c r="R3" s="59"/>
      <c r="S3" s="59"/>
      <c r="T3" s="59"/>
      <c r="U3" s="59"/>
      <c r="AB3" s="72"/>
      <c r="AH3" s="72"/>
      <c r="AI3" s="72"/>
      <c r="AJ3" s="72"/>
      <c r="AK3" s="72"/>
      <c r="AM3" s="72"/>
      <c r="AN3" s="72"/>
      <c r="AO3" s="72"/>
    </row>
    <row r="4" spans="1:62">
      <c r="A4" s="61" t="s">
        <v>722</v>
      </c>
      <c r="B4" s="80" t="s">
        <v>716</v>
      </c>
      <c r="C4" s="51" t="s">
        <v>0</v>
      </c>
      <c r="D4" s="51" t="s">
        <v>1</v>
      </c>
      <c r="E4" s="51" t="s">
        <v>725</v>
      </c>
      <c r="F4" s="61" t="s">
        <v>3</v>
      </c>
      <c r="G4" s="61" t="s">
        <v>4</v>
      </c>
      <c r="H4" s="201" t="s">
        <v>54</v>
      </c>
      <c r="I4" s="79" t="s">
        <v>726</v>
      </c>
      <c r="J4" s="58" t="s">
        <v>727</v>
      </c>
      <c r="K4" s="54">
        <f ca="1">D2</f>
        <v>0</v>
      </c>
      <c r="O4" s="59"/>
      <c r="P4" s="59"/>
      <c r="Q4" s="59"/>
      <c r="R4" s="59"/>
      <c r="S4" s="59"/>
      <c r="T4" s="59"/>
      <c r="U4" s="59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</row>
    <row r="5" spans="1:62">
      <c r="A5" s="82"/>
      <c r="B5" s="303" t="s">
        <v>966</v>
      </c>
      <c r="C5" s="81" t="s">
        <v>967</v>
      </c>
      <c r="D5" s="81" t="s">
        <v>968</v>
      </c>
      <c r="E5" s="81" t="s">
        <v>13</v>
      </c>
      <c r="F5" s="82" t="s">
        <v>177</v>
      </c>
      <c r="G5" s="82" t="s">
        <v>8</v>
      </c>
      <c r="H5" s="98"/>
      <c r="I5" s="206"/>
      <c r="J5" s="58" t="s">
        <v>731</v>
      </c>
      <c r="K5" s="54">
        <f ca="1">E2</f>
        <v>1</v>
      </c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</row>
    <row r="6" spans="1:62">
      <c r="A6" s="412">
        <v>1</v>
      </c>
      <c r="B6" s="409" t="s">
        <v>969</v>
      </c>
      <c r="C6" s="213" t="s">
        <v>970</v>
      </c>
      <c r="D6" s="68" t="s">
        <v>968</v>
      </c>
      <c r="E6" s="68" t="s">
        <v>13</v>
      </c>
      <c r="F6" s="61" t="s">
        <v>7</v>
      </c>
      <c r="G6" s="61" t="s">
        <v>8</v>
      </c>
      <c r="H6" s="83"/>
      <c r="I6" s="198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</row>
    <row r="7" spans="1:62">
      <c r="A7" s="412">
        <v>2</v>
      </c>
      <c r="B7" s="409" t="s">
        <v>971</v>
      </c>
      <c r="C7" s="156" t="s">
        <v>972</v>
      </c>
      <c r="D7" s="51" t="s">
        <v>272</v>
      </c>
      <c r="E7" s="51" t="s">
        <v>13</v>
      </c>
      <c r="F7" s="61" t="s">
        <v>7</v>
      </c>
      <c r="G7" s="61" t="s">
        <v>8</v>
      </c>
      <c r="H7" s="83"/>
      <c r="I7" s="198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</row>
    <row r="8" spans="1:62">
      <c r="A8" s="412">
        <v>3</v>
      </c>
      <c r="B8" s="409" t="s">
        <v>973</v>
      </c>
      <c r="C8" s="213" t="s">
        <v>974</v>
      </c>
      <c r="D8" s="51" t="s">
        <v>968</v>
      </c>
      <c r="E8" s="51" t="s">
        <v>13</v>
      </c>
      <c r="F8" s="61" t="s">
        <v>7</v>
      </c>
      <c r="G8" s="61" t="s">
        <v>8</v>
      </c>
      <c r="I8" s="83">
        <v>46125</v>
      </c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</row>
    <row r="9" spans="1:62">
      <c r="A9" s="61"/>
      <c r="B9" s="219"/>
      <c r="C9" s="51"/>
      <c r="D9" s="51"/>
      <c r="E9" s="51"/>
      <c r="F9" s="61"/>
      <c r="G9" s="157"/>
      <c r="H9" s="79"/>
      <c r="I9" s="198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</row>
    <row r="10" spans="1:62">
      <c r="A10" s="61"/>
      <c r="B10" s="219"/>
      <c r="C10" s="51"/>
      <c r="D10" s="51"/>
      <c r="E10" s="51"/>
      <c r="F10" s="61"/>
      <c r="G10" s="157"/>
      <c r="H10" s="79"/>
      <c r="I10" s="198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</row>
    <row r="11" spans="1:62">
      <c r="A11" s="61"/>
      <c r="B11" s="219"/>
      <c r="C11" s="247"/>
      <c r="D11" s="51"/>
      <c r="E11" s="247"/>
      <c r="F11" s="219"/>
      <c r="G11" s="214"/>
      <c r="H11" s="79"/>
      <c r="I11" s="19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</row>
    <row r="12" spans="1:62">
      <c r="A12" s="61"/>
      <c r="B12" s="219"/>
      <c r="C12" s="156"/>
      <c r="D12" s="51"/>
      <c r="E12" s="51"/>
      <c r="F12" s="61"/>
      <c r="G12" s="157"/>
      <c r="H12" s="79"/>
      <c r="I12" s="198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2">
      <c r="A13" s="61"/>
      <c r="B13" s="219"/>
      <c r="C13" s="51"/>
      <c r="D13" s="51"/>
      <c r="E13" s="51"/>
      <c r="F13" s="61"/>
      <c r="G13" s="157"/>
      <c r="H13" s="79"/>
      <c r="I13" s="198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</row>
    <row r="14" spans="1:62">
      <c r="A14" s="61"/>
      <c r="B14" s="219"/>
      <c r="C14" s="51"/>
      <c r="D14" s="51"/>
      <c r="E14" s="51"/>
      <c r="F14" s="61"/>
      <c r="G14" s="157"/>
      <c r="H14" s="79"/>
      <c r="I14" s="198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</row>
    <row r="15" spans="1:62">
      <c r="A15" s="61"/>
      <c r="B15" s="219"/>
      <c r="C15" s="51"/>
      <c r="D15" s="51"/>
      <c r="E15" s="51"/>
      <c r="F15" s="61"/>
      <c r="G15" s="157"/>
      <c r="H15" s="79"/>
      <c r="I15" s="198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</row>
    <row r="16" spans="1:62">
      <c r="A16" s="61"/>
      <c r="B16" s="219"/>
      <c r="C16" s="51"/>
      <c r="D16" s="51"/>
      <c r="E16" s="51"/>
      <c r="F16" s="61"/>
      <c r="G16" s="157"/>
      <c r="H16" s="79"/>
      <c r="I16" s="198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</row>
    <row r="17" spans="1:61">
      <c r="A17" s="61"/>
      <c r="B17" s="219"/>
      <c r="C17" s="156"/>
      <c r="D17" s="51"/>
      <c r="E17" s="51"/>
      <c r="F17" s="61"/>
      <c r="G17" s="157"/>
      <c r="H17" s="79"/>
      <c r="I17" s="198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</row>
    <row r="18" spans="1:61">
      <c r="A18" s="61"/>
      <c r="B18" s="219"/>
      <c r="C18" s="156"/>
      <c r="D18" s="51"/>
      <c r="E18" s="51"/>
      <c r="F18" s="61"/>
      <c r="G18" s="157"/>
      <c r="H18" s="79"/>
      <c r="I18" s="198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</row>
    <row r="19" spans="1:61">
      <c r="A19" s="61"/>
      <c r="B19" s="219"/>
      <c r="C19" s="156"/>
      <c r="D19" s="51"/>
      <c r="E19" s="51"/>
      <c r="F19" s="61"/>
      <c r="G19" s="157"/>
      <c r="H19" s="79"/>
      <c r="I19" s="198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</row>
    <row r="20" spans="1:61">
      <c r="A20" s="61"/>
      <c r="B20" s="219"/>
      <c r="C20" s="86"/>
      <c r="D20" s="51"/>
      <c r="E20" s="51"/>
      <c r="F20" s="61"/>
      <c r="G20" s="157"/>
      <c r="H20" s="79"/>
      <c r="I20" s="198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</row>
    <row r="21" spans="1:61">
      <c r="A21" s="61"/>
      <c r="B21" s="219"/>
      <c r="C21" s="86"/>
      <c r="D21" s="51"/>
      <c r="E21" s="51"/>
      <c r="F21" s="61"/>
      <c r="G21" s="157"/>
      <c r="H21" s="215"/>
      <c r="I21" s="198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</row>
    <row r="22" spans="1:61">
      <c r="A22" s="61"/>
      <c r="B22" s="219"/>
      <c r="C22" s="87"/>
      <c r="D22" s="51"/>
      <c r="E22" s="88"/>
      <c r="F22" s="89"/>
      <c r="G22" s="204"/>
      <c r="H22" s="79"/>
      <c r="I22" s="198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</row>
    <row r="23" spans="1:61">
      <c r="A23" s="61"/>
      <c r="B23" s="219"/>
      <c r="C23" s="91"/>
      <c r="D23" s="51"/>
      <c r="E23" s="51"/>
      <c r="F23" s="61"/>
      <c r="G23" s="157"/>
      <c r="H23" s="79"/>
      <c r="I23" s="198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</row>
    <row r="24" spans="1:61">
      <c r="A24" s="61"/>
      <c r="B24" s="219"/>
      <c r="C24" s="94"/>
      <c r="D24" s="51"/>
      <c r="E24" s="51"/>
      <c r="F24" s="61"/>
      <c r="G24" s="157"/>
      <c r="H24" s="79"/>
      <c r="I24" s="198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</row>
    <row r="25" spans="1:61">
      <c r="A25" s="61"/>
      <c r="B25" s="219"/>
      <c r="C25" s="94"/>
      <c r="D25" s="51"/>
      <c r="E25" s="51"/>
      <c r="F25" s="61"/>
      <c r="G25" s="157"/>
      <c r="H25" s="79"/>
      <c r="I25" s="198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</row>
    <row r="26" spans="1:61">
      <c r="A26" s="61"/>
      <c r="B26" s="219"/>
      <c r="C26" s="51"/>
      <c r="D26" s="51"/>
      <c r="E26" s="51"/>
      <c r="F26" s="61"/>
      <c r="G26" s="157"/>
      <c r="H26" s="79"/>
      <c r="I26" s="198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</row>
    <row r="27" spans="1:61">
      <c r="A27" s="61"/>
      <c r="B27" s="219"/>
      <c r="C27" s="86"/>
      <c r="D27" s="51"/>
      <c r="E27" s="51"/>
      <c r="F27" s="61"/>
      <c r="G27" s="157"/>
      <c r="H27" s="79"/>
      <c r="I27" s="198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</row>
    <row r="28" spans="1:61">
      <c r="A28" s="61"/>
      <c r="B28" s="219"/>
      <c r="C28" s="86"/>
      <c r="D28" s="51"/>
      <c r="E28" s="51"/>
      <c r="F28" s="61"/>
      <c r="G28" s="157"/>
      <c r="H28" s="79"/>
      <c r="I28" s="198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</row>
    <row r="29" spans="1:61">
      <c r="A29" s="61"/>
      <c r="B29" s="219"/>
      <c r="C29" s="156"/>
      <c r="D29" s="51"/>
      <c r="E29" s="51"/>
      <c r="F29" s="61"/>
      <c r="G29" s="157"/>
      <c r="H29" s="79"/>
      <c r="I29" s="198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</row>
    <row r="30" spans="1:61">
      <c r="A30" s="61"/>
      <c r="B30" s="219"/>
      <c r="C30" s="94"/>
      <c r="D30" s="51"/>
      <c r="E30" s="51"/>
      <c r="F30" s="61"/>
      <c r="G30" s="157"/>
      <c r="H30" s="79"/>
      <c r="I30" s="198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</row>
    <row r="31" spans="1:61">
      <c r="A31" s="61"/>
      <c r="B31" s="219"/>
      <c r="C31" s="86"/>
      <c r="D31" s="51"/>
      <c r="E31" s="51"/>
      <c r="F31" s="61"/>
      <c r="G31" s="157"/>
      <c r="H31" s="79"/>
      <c r="I31" s="198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</row>
    <row r="32" spans="1:61">
      <c r="A32" s="61"/>
      <c r="B32" s="219"/>
      <c r="C32" s="51"/>
      <c r="D32" s="51"/>
      <c r="E32" s="51"/>
      <c r="F32" s="61"/>
      <c r="G32" s="157"/>
      <c r="H32" s="79"/>
      <c r="I32" s="198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64"/>
    </row>
    <row r="33" spans="1:8">
      <c r="H33" s="57"/>
    </row>
    <row r="34" spans="1:8">
      <c r="D34" s="73"/>
      <c r="E34" s="73"/>
      <c r="H34" s="57"/>
    </row>
    <row r="35" spans="1:8">
      <c r="A35" s="61" t="s">
        <v>722</v>
      </c>
      <c r="B35" s="80" t="s">
        <v>716</v>
      </c>
      <c r="C35" s="74" t="s">
        <v>0</v>
      </c>
      <c r="D35" s="74" t="s">
        <v>1</v>
      </c>
      <c r="E35" s="74" t="s">
        <v>725</v>
      </c>
      <c r="F35" s="74" t="s">
        <v>3</v>
      </c>
      <c r="G35" s="74" t="s">
        <v>4</v>
      </c>
      <c r="H35" s="74" t="s">
        <v>54</v>
      </c>
    </row>
    <row r="36" spans="1:8">
      <c r="A36" s="61"/>
      <c r="B36" s="61"/>
      <c r="C36" s="65" t="s">
        <v>967</v>
      </c>
      <c r="D36" s="65" t="s">
        <v>11</v>
      </c>
      <c r="E36" s="65" t="s">
        <v>68</v>
      </c>
      <c r="F36" s="66" t="s">
        <v>177</v>
      </c>
      <c r="G36" s="82" t="s">
        <v>8</v>
      </c>
      <c r="H36" s="98"/>
    </row>
    <row r="37" spans="1:8">
      <c r="A37" s="61">
        <v>1</v>
      </c>
      <c r="B37" s="61" t="s">
        <v>969</v>
      </c>
      <c r="C37" s="68" t="s">
        <v>601</v>
      </c>
      <c r="D37" s="68" t="s">
        <v>6</v>
      </c>
      <c r="E37" s="68" t="s">
        <v>13</v>
      </c>
      <c r="F37" s="61" t="s">
        <v>7</v>
      </c>
      <c r="G37" s="61" t="s">
        <v>8</v>
      </c>
      <c r="H37" s="83"/>
    </row>
    <row r="38" spans="1:8">
      <c r="A38" s="61">
        <v>2</v>
      </c>
      <c r="B38" s="61" t="s">
        <v>971</v>
      </c>
      <c r="C38" s="81" t="s">
        <v>594</v>
      </c>
      <c r="D38" s="81" t="s">
        <v>6</v>
      </c>
      <c r="E38" s="81" t="s">
        <v>13</v>
      </c>
      <c r="F38" s="82" t="s">
        <v>7</v>
      </c>
      <c r="G38" s="82" t="s">
        <v>8</v>
      </c>
      <c r="H38" s="98"/>
    </row>
    <row r="39" spans="1:8">
      <c r="A39" s="61">
        <v>3</v>
      </c>
      <c r="B39" s="61" t="s">
        <v>973</v>
      </c>
      <c r="C39" s="68" t="s">
        <v>12</v>
      </c>
      <c r="D39" s="51" t="s">
        <v>11</v>
      </c>
      <c r="E39" s="51" t="s">
        <v>13</v>
      </c>
      <c r="F39" s="61" t="s">
        <v>7</v>
      </c>
      <c r="G39" s="61" t="s">
        <v>8</v>
      </c>
      <c r="H39" s="83">
        <v>46125</v>
      </c>
    </row>
    <row r="40" spans="1:8">
      <c r="H40" s="57"/>
    </row>
    <row r="41" spans="1:8">
      <c r="H41" s="57"/>
    </row>
    <row r="42" spans="1:8">
      <c r="H42" s="57"/>
    </row>
    <row r="43" spans="1:8">
      <c r="H43" s="57"/>
    </row>
    <row r="44" spans="1:8">
      <c r="H44" s="57"/>
    </row>
    <row r="45" spans="1:8">
      <c r="H45" s="57"/>
    </row>
    <row r="46" spans="1:8">
      <c r="H46" s="57"/>
    </row>
    <row r="47" spans="1:8">
      <c r="H47" s="57"/>
    </row>
    <row r="48" spans="1:8">
      <c r="H48" s="57"/>
    </row>
    <row r="49" spans="8:8">
      <c r="H49" s="57"/>
    </row>
    <row r="50" spans="8:8">
      <c r="H50" s="57"/>
    </row>
    <row r="51" spans="8:8">
      <c r="H51" s="57"/>
    </row>
    <row r="52" spans="8:8">
      <c r="H52" s="57"/>
    </row>
    <row r="53" spans="8:8">
      <c r="H53" s="57"/>
    </row>
    <row r="54" spans="8:8">
      <c r="H54" s="57"/>
    </row>
    <row r="55" spans="8:8">
      <c r="H55" s="57"/>
    </row>
    <row r="56" spans="8:8">
      <c r="H56" s="57"/>
    </row>
    <row r="57" spans="8:8">
      <c r="H57" s="57"/>
    </row>
    <row r="58" spans="8:8">
      <c r="H58" s="57"/>
    </row>
    <row r="59" spans="8:8">
      <c r="H59" s="57"/>
    </row>
    <row r="60" spans="8:8">
      <c r="H60" s="57"/>
    </row>
    <row r="61" spans="8:8">
      <c r="H61" s="57"/>
    </row>
    <row r="62" spans="8:8">
      <c r="H62" s="57"/>
    </row>
    <row r="63" spans="8:8">
      <c r="H63" s="57"/>
    </row>
    <row r="64" spans="8:8">
      <c r="H64" s="57"/>
    </row>
    <row r="65" spans="8:8">
      <c r="H65" s="57"/>
    </row>
    <row r="66" spans="8:8">
      <c r="H66" s="57"/>
    </row>
    <row r="67" spans="8:8">
      <c r="H67" s="57"/>
    </row>
    <row r="68" spans="8:8">
      <c r="H68" s="57"/>
    </row>
    <row r="69" spans="8:8">
      <c r="H69" s="57"/>
    </row>
    <row r="70" spans="8:8">
      <c r="H70" s="57"/>
    </row>
    <row r="71" spans="8:8">
      <c r="H71" s="57"/>
    </row>
    <row r="72" spans="8:8">
      <c r="H72" s="57"/>
    </row>
    <row r="73" spans="8:8">
      <c r="H73" s="57"/>
    </row>
    <row r="74" spans="8:8">
      <c r="H74" s="57"/>
    </row>
    <row r="75" spans="8:8">
      <c r="H75" s="57"/>
    </row>
    <row r="76" spans="8:8">
      <c r="H76" s="57"/>
    </row>
    <row r="77" spans="8:8">
      <c r="H77" s="57"/>
    </row>
    <row r="78" spans="8:8">
      <c r="H78" s="57"/>
    </row>
    <row r="79" spans="8:8">
      <c r="H79" s="57"/>
    </row>
    <row r="80" spans="8:8">
      <c r="H80" s="57"/>
    </row>
    <row r="81" spans="8:8">
      <c r="H81" s="57"/>
    </row>
    <row r="82" spans="8:8">
      <c r="H82" s="57"/>
    </row>
    <row r="83" spans="8:8">
      <c r="H83" s="57"/>
    </row>
    <row r="84" spans="8:8">
      <c r="H84" s="57"/>
    </row>
    <row r="85" spans="8:8">
      <c r="H85" s="57"/>
    </row>
    <row r="86" spans="8:8">
      <c r="H86" s="57"/>
    </row>
    <row r="87" spans="8:8">
      <c r="H87" s="57"/>
    </row>
    <row r="88" spans="8:8">
      <c r="H88" s="57"/>
    </row>
    <row r="89" spans="8:8">
      <c r="H89" s="57"/>
    </row>
    <row r="90" spans="8:8">
      <c r="H90" s="57"/>
    </row>
    <row r="91" spans="8:8">
      <c r="H91" s="57"/>
    </row>
    <row r="92" spans="8:8">
      <c r="H92" s="57"/>
    </row>
    <row r="93" spans="8:8">
      <c r="H93" s="57"/>
    </row>
    <row r="94" spans="8:8">
      <c r="H94" s="57"/>
    </row>
    <row r="95" spans="8:8">
      <c r="H95" s="57"/>
    </row>
    <row r="96" spans="8:8">
      <c r="H96" s="57"/>
    </row>
    <row r="97" spans="8:8">
      <c r="H97" s="57"/>
    </row>
    <row r="98" spans="8:8">
      <c r="H98" s="57"/>
    </row>
    <row r="99" spans="8:8">
      <c r="H99" s="57"/>
    </row>
    <row r="100" spans="8:8">
      <c r="H100" s="57"/>
    </row>
    <row r="101" spans="8:8">
      <c r="H101" s="57"/>
    </row>
    <row r="102" spans="8:8">
      <c r="H102" s="57"/>
    </row>
    <row r="103" spans="8:8">
      <c r="H103" s="57"/>
    </row>
    <row r="104" spans="8:8">
      <c r="H104" s="57"/>
    </row>
    <row r="105" spans="8:8">
      <c r="H105" s="57"/>
    </row>
    <row r="106" spans="8:8">
      <c r="H106" s="57"/>
    </row>
    <row r="107" spans="8:8">
      <c r="H107" s="57"/>
    </row>
    <row r="108" spans="8:8">
      <c r="H108" s="57"/>
    </row>
    <row r="109" spans="8:8">
      <c r="H109" s="57"/>
    </row>
    <row r="110" spans="8:8">
      <c r="H110" s="57"/>
    </row>
    <row r="111" spans="8:8">
      <c r="H111" s="57"/>
    </row>
    <row r="112" spans="8:8">
      <c r="H112" s="57"/>
    </row>
    <row r="113" spans="8:8">
      <c r="H113" s="57"/>
    </row>
    <row r="114" spans="8:8">
      <c r="H114" s="57"/>
    </row>
    <row r="115" spans="8:8">
      <c r="H115" s="57"/>
    </row>
    <row r="116" spans="8:8">
      <c r="H116" s="57"/>
    </row>
    <row r="117" spans="8:8">
      <c r="H117" s="57"/>
    </row>
    <row r="118" spans="8:8">
      <c r="H118" s="57"/>
    </row>
    <row r="119" spans="8:8">
      <c r="H119" s="57"/>
    </row>
    <row r="120" spans="8:8">
      <c r="H120" s="57"/>
    </row>
    <row r="121" spans="8:8">
      <c r="H121" s="57"/>
    </row>
    <row r="122" spans="8:8">
      <c r="H122" s="57"/>
    </row>
    <row r="123" spans="8:8">
      <c r="H123" s="57"/>
    </row>
    <row r="124" spans="8:8">
      <c r="H124" s="57"/>
    </row>
    <row r="125" spans="8:8">
      <c r="H125" s="57"/>
    </row>
    <row r="126" spans="8:8">
      <c r="H126" s="57"/>
    </row>
    <row r="127" spans="8:8">
      <c r="H127" s="57"/>
    </row>
    <row r="128" spans="8:8">
      <c r="H128" s="57"/>
    </row>
    <row r="129" spans="8:8">
      <c r="H129" s="57"/>
    </row>
    <row r="130" spans="8:8">
      <c r="H130" s="57"/>
    </row>
    <row r="131" spans="8:8">
      <c r="H131" s="57"/>
    </row>
    <row r="132" spans="8:8">
      <c r="H132" s="57"/>
    </row>
    <row r="133" spans="8:8">
      <c r="H133" s="57"/>
    </row>
    <row r="134" spans="8:8">
      <c r="H134" s="57"/>
    </row>
    <row r="135" spans="8:8">
      <c r="H135" s="57"/>
    </row>
    <row r="136" spans="8:8">
      <c r="H136" s="57"/>
    </row>
    <row r="137" spans="8:8">
      <c r="H137" s="57"/>
    </row>
    <row r="138" spans="8:8">
      <c r="H138" s="57"/>
    </row>
    <row r="139" spans="8:8">
      <c r="H139" s="57"/>
    </row>
    <row r="140" spans="8:8">
      <c r="H140" s="57"/>
    </row>
    <row r="141" spans="8:8">
      <c r="H141" s="57"/>
    </row>
    <row r="142" spans="8:8">
      <c r="H142" s="57"/>
    </row>
    <row r="143" spans="8:8">
      <c r="H143" s="57"/>
    </row>
    <row r="144" spans="8:8">
      <c r="H144" s="57"/>
    </row>
    <row r="145" spans="8:8">
      <c r="H145" s="57"/>
    </row>
    <row r="146" spans="8:8">
      <c r="H146" s="57"/>
    </row>
    <row r="147" spans="8:8">
      <c r="H147" s="57"/>
    </row>
    <row r="148" spans="8:8">
      <c r="H148" s="57"/>
    </row>
    <row r="149" spans="8:8">
      <c r="H149" s="57"/>
    </row>
    <row r="150" spans="8:8">
      <c r="H150" s="57"/>
    </row>
    <row r="151" spans="8:8">
      <c r="H151" s="57"/>
    </row>
    <row r="152" spans="8:8">
      <c r="H152" s="57"/>
    </row>
    <row r="153" spans="8:8">
      <c r="H153" s="57"/>
    </row>
    <row r="154" spans="8:8">
      <c r="H154" s="57"/>
    </row>
    <row r="155" spans="8:8">
      <c r="H155" s="57"/>
    </row>
    <row r="156" spans="8:8">
      <c r="H156" s="57"/>
    </row>
    <row r="157" spans="8:8">
      <c r="H157" s="57"/>
    </row>
    <row r="158" spans="8:8">
      <c r="H158" s="57"/>
    </row>
    <row r="159" spans="8:8">
      <c r="H159" s="57"/>
    </row>
    <row r="160" spans="8:8">
      <c r="H160" s="57"/>
    </row>
    <row r="161" spans="8:8">
      <c r="H161" s="57"/>
    </row>
    <row r="162" spans="8:8">
      <c r="H162" s="57"/>
    </row>
    <row r="163" spans="8:8">
      <c r="H163" s="57"/>
    </row>
    <row r="164" spans="8:8">
      <c r="H164" s="57"/>
    </row>
    <row r="165" spans="8:8">
      <c r="H165" s="57"/>
    </row>
    <row r="166" spans="8:8">
      <c r="H166" s="57"/>
    </row>
    <row r="167" spans="8:8">
      <c r="H167" s="57"/>
    </row>
    <row r="168" spans="8:8">
      <c r="H168" s="57"/>
    </row>
    <row r="169" spans="8:8">
      <c r="H169" s="57"/>
    </row>
    <row r="170" spans="8:8">
      <c r="H170" s="57"/>
    </row>
    <row r="171" spans="8:8">
      <c r="H171" s="57"/>
    </row>
    <row r="172" spans="8:8">
      <c r="H172" s="57"/>
    </row>
    <row r="173" spans="8:8">
      <c r="H173" s="57"/>
    </row>
    <row r="174" spans="8:8">
      <c r="H174" s="57"/>
    </row>
    <row r="175" spans="8:8">
      <c r="H175" s="57"/>
    </row>
    <row r="176" spans="8:8">
      <c r="H176" s="57"/>
    </row>
    <row r="177" spans="8:8">
      <c r="H177" s="57"/>
    </row>
    <row r="178" spans="8:8">
      <c r="H178" s="57"/>
    </row>
    <row r="179" spans="8:8">
      <c r="H179" s="57"/>
    </row>
    <row r="180" spans="8:8">
      <c r="H180" s="57"/>
    </row>
    <row r="181" spans="8:8">
      <c r="H181" s="57"/>
    </row>
    <row r="182" spans="8:8">
      <c r="H182" s="57"/>
    </row>
    <row r="183" spans="8:8">
      <c r="H183" s="57"/>
    </row>
    <row r="184" spans="8:8">
      <c r="H184" s="57"/>
    </row>
    <row r="185" spans="8:8">
      <c r="H185" s="57"/>
    </row>
    <row r="186" spans="8:8">
      <c r="H186" s="57"/>
    </row>
    <row r="187" spans="8:8">
      <c r="H187" s="57"/>
    </row>
    <row r="188" spans="8:8">
      <c r="H188" s="57"/>
    </row>
    <row r="189" spans="8:8">
      <c r="H189" s="57"/>
    </row>
    <row r="190" spans="8:8">
      <c r="H190" s="57"/>
    </row>
    <row r="191" spans="8:8">
      <c r="H191" s="57"/>
    </row>
    <row r="192" spans="8:8">
      <c r="H192" s="57"/>
    </row>
    <row r="193" spans="8:8">
      <c r="H193" s="57"/>
    </row>
    <row r="194" spans="8:8">
      <c r="H194" s="57"/>
    </row>
    <row r="195" spans="8:8">
      <c r="H195" s="57"/>
    </row>
    <row r="196" spans="8:8">
      <c r="H196" s="57"/>
    </row>
    <row r="197" spans="8:8">
      <c r="H197" s="57"/>
    </row>
    <row r="198" spans="8:8">
      <c r="H198" s="57"/>
    </row>
    <row r="199" spans="8:8">
      <c r="H199" s="57"/>
    </row>
  </sheetData>
  <conditionalFormatting sqref="A1:E1 A4:H7 A8:G8 I8">
    <cfRule type="cellIs" dxfId="23" priority="5" operator="equal">
      <formula>"S"</formula>
    </cfRule>
  </conditionalFormatting>
  <conditionalFormatting sqref="A3:I3">
    <cfRule type="cellIs" dxfId="22" priority="14" operator="equal">
      <formula>"S"</formula>
    </cfRule>
  </conditionalFormatting>
  <conditionalFormatting sqref="A33:BI199">
    <cfRule type="cellIs" dxfId="21" priority="2" operator="equal">
      <formula>"S"</formula>
    </cfRule>
  </conditionalFormatting>
  <conditionalFormatting sqref="A200:BJ1048377">
    <cfRule type="cellIs" dxfId="20" priority="18" operator="equal">
      <formula>"S"</formula>
    </cfRule>
  </conditionalFormatting>
  <conditionalFormatting sqref="C16:C19">
    <cfRule type="cellIs" dxfId="19" priority="12" operator="equal">
      <formula>"S"</formula>
    </cfRule>
  </conditionalFormatting>
  <conditionalFormatting sqref="C23:C26">
    <cfRule type="cellIs" dxfId="18" priority="11" operator="equal">
      <formula>"S"</formula>
    </cfRule>
  </conditionalFormatting>
  <conditionalFormatting sqref="C30">
    <cfRule type="cellIs" dxfId="17" priority="8" operator="equal">
      <formula>"S"</formula>
    </cfRule>
  </conditionalFormatting>
  <conditionalFormatting sqref="I17:BI27 I30:BI30">
    <cfRule type="cellIs" dxfId="16" priority="13" operator="equal">
      <formula>"S"</formula>
    </cfRule>
  </conditionalFormatting>
  <conditionalFormatting sqref="N32:BH32">
    <cfRule type="cellIs" dxfId="15" priority="6" operator="equal">
      <formula>"S"</formula>
    </cfRule>
  </conditionalFormatting>
  <conditionalFormatting sqref="O3:BI15 L16:BI16">
    <cfRule type="cellIs" dxfId="14" priority="15" operator="equal">
      <formula>"S"</formula>
    </cfRule>
  </conditionalFormatting>
  <conditionalFormatting sqref="O28:BI29">
    <cfRule type="cellIs" dxfId="13" priority="9" operator="equal">
      <formula>"S"</formula>
    </cfRule>
  </conditionalFormatting>
  <conditionalFormatting sqref="O31:BI31">
    <cfRule type="cellIs" dxfId="12" priority="7" operator="equal">
      <formula>"S"</formula>
    </cfRule>
  </conditionalFormatting>
  <pageMargins left="0.7" right="0.7" top="0.75" bottom="0.75" header="0.511811023622047" footer="0.511811023622047"/>
  <pageSetup paperSize="9" orientation="landscape" horizontalDpi="300" verticalDpi="3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E212-3445-4511-95BA-1AA0C4F4C085}">
  <dimension ref="A1:BI199"/>
  <sheetViews>
    <sheetView tabSelected="1" workbookViewId="0">
      <selection activeCell="K34" sqref="K34"/>
    </sheetView>
  </sheetViews>
  <sheetFormatPr defaultColWidth="9.140625" defaultRowHeight="15"/>
  <cols>
    <col min="3" max="3" width="59.42578125" bestFit="1" customWidth="1"/>
    <col min="4" max="4" width="23.140625" bestFit="1" customWidth="1"/>
    <col min="8" max="8" width="7.85546875" bestFit="1" customWidth="1"/>
    <col min="9" max="9" width="11.28515625" bestFit="1" customWidth="1"/>
    <col min="10" max="10" width="11" bestFit="1" customWidth="1"/>
  </cols>
  <sheetData>
    <row r="1" spans="1:61">
      <c r="A1" s="80" t="s">
        <v>975</v>
      </c>
      <c r="B1" s="80" t="s">
        <v>716</v>
      </c>
      <c r="C1" s="80" t="s">
        <v>976</v>
      </c>
      <c r="D1" s="80" t="s">
        <v>977</v>
      </c>
      <c r="E1" s="80"/>
      <c r="F1" s="78" t="s">
        <v>720</v>
      </c>
      <c r="G1" s="49"/>
      <c r="H1" s="50"/>
      <c r="I1" s="49"/>
      <c r="J1" s="52" t="s">
        <v>721</v>
      </c>
      <c r="K1" s="52" t="s">
        <v>722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</row>
    <row r="2" spans="1:61">
      <c r="A2" s="79" cm="1">
        <f t="array" aca="1" ref="A2" ca="1">SUMPRODUCT((D5:D199="Cuadros")*(E5:E199="OK")*(F5:F199="T1")*(1+ISNUMBER(H5:H199)*((0.2+0.3*(IFERROR((TODAY()-_xlfn.SINGLE(H5:H199))/30.44,0)&gt;3)+0.25*(IFERROR((TODAY()-_xlfn.SINGLE(H5:H199))/30.44,0)&gt;6)+0.25*(IFERROR((TODAY()-_xlfn.SINGLE(H5:H199))/30.44,0)&gt;9))-1)))</f>
        <v>8</v>
      </c>
      <c r="B2" s="79"/>
      <c r="C2" s="79" cm="1">
        <f t="array" aca="1" ref="C2" ca="1">SUMPRODUCT((D5:D199="Cuadros")*(E5:E199="OK")*(F5:F199="T2")*(1+ISNUMBER(H5:H199)*((0.2+0.3*(IFERROR((TODAY()-_xlfn.SINGLE(H5:H199))/30.44,0)&gt;3)+0.25*(IFERROR((TODAY()-_xlfn.SINGLE(H5:H199))/30.44,0)&gt;6)+0.25*(IFERROR((TODAY()-_xlfn.SINGLE(H5:H199))/30.44,0)&gt;9))-1)))</f>
        <v>7</v>
      </c>
      <c r="D2" s="79" cm="1">
        <f t="array" aca="1" ref="D2" ca="1">SUMPRODUCT((D5:D199="Cuadros")*(E5:E199="OK")*(F5:F199="T3")*(1+ISNUMBER(H5:H199)*((0.2+0.3*(IFERROR((TODAY()-_xlfn.SINGLE(H5:H199))/30.44,0)&gt;3)+0.25*(IFERROR((TODAY()-_xlfn.SINGLE(H5:H199))/30.44,0)&gt;6)+0.25*(IFERROR((TODAY()-_xlfn.SINGLE(H5:H199))/30.44,0)&gt;9))-1)))</f>
        <v>0</v>
      </c>
      <c r="E2" s="79">
        <f ca="1">SUMPRODUCT((D5:D199="Producción")*(E5:E199="OK")*(F5:F199="T2")*(1+ISNUMBER(H5:H199)*((0.2+0.3*(IFERROR((TODAY()-H5:H199)/30.44,0)&gt;3)+0.25*(IFERROR((TODAY()-H5:H199)/30.44,0)&gt;6)+0.25*(IFERROR((TODAY()-H5:H199)/30.44,0)&gt;9))-1)))</f>
        <v>0</v>
      </c>
      <c r="F2" s="79">
        <f ca="1">SUM(A2:E2)</f>
        <v>15</v>
      </c>
      <c r="G2" s="49"/>
      <c r="H2" s="50"/>
      <c r="I2" s="49"/>
      <c r="J2" s="58" t="s">
        <v>978</v>
      </c>
      <c r="K2" s="54">
        <f ca="1">A2</f>
        <v>8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</row>
    <row r="3" spans="1:61">
      <c r="A3" s="55"/>
      <c r="B3" s="55"/>
      <c r="C3" s="56"/>
      <c r="D3" s="56"/>
      <c r="E3" s="56"/>
      <c r="F3" s="55"/>
      <c r="G3" s="55"/>
      <c r="H3" s="57"/>
      <c r="I3" s="71"/>
      <c r="J3" s="58" t="s">
        <v>979</v>
      </c>
      <c r="K3" s="54">
        <f ca="1">C2</f>
        <v>7</v>
      </c>
      <c r="L3" s="55"/>
      <c r="M3" s="55"/>
      <c r="N3" s="55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5"/>
      <c r="BD3" s="55"/>
      <c r="BE3" s="55"/>
      <c r="BF3" s="55"/>
      <c r="BG3" s="55"/>
      <c r="BH3" s="55"/>
      <c r="BI3" s="55"/>
    </row>
    <row r="4" spans="1:61">
      <c r="A4" s="61" t="s">
        <v>722</v>
      </c>
      <c r="B4" s="80" t="s">
        <v>716</v>
      </c>
      <c r="C4" s="51" t="s">
        <v>0</v>
      </c>
      <c r="D4" s="51" t="s">
        <v>1</v>
      </c>
      <c r="E4" s="51" t="s">
        <v>725</v>
      </c>
      <c r="F4" s="61" t="s">
        <v>3</v>
      </c>
      <c r="G4" s="61" t="s">
        <v>4</v>
      </c>
      <c r="H4" s="201" t="s">
        <v>54</v>
      </c>
      <c r="I4" s="79" t="s">
        <v>726</v>
      </c>
      <c r="J4" s="58" t="s">
        <v>980</v>
      </c>
      <c r="K4" s="54">
        <f ca="1">D2</f>
        <v>0</v>
      </c>
      <c r="L4" s="55"/>
      <c r="M4" s="55"/>
      <c r="N4" s="55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63"/>
      <c r="BD4" s="63"/>
      <c r="BE4" s="63"/>
      <c r="BF4" s="63"/>
      <c r="BG4" s="63"/>
      <c r="BH4" s="63"/>
      <c r="BI4" s="63"/>
    </row>
    <row r="5" spans="1:61">
      <c r="A5" s="61">
        <v>1</v>
      </c>
      <c r="B5" s="219" t="s">
        <v>981</v>
      </c>
      <c r="C5" s="354" t="s">
        <v>982</v>
      </c>
      <c r="D5" s="340" t="s">
        <v>251</v>
      </c>
      <c r="E5" s="340" t="s">
        <v>13</v>
      </c>
      <c r="F5" s="338" t="s">
        <v>47</v>
      </c>
      <c r="G5" s="353"/>
      <c r="H5" s="342"/>
      <c r="I5" s="348"/>
      <c r="J5" s="58"/>
      <c r="K5" s="54">
        <f ca="1">E2</f>
        <v>0</v>
      </c>
      <c r="L5" s="55"/>
      <c r="M5" s="55"/>
      <c r="N5" s="55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</row>
    <row r="6" spans="1:61">
      <c r="A6" s="61" t="s">
        <v>983</v>
      </c>
      <c r="B6" s="219" t="s">
        <v>984</v>
      </c>
      <c r="C6" s="355" t="s">
        <v>712</v>
      </c>
      <c r="D6" s="356" t="s">
        <v>251</v>
      </c>
      <c r="E6" s="356" t="s">
        <v>13</v>
      </c>
      <c r="F6" s="361" t="s">
        <v>47</v>
      </c>
      <c r="G6" s="334"/>
      <c r="H6" s="335"/>
      <c r="I6" s="336"/>
      <c r="J6" s="55"/>
      <c r="K6" s="55"/>
      <c r="L6" s="55"/>
      <c r="M6" s="55"/>
      <c r="N6" s="55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</row>
    <row r="7" spans="1:61">
      <c r="A7" s="61">
        <v>3</v>
      </c>
      <c r="B7" s="219" t="s">
        <v>985</v>
      </c>
      <c r="C7" s="355" t="s">
        <v>986</v>
      </c>
      <c r="D7" s="356" t="s">
        <v>251</v>
      </c>
      <c r="E7" s="356" t="s">
        <v>13</v>
      </c>
      <c r="F7" s="361" t="s">
        <v>47</v>
      </c>
      <c r="G7" s="334"/>
      <c r="H7" s="335"/>
      <c r="I7" s="336"/>
      <c r="J7" s="55"/>
      <c r="K7" s="55"/>
      <c r="L7" s="55"/>
      <c r="M7" s="55"/>
      <c r="N7" s="55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</row>
    <row r="8" spans="1:61">
      <c r="A8" s="61">
        <v>4</v>
      </c>
      <c r="B8" s="219" t="s">
        <v>987</v>
      </c>
      <c r="C8" s="356" t="s">
        <v>711</v>
      </c>
      <c r="D8" s="356" t="s">
        <v>251</v>
      </c>
      <c r="E8" s="356" t="s">
        <v>13</v>
      </c>
      <c r="F8" s="361" t="s">
        <v>47</v>
      </c>
      <c r="G8" s="334"/>
      <c r="H8" s="335"/>
      <c r="I8" s="336"/>
      <c r="J8" s="55"/>
      <c r="K8" s="55"/>
      <c r="L8" s="55"/>
      <c r="M8" s="55"/>
      <c r="N8" s="55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</row>
    <row r="9" spans="1:61">
      <c r="A9" s="61">
        <v>5</v>
      </c>
      <c r="B9" s="219" t="s">
        <v>988</v>
      </c>
      <c r="C9" s="356" t="s">
        <v>714</v>
      </c>
      <c r="D9" s="356" t="s">
        <v>251</v>
      </c>
      <c r="E9" s="356" t="s">
        <v>13</v>
      </c>
      <c r="F9" s="361" t="s">
        <v>47</v>
      </c>
      <c r="G9" s="334"/>
      <c r="H9" s="335"/>
      <c r="I9" s="336"/>
      <c r="J9" s="55"/>
      <c r="K9" s="55"/>
      <c r="L9" s="55"/>
      <c r="M9" s="55"/>
      <c r="N9" s="55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</row>
    <row r="10" spans="1:61">
      <c r="A10" s="61">
        <v>6</v>
      </c>
      <c r="B10" s="219" t="s">
        <v>989</v>
      </c>
      <c r="C10" s="355" t="s">
        <v>990</v>
      </c>
      <c r="D10" s="356" t="s">
        <v>251</v>
      </c>
      <c r="E10" s="356" t="s">
        <v>13</v>
      </c>
      <c r="F10" s="361" t="s">
        <v>47</v>
      </c>
      <c r="G10" s="334"/>
      <c r="H10" s="335" t="s">
        <v>831</v>
      </c>
      <c r="I10" s="336"/>
      <c r="J10" s="55"/>
      <c r="K10" s="55"/>
      <c r="L10" s="55"/>
      <c r="M10" s="55"/>
      <c r="N10" s="55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</row>
    <row r="11" spans="1:61">
      <c r="A11" s="61">
        <v>7</v>
      </c>
      <c r="B11" s="219" t="s">
        <v>991</v>
      </c>
      <c r="C11" s="355" t="s">
        <v>992</v>
      </c>
      <c r="D11" s="356" t="s">
        <v>251</v>
      </c>
      <c r="E11" s="356" t="s">
        <v>13</v>
      </c>
      <c r="F11" s="361" t="s">
        <v>47</v>
      </c>
      <c r="G11" s="334"/>
      <c r="H11" s="335" t="s">
        <v>831</v>
      </c>
      <c r="I11" s="336"/>
      <c r="J11" s="55"/>
      <c r="K11" s="55"/>
      <c r="L11" s="55"/>
      <c r="M11" s="55"/>
      <c r="N11" s="55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</row>
    <row r="12" spans="1:61">
      <c r="A12" s="61">
        <v>8</v>
      </c>
      <c r="B12" s="436" t="s">
        <v>993</v>
      </c>
      <c r="C12" s="366" t="s">
        <v>994</v>
      </c>
      <c r="D12" s="356" t="s">
        <v>251</v>
      </c>
      <c r="E12" s="356" t="s">
        <v>13</v>
      </c>
      <c r="F12" s="361" t="s">
        <v>47</v>
      </c>
      <c r="G12" s="334"/>
      <c r="H12" s="335"/>
      <c r="I12" s="336">
        <v>8</v>
      </c>
      <c r="J12" s="55"/>
      <c r="K12" s="55"/>
      <c r="L12" s="55"/>
      <c r="M12" s="55"/>
      <c r="N12" s="55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1">
      <c r="A13" s="412">
        <v>9</v>
      </c>
      <c r="B13" s="409" t="s">
        <v>995</v>
      </c>
      <c r="C13" s="354" t="s">
        <v>996</v>
      </c>
      <c r="D13" s="340" t="s">
        <v>251</v>
      </c>
      <c r="E13" s="340" t="s">
        <v>13</v>
      </c>
      <c r="F13" s="338" t="s">
        <v>7</v>
      </c>
      <c r="G13" s="353"/>
      <c r="H13" s="342"/>
      <c r="I13" s="348"/>
      <c r="J13" s="55"/>
      <c r="K13" s="55"/>
      <c r="L13" s="55"/>
      <c r="M13" s="55"/>
      <c r="N13" s="55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</row>
    <row r="14" spans="1:61">
      <c r="A14" s="412">
        <v>10</v>
      </c>
      <c r="B14" s="409" t="s">
        <v>997</v>
      </c>
      <c r="C14" s="241" t="s">
        <v>998</v>
      </c>
      <c r="D14" s="237" t="s">
        <v>251</v>
      </c>
      <c r="E14" s="237" t="s">
        <v>13</v>
      </c>
      <c r="F14" s="236" t="s">
        <v>7</v>
      </c>
      <c r="G14" s="238"/>
      <c r="H14" s="239"/>
      <c r="I14" s="240"/>
      <c r="J14" s="55"/>
      <c r="K14" s="55"/>
      <c r="L14" s="55"/>
      <c r="M14" s="55"/>
      <c r="N14" s="55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</row>
    <row r="15" spans="1:61">
      <c r="A15" s="412">
        <v>11</v>
      </c>
      <c r="B15" s="409" t="s">
        <v>999</v>
      </c>
      <c r="C15" s="241" t="s">
        <v>1000</v>
      </c>
      <c r="D15" s="237" t="s">
        <v>251</v>
      </c>
      <c r="E15" s="237" t="s">
        <v>13</v>
      </c>
      <c r="F15" s="236" t="s">
        <v>7</v>
      </c>
      <c r="G15" s="238"/>
      <c r="H15" s="239"/>
      <c r="I15" s="240"/>
      <c r="J15" s="55"/>
      <c r="K15" s="55"/>
      <c r="L15" s="55"/>
      <c r="M15" s="55"/>
      <c r="N15" s="55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</row>
    <row r="16" spans="1:61">
      <c r="A16" s="412">
        <v>12</v>
      </c>
      <c r="B16" s="409" t="s">
        <v>1001</v>
      </c>
      <c r="C16" s="241" t="s">
        <v>1002</v>
      </c>
      <c r="D16" s="237" t="s">
        <v>251</v>
      </c>
      <c r="E16" s="237" t="s">
        <v>13</v>
      </c>
      <c r="F16" s="236" t="s">
        <v>7</v>
      </c>
      <c r="G16" s="238"/>
      <c r="H16" s="239" t="s">
        <v>831</v>
      </c>
      <c r="I16" s="240"/>
      <c r="J16" s="55"/>
      <c r="K16" s="55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</row>
    <row r="17" spans="1:61">
      <c r="A17" s="412">
        <v>13</v>
      </c>
      <c r="B17" s="416" t="s">
        <v>1003</v>
      </c>
      <c r="C17" s="260" t="s">
        <v>449</v>
      </c>
      <c r="D17" s="260" t="s">
        <v>251</v>
      </c>
      <c r="E17" s="237" t="s">
        <v>13</v>
      </c>
      <c r="F17" s="236" t="s">
        <v>7</v>
      </c>
      <c r="G17" s="238"/>
      <c r="H17" s="239" t="s">
        <v>1004</v>
      </c>
      <c r="I17" s="240">
        <v>45986</v>
      </c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</row>
    <row r="18" spans="1:61">
      <c r="A18" s="412">
        <v>14</v>
      </c>
      <c r="B18" s="417" t="s">
        <v>1005</v>
      </c>
      <c r="C18" s="392" t="s">
        <v>1006</v>
      </c>
      <c r="D18" s="257" t="s">
        <v>251</v>
      </c>
      <c r="E18" s="259" t="s">
        <v>13</v>
      </c>
      <c r="F18" s="236" t="s">
        <v>7</v>
      </c>
      <c r="G18" s="238"/>
      <c r="H18" s="239" t="s">
        <v>1004</v>
      </c>
      <c r="I18" s="240">
        <v>46174</v>
      </c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</row>
    <row r="19" spans="1:61">
      <c r="A19" s="82">
        <v>15</v>
      </c>
      <c r="B19" s="320"/>
      <c r="C19" s="302" t="s">
        <v>1007</v>
      </c>
      <c r="D19" s="81" t="s">
        <v>251</v>
      </c>
      <c r="E19" s="81" t="s">
        <v>13</v>
      </c>
      <c r="F19" s="303" t="s">
        <v>7</v>
      </c>
      <c r="G19" s="304"/>
      <c r="H19" s="202" t="s">
        <v>1004</v>
      </c>
      <c r="I19" s="206">
        <v>46174</v>
      </c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</row>
    <row r="20" spans="1:61">
      <c r="A20" s="239"/>
      <c r="B20" s="193"/>
      <c r="C20" s="258"/>
      <c r="D20" s="257"/>
      <c r="E20" s="259"/>
      <c r="F20" s="235"/>
      <c r="G20" s="238"/>
      <c r="H20" s="239"/>
      <c r="I20" s="240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</row>
    <row r="21" spans="1:61">
      <c r="A21" s="261"/>
      <c r="B21" s="262"/>
      <c r="C21" s="263"/>
      <c r="D21" s="264"/>
      <c r="E21" s="237"/>
      <c r="F21" s="235"/>
      <c r="G21" s="238"/>
      <c r="H21" s="242"/>
      <c r="I21" s="240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</row>
    <row r="22" spans="1:61">
      <c r="A22" s="235"/>
      <c r="B22" s="236"/>
      <c r="C22" s="395"/>
      <c r="D22" s="237"/>
      <c r="E22" s="243"/>
      <c r="F22" s="244"/>
      <c r="G22" s="245"/>
      <c r="H22" s="239"/>
      <c r="I22" s="240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</row>
    <row r="23" spans="1:61">
      <c r="A23" s="235"/>
      <c r="B23" s="236"/>
      <c r="C23" s="246"/>
      <c r="D23" s="237"/>
      <c r="E23" s="237"/>
      <c r="F23" s="235"/>
      <c r="G23" s="238"/>
      <c r="H23" s="239"/>
      <c r="I23" s="240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</row>
    <row r="24" spans="1:61">
      <c r="A24" s="235"/>
      <c r="B24" s="236"/>
      <c r="C24" s="195"/>
      <c r="D24" s="237"/>
      <c r="E24" s="237"/>
      <c r="F24" s="235"/>
      <c r="G24" s="238"/>
      <c r="H24" s="239"/>
      <c r="I24" s="240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</row>
    <row r="25" spans="1:61">
      <c r="A25" s="235"/>
      <c r="B25" s="236"/>
      <c r="C25" s="195" t="s">
        <v>1008</v>
      </c>
      <c r="D25" s="237"/>
      <c r="E25" s="237"/>
      <c r="F25" s="235"/>
      <c r="G25" s="238"/>
      <c r="H25" s="239"/>
      <c r="I25" s="240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</row>
    <row r="26" spans="1:61">
      <c r="A26" s="235"/>
      <c r="B26" s="236"/>
      <c r="C26" s="237"/>
      <c r="D26" s="237"/>
      <c r="E26" s="237"/>
      <c r="F26" s="235"/>
      <c r="G26" s="238"/>
      <c r="H26" s="239"/>
      <c r="I26" s="240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</row>
    <row r="27" spans="1:61">
      <c r="A27" s="235"/>
      <c r="B27" s="236"/>
      <c r="C27" s="85"/>
      <c r="D27" s="237"/>
      <c r="E27" s="237"/>
      <c r="F27" s="235"/>
      <c r="G27" s="238"/>
      <c r="H27" s="239"/>
      <c r="I27" s="240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</row>
    <row r="28" spans="1:61">
      <c r="A28" s="235"/>
      <c r="B28" s="236"/>
      <c r="C28" s="85"/>
      <c r="D28" s="237"/>
      <c r="E28" s="237"/>
      <c r="F28" s="235"/>
      <c r="G28" s="238"/>
      <c r="H28" s="239"/>
      <c r="I28" s="240"/>
      <c r="J28" s="55"/>
      <c r="K28" s="55"/>
      <c r="L28" s="55"/>
      <c r="M28" s="55"/>
      <c r="N28" s="55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</row>
    <row r="29" spans="1:61">
      <c r="A29" s="235"/>
      <c r="B29" s="236"/>
      <c r="C29" s="241"/>
      <c r="D29" s="237"/>
      <c r="E29" s="237"/>
      <c r="F29" s="235"/>
      <c r="G29" s="238"/>
      <c r="H29" s="239"/>
      <c r="I29" s="240"/>
      <c r="J29" s="55"/>
      <c r="K29" s="55"/>
      <c r="L29" s="55"/>
      <c r="M29" s="55"/>
      <c r="N29" s="55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</row>
    <row r="30" spans="1:61">
      <c r="A30" s="235"/>
      <c r="B30" s="236"/>
      <c r="C30" s="195"/>
      <c r="D30" s="237"/>
      <c r="E30" s="237"/>
      <c r="F30" s="235"/>
      <c r="G30" s="238"/>
      <c r="H30" s="239"/>
      <c r="I30" s="24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</row>
    <row r="31" spans="1:61">
      <c r="A31" s="235"/>
      <c r="B31" s="236"/>
      <c r="C31" s="85"/>
      <c r="D31" s="237"/>
      <c r="E31" s="237"/>
      <c r="F31" s="235"/>
      <c r="G31" s="238"/>
      <c r="H31" s="239"/>
      <c r="I31" s="240"/>
      <c r="J31" s="55"/>
      <c r="K31" s="55"/>
      <c r="L31" s="55"/>
      <c r="M31" s="55"/>
      <c r="N31" s="55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</row>
    <row r="32" spans="1:61">
      <c r="A32" s="235"/>
      <c r="B32" s="236"/>
      <c r="C32" s="237"/>
      <c r="D32" s="237"/>
      <c r="E32" s="237"/>
      <c r="F32" s="235"/>
      <c r="G32" s="238"/>
      <c r="H32" s="239"/>
      <c r="I32" s="240"/>
      <c r="J32" s="55"/>
      <c r="K32" s="55"/>
      <c r="L32" s="55"/>
      <c r="M32" s="55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64"/>
      <c r="BI32" s="55"/>
    </row>
    <row r="33" spans="1:61">
      <c r="A33" s="55"/>
      <c r="B33" s="55"/>
      <c r="C33" s="56"/>
      <c r="D33" s="56"/>
      <c r="E33" s="56"/>
      <c r="F33" s="55"/>
      <c r="G33" s="55"/>
      <c r="H33" s="57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</row>
    <row r="34" spans="1:61">
      <c r="A34" s="55"/>
      <c r="B34" s="55"/>
      <c r="C34" s="56"/>
      <c r="D34" s="73"/>
      <c r="E34" s="73"/>
      <c r="F34" s="55"/>
      <c r="G34" s="55"/>
      <c r="H34" s="57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</row>
    <row r="35" spans="1:61">
      <c r="A35" s="55"/>
      <c r="B35" s="55"/>
      <c r="C35" s="56"/>
      <c r="D35" s="56"/>
      <c r="E35" s="56"/>
      <c r="F35" s="55"/>
      <c r="G35" s="55"/>
      <c r="H35" s="57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</row>
    <row r="36" spans="1:61">
      <c r="A36" s="55"/>
      <c r="B36" s="55"/>
      <c r="C36" s="56"/>
      <c r="D36" s="56"/>
      <c r="E36" s="56"/>
      <c r="F36" s="55"/>
      <c r="G36" s="55"/>
      <c r="H36" s="57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</row>
    <row r="37" spans="1:61">
      <c r="A37" s="55"/>
      <c r="B37" s="55"/>
      <c r="C37" s="56"/>
      <c r="D37" s="56"/>
      <c r="E37" s="56"/>
      <c r="F37" s="55"/>
      <c r="G37" s="55"/>
      <c r="H37" s="57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</row>
    <row r="38" spans="1:61">
      <c r="A38" s="55"/>
      <c r="B38" s="55"/>
      <c r="C38" s="56"/>
      <c r="D38" s="56"/>
      <c r="E38" s="56"/>
      <c r="F38" s="55"/>
      <c r="G38" s="55"/>
      <c r="H38" s="57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</row>
    <row r="39" spans="1:61">
      <c r="A39" s="55"/>
      <c r="B39" s="55"/>
      <c r="C39" s="56"/>
      <c r="D39" s="56"/>
      <c r="E39" s="56"/>
      <c r="F39" s="55"/>
      <c r="G39" s="55"/>
      <c r="H39" s="57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</row>
    <row r="40" spans="1:61">
      <c r="A40" s="55"/>
      <c r="B40" s="55"/>
      <c r="C40" s="56"/>
      <c r="D40" s="56"/>
      <c r="E40" s="56"/>
      <c r="F40" s="55"/>
      <c r="G40" s="55"/>
      <c r="H40" s="57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</row>
    <row r="41" spans="1:61">
      <c r="A41" s="55"/>
      <c r="B41" s="55"/>
      <c r="C41" s="56"/>
      <c r="D41" s="56"/>
      <c r="E41" s="56"/>
      <c r="F41" s="55"/>
      <c r="G41" s="55"/>
      <c r="H41" s="57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</row>
    <row r="42" spans="1:61">
      <c r="A42" s="55"/>
      <c r="B42" s="55"/>
      <c r="C42" s="56"/>
      <c r="D42" s="56"/>
      <c r="E42" s="56"/>
      <c r="F42" s="55"/>
      <c r="G42" s="55"/>
      <c r="H42" s="57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</row>
    <row r="43" spans="1:61">
      <c r="A43" s="55"/>
      <c r="B43" s="55"/>
      <c r="C43" s="56"/>
      <c r="D43" s="56"/>
      <c r="E43" s="56"/>
      <c r="F43" s="55"/>
      <c r="G43" s="55"/>
      <c r="H43" s="57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</row>
    <row r="44" spans="1:61">
      <c r="A44" s="55"/>
      <c r="B44" s="55"/>
      <c r="C44" s="56"/>
      <c r="D44" s="56"/>
      <c r="E44" s="56"/>
      <c r="F44" s="55"/>
      <c r="G44" s="55"/>
      <c r="H44" s="57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</row>
    <row r="45" spans="1:61">
      <c r="A45" s="55"/>
      <c r="B45" s="55"/>
      <c r="C45" s="56"/>
      <c r="D45" s="56"/>
      <c r="E45" s="56"/>
      <c r="F45" s="55"/>
      <c r="G45" s="55"/>
      <c r="H45" s="57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</row>
    <row r="46" spans="1:61">
      <c r="A46" s="55"/>
      <c r="B46" s="55"/>
      <c r="C46" s="56"/>
      <c r="D46" s="56"/>
      <c r="E46" s="56"/>
      <c r="F46" s="55"/>
      <c r="G46" s="55"/>
      <c r="H46" s="57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</row>
    <row r="47" spans="1:61">
      <c r="A47" s="55"/>
      <c r="B47" s="55"/>
      <c r="C47" s="56"/>
      <c r="D47" s="56"/>
      <c r="E47" s="56"/>
      <c r="F47" s="55"/>
      <c r="G47" s="55"/>
      <c r="H47" s="57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</row>
    <row r="48" spans="1:61">
      <c r="A48" s="55"/>
      <c r="B48" s="55"/>
      <c r="C48" s="56"/>
      <c r="D48" s="56"/>
      <c r="E48" s="56"/>
      <c r="F48" s="55"/>
      <c r="G48" s="55"/>
      <c r="H48" s="57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</row>
    <row r="49" spans="1:61">
      <c r="A49" s="55"/>
      <c r="B49" s="55"/>
      <c r="C49" s="56"/>
      <c r="D49" s="56"/>
      <c r="E49" s="56"/>
      <c r="F49" s="55"/>
      <c r="G49" s="55"/>
      <c r="H49" s="57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</row>
    <row r="50" spans="1:61">
      <c r="A50" s="55"/>
      <c r="B50" s="55"/>
      <c r="C50" s="56"/>
      <c r="D50" s="56"/>
      <c r="E50" s="56"/>
      <c r="F50" s="55"/>
      <c r="G50" s="55"/>
      <c r="H50" s="57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</row>
    <row r="51" spans="1:61">
      <c r="A51" s="55"/>
      <c r="B51" s="55"/>
      <c r="C51" s="56"/>
      <c r="D51" s="56"/>
      <c r="E51" s="56"/>
      <c r="F51" s="55"/>
      <c r="G51" s="55"/>
      <c r="H51" s="57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</row>
    <row r="52" spans="1:61">
      <c r="A52" s="55"/>
      <c r="B52" s="55"/>
      <c r="C52" s="56"/>
      <c r="D52" s="56"/>
      <c r="E52" s="56"/>
      <c r="F52" s="55"/>
      <c r="G52" s="55"/>
      <c r="H52" s="57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</row>
    <row r="53" spans="1:61">
      <c r="A53" s="55"/>
      <c r="B53" s="55"/>
      <c r="C53" s="56"/>
      <c r="D53" s="56"/>
      <c r="E53" s="56"/>
      <c r="F53" s="55"/>
      <c r="G53" s="55"/>
      <c r="H53" s="57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</row>
    <row r="54" spans="1:61">
      <c r="A54" s="55"/>
      <c r="B54" s="55"/>
      <c r="C54" s="56"/>
      <c r="D54" s="56"/>
      <c r="E54" s="56"/>
      <c r="F54" s="55"/>
      <c r="G54" s="55"/>
      <c r="H54" s="57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</row>
    <row r="55" spans="1:61">
      <c r="A55" s="55"/>
      <c r="B55" s="55"/>
      <c r="C55" s="56"/>
      <c r="D55" s="56"/>
      <c r="E55" s="56"/>
      <c r="F55" s="55"/>
      <c r="G55" s="55"/>
      <c r="H55" s="57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</row>
    <row r="56" spans="1:61">
      <c r="A56" s="55"/>
      <c r="B56" s="55"/>
      <c r="C56" s="56"/>
      <c r="D56" s="56"/>
      <c r="E56" s="56"/>
      <c r="F56" s="55"/>
      <c r="G56" s="55"/>
      <c r="H56" s="57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</row>
    <row r="57" spans="1:61">
      <c r="A57" s="55"/>
      <c r="B57" s="55"/>
      <c r="C57" s="56"/>
      <c r="D57" s="56"/>
      <c r="E57" s="56"/>
      <c r="F57" s="55"/>
      <c r="G57" s="55"/>
      <c r="H57" s="57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</row>
    <row r="58" spans="1:61">
      <c r="A58" s="55"/>
      <c r="B58" s="55"/>
      <c r="C58" s="56"/>
      <c r="D58" s="56"/>
      <c r="E58" s="56"/>
      <c r="F58" s="55"/>
      <c r="G58" s="55"/>
      <c r="H58" s="57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</row>
    <row r="59" spans="1:61">
      <c r="A59" s="55"/>
      <c r="B59" s="55"/>
      <c r="C59" s="56"/>
      <c r="D59" s="56"/>
      <c r="E59" s="56"/>
      <c r="F59" s="55"/>
      <c r="G59" s="55"/>
      <c r="H59" s="57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</row>
    <row r="60" spans="1:61">
      <c r="A60" s="55"/>
      <c r="B60" s="55"/>
      <c r="C60" s="56"/>
      <c r="D60" s="56"/>
      <c r="E60" s="56"/>
      <c r="F60" s="55"/>
      <c r="G60" s="55"/>
      <c r="H60" s="57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</row>
    <row r="61" spans="1:61">
      <c r="A61" s="55"/>
      <c r="B61" s="55"/>
      <c r="C61" s="56"/>
      <c r="D61" s="56"/>
      <c r="E61" s="56"/>
      <c r="F61" s="55"/>
      <c r="G61" s="55"/>
      <c r="H61" s="57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</row>
    <row r="62" spans="1:61">
      <c r="A62" s="55"/>
      <c r="B62" s="55"/>
      <c r="C62" s="56"/>
      <c r="D62" s="56"/>
      <c r="E62" s="56"/>
      <c r="F62" s="55"/>
      <c r="G62" s="55"/>
      <c r="H62" s="57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</row>
    <row r="63" spans="1:61">
      <c r="A63" s="55"/>
      <c r="B63" s="55"/>
      <c r="C63" s="56"/>
      <c r="D63" s="56"/>
      <c r="E63" s="56"/>
      <c r="F63" s="55"/>
      <c r="G63" s="55"/>
      <c r="H63" s="57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</row>
    <row r="64" spans="1:61">
      <c r="A64" s="55"/>
      <c r="B64" s="55"/>
      <c r="C64" s="56"/>
      <c r="D64" s="56"/>
      <c r="E64" s="56"/>
      <c r="F64" s="55"/>
      <c r="G64" s="55"/>
      <c r="H64" s="57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</row>
    <row r="65" spans="1:61">
      <c r="A65" s="55"/>
      <c r="B65" s="55"/>
      <c r="C65" s="56"/>
      <c r="D65" s="56"/>
      <c r="E65" s="56"/>
      <c r="F65" s="55"/>
      <c r="G65" s="55"/>
      <c r="H65" s="57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</row>
    <row r="66" spans="1:61">
      <c r="A66" s="55"/>
      <c r="B66" s="55"/>
      <c r="C66" s="56"/>
      <c r="D66" s="56"/>
      <c r="E66" s="56"/>
      <c r="F66" s="55"/>
      <c r="G66" s="55"/>
      <c r="H66" s="57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</row>
    <row r="67" spans="1:61">
      <c r="A67" s="55"/>
      <c r="B67" s="55"/>
      <c r="C67" s="56"/>
      <c r="D67" s="56"/>
      <c r="E67" s="56"/>
      <c r="F67" s="55"/>
      <c r="G67" s="55"/>
      <c r="H67" s="57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</row>
    <row r="68" spans="1:61">
      <c r="A68" s="55"/>
      <c r="B68" s="55"/>
      <c r="C68" s="56"/>
      <c r="D68" s="56"/>
      <c r="E68" s="56"/>
      <c r="F68" s="55"/>
      <c r="G68" s="55"/>
      <c r="H68" s="57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</row>
    <row r="69" spans="1:61">
      <c r="A69" s="55"/>
      <c r="B69" s="55"/>
      <c r="C69" s="56"/>
      <c r="D69" s="56"/>
      <c r="E69" s="56"/>
      <c r="F69" s="55"/>
      <c r="G69" s="55"/>
      <c r="H69" s="57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</row>
    <row r="70" spans="1:61">
      <c r="A70" s="55"/>
      <c r="B70" s="55"/>
      <c r="C70" s="56"/>
      <c r="D70" s="56"/>
      <c r="E70" s="56"/>
      <c r="F70" s="55"/>
      <c r="G70" s="55"/>
      <c r="H70" s="57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</row>
    <row r="71" spans="1:61">
      <c r="A71" s="55"/>
      <c r="B71" s="55"/>
      <c r="C71" s="56"/>
      <c r="D71" s="56"/>
      <c r="E71" s="56"/>
      <c r="F71" s="55"/>
      <c r="G71" s="55"/>
      <c r="H71" s="57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</row>
    <row r="72" spans="1:61">
      <c r="A72" s="55"/>
      <c r="B72" s="55"/>
      <c r="C72" s="56"/>
      <c r="D72" s="56"/>
      <c r="E72" s="56"/>
      <c r="F72" s="55"/>
      <c r="G72" s="55"/>
      <c r="H72" s="57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</row>
    <row r="73" spans="1:61">
      <c r="A73" s="55"/>
      <c r="B73" s="55"/>
      <c r="C73" s="56"/>
      <c r="D73" s="56"/>
      <c r="E73" s="56"/>
      <c r="F73" s="55"/>
      <c r="G73" s="55"/>
      <c r="H73" s="57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</row>
    <row r="74" spans="1:61">
      <c r="A74" s="55"/>
      <c r="B74" s="55"/>
      <c r="C74" s="56"/>
      <c r="D74" s="56"/>
      <c r="E74" s="56"/>
      <c r="F74" s="55"/>
      <c r="G74" s="55"/>
      <c r="H74" s="57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</row>
    <row r="75" spans="1:61">
      <c r="A75" s="55"/>
      <c r="B75" s="55"/>
      <c r="C75" s="56"/>
      <c r="D75" s="56"/>
      <c r="E75" s="56"/>
      <c r="F75" s="55"/>
      <c r="G75" s="55"/>
      <c r="H75" s="57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</row>
    <row r="76" spans="1:61">
      <c r="A76" s="55"/>
      <c r="B76" s="55"/>
      <c r="C76" s="56"/>
      <c r="D76" s="56"/>
      <c r="E76" s="56"/>
      <c r="F76" s="55"/>
      <c r="G76" s="55"/>
      <c r="H76" s="57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</row>
    <row r="77" spans="1:61">
      <c r="A77" s="55"/>
      <c r="B77" s="55"/>
      <c r="C77" s="56"/>
      <c r="D77" s="56"/>
      <c r="E77" s="56"/>
      <c r="F77" s="55"/>
      <c r="G77" s="55"/>
      <c r="H77" s="57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</row>
    <row r="78" spans="1:61">
      <c r="A78" s="55"/>
      <c r="B78" s="55"/>
      <c r="C78" s="56"/>
      <c r="D78" s="56"/>
      <c r="E78" s="56"/>
      <c r="F78" s="55"/>
      <c r="G78" s="55"/>
      <c r="H78" s="57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</row>
    <row r="79" spans="1:61">
      <c r="A79" s="55"/>
      <c r="B79" s="55"/>
      <c r="C79" s="56"/>
      <c r="D79" s="56"/>
      <c r="E79" s="56"/>
      <c r="F79" s="55"/>
      <c r="G79" s="55"/>
      <c r="H79" s="57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</row>
    <row r="80" spans="1:61">
      <c r="A80" s="55"/>
      <c r="B80" s="55"/>
      <c r="C80" s="56"/>
      <c r="D80" s="56"/>
      <c r="E80" s="56"/>
      <c r="F80" s="55"/>
      <c r="G80" s="55"/>
      <c r="H80" s="57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</row>
    <row r="81" spans="1:61">
      <c r="A81" s="55"/>
      <c r="B81" s="55"/>
      <c r="C81" s="56"/>
      <c r="D81" s="56"/>
      <c r="E81" s="56"/>
      <c r="F81" s="55"/>
      <c r="G81" s="55"/>
      <c r="H81" s="57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</row>
    <row r="82" spans="1:61">
      <c r="A82" s="55"/>
      <c r="B82" s="55"/>
      <c r="C82" s="56"/>
      <c r="D82" s="56"/>
      <c r="E82" s="56"/>
      <c r="F82" s="55"/>
      <c r="G82" s="55"/>
      <c r="H82" s="57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</row>
    <row r="83" spans="1:61">
      <c r="A83" s="55"/>
      <c r="B83" s="55"/>
      <c r="C83" s="56"/>
      <c r="D83" s="56"/>
      <c r="E83" s="56"/>
      <c r="F83" s="55"/>
      <c r="G83" s="55"/>
      <c r="H83" s="57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</row>
    <row r="84" spans="1:61">
      <c r="A84" s="55"/>
      <c r="B84" s="55"/>
      <c r="C84" s="56"/>
      <c r="D84" s="56"/>
      <c r="E84" s="56"/>
      <c r="F84" s="55"/>
      <c r="G84" s="55"/>
      <c r="H84" s="57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</row>
    <row r="85" spans="1:61">
      <c r="A85" s="55"/>
      <c r="B85" s="55"/>
      <c r="C85" s="56"/>
      <c r="D85" s="56"/>
      <c r="E85" s="56"/>
      <c r="F85" s="55"/>
      <c r="G85" s="55"/>
      <c r="H85" s="57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</row>
    <row r="86" spans="1:61">
      <c r="A86" s="55"/>
      <c r="B86" s="55"/>
      <c r="C86" s="56"/>
      <c r="D86" s="56"/>
      <c r="E86" s="56"/>
      <c r="F86" s="55"/>
      <c r="G86" s="55"/>
      <c r="H86" s="57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</row>
    <row r="87" spans="1:61">
      <c r="A87" s="55"/>
      <c r="B87" s="55"/>
      <c r="C87" s="56"/>
      <c r="D87" s="56"/>
      <c r="E87" s="56"/>
      <c r="F87" s="55"/>
      <c r="G87" s="55"/>
      <c r="H87" s="57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</row>
    <row r="88" spans="1:61">
      <c r="A88" s="55"/>
      <c r="B88" s="55"/>
      <c r="C88" s="56"/>
      <c r="D88" s="56"/>
      <c r="E88" s="56"/>
      <c r="F88" s="55"/>
      <c r="G88" s="55"/>
      <c r="H88" s="57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</row>
    <row r="89" spans="1:61">
      <c r="A89" s="55"/>
      <c r="B89" s="55"/>
      <c r="C89" s="56"/>
      <c r="D89" s="56"/>
      <c r="E89" s="56"/>
      <c r="F89" s="55"/>
      <c r="G89" s="55"/>
      <c r="H89" s="57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</row>
    <row r="90" spans="1:61">
      <c r="A90" s="55"/>
      <c r="B90" s="55"/>
      <c r="C90" s="56"/>
      <c r="D90" s="56"/>
      <c r="E90" s="56"/>
      <c r="F90" s="55"/>
      <c r="G90" s="55"/>
      <c r="H90" s="57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</row>
    <row r="91" spans="1:61">
      <c r="A91" s="55"/>
      <c r="B91" s="55"/>
      <c r="C91" s="56"/>
      <c r="D91" s="56"/>
      <c r="E91" s="56"/>
      <c r="F91" s="55"/>
      <c r="G91" s="55"/>
      <c r="H91" s="57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</row>
    <row r="92" spans="1:61">
      <c r="A92" s="55"/>
      <c r="B92" s="55"/>
      <c r="C92" s="56"/>
      <c r="D92" s="56"/>
      <c r="E92" s="56"/>
      <c r="F92" s="55"/>
      <c r="G92" s="55"/>
      <c r="H92" s="57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</row>
    <row r="93" spans="1:61">
      <c r="A93" s="55"/>
      <c r="B93" s="55"/>
      <c r="C93" s="56"/>
      <c r="D93" s="56"/>
      <c r="E93" s="56"/>
      <c r="F93" s="55"/>
      <c r="G93" s="55"/>
      <c r="H93" s="57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</row>
    <row r="94" spans="1:61">
      <c r="A94" s="55"/>
      <c r="B94" s="55"/>
      <c r="C94" s="56"/>
      <c r="D94" s="56"/>
      <c r="E94" s="56"/>
      <c r="F94" s="55"/>
      <c r="G94" s="55"/>
      <c r="H94" s="57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</row>
    <row r="95" spans="1:61">
      <c r="A95" s="55"/>
      <c r="B95" s="55"/>
      <c r="C95" s="56"/>
      <c r="D95" s="56"/>
      <c r="E95" s="56"/>
      <c r="F95" s="55"/>
      <c r="G95" s="55"/>
      <c r="H95" s="57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</row>
    <row r="96" spans="1:61">
      <c r="A96" s="55"/>
      <c r="B96" s="55"/>
      <c r="C96" s="56"/>
      <c r="D96" s="56"/>
      <c r="E96" s="56"/>
      <c r="F96" s="55"/>
      <c r="G96" s="55"/>
      <c r="H96" s="57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</row>
    <row r="97" spans="1:61">
      <c r="A97" s="55"/>
      <c r="B97" s="55"/>
      <c r="C97" s="56"/>
      <c r="D97" s="56"/>
      <c r="E97" s="56"/>
      <c r="F97" s="55"/>
      <c r="G97" s="55"/>
      <c r="H97" s="57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</row>
    <row r="98" spans="1:61">
      <c r="A98" s="55"/>
      <c r="B98" s="55"/>
      <c r="C98" s="56"/>
      <c r="D98" s="56"/>
      <c r="E98" s="56"/>
      <c r="F98" s="55"/>
      <c r="G98" s="55"/>
      <c r="H98" s="57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</row>
    <row r="99" spans="1:61">
      <c r="A99" s="55"/>
      <c r="B99" s="55"/>
      <c r="C99" s="56"/>
      <c r="D99" s="56"/>
      <c r="E99" s="56"/>
      <c r="F99" s="55"/>
      <c r="G99" s="55"/>
      <c r="H99" s="57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</row>
    <row r="100" spans="1:61">
      <c r="A100" s="55"/>
      <c r="B100" s="55"/>
      <c r="C100" s="56"/>
      <c r="D100" s="56"/>
      <c r="E100" s="56"/>
      <c r="F100" s="55"/>
      <c r="G100" s="55"/>
      <c r="H100" s="57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</row>
    <row r="101" spans="1:61">
      <c r="A101" s="55"/>
      <c r="B101" s="55"/>
      <c r="C101" s="56"/>
      <c r="D101" s="56"/>
      <c r="E101" s="56"/>
      <c r="F101" s="55"/>
      <c r="G101" s="55"/>
      <c r="H101" s="57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</row>
    <row r="102" spans="1:61">
      <c r="A102" s="55"/>
      <c r="B102" s="55"/>
      <c r="C102" s="56"/>
      <c r="D102" s="56"/>
      <c r="E102" s="56"/>
      <c r="F102" s="55"/>
      <c r="G102" s="55"/>
      <c r="H102" s="57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</row>
    <row r="103" spans="1:61">
      <c r="A103" s="55"/>
      <c r="B103" s="55"/>
      <c r="C103" s="56"/>
      <c r="D103" s="56"/>
      <c r="E103" s="56"/>
      <c r="F103" s="55"/>
      <c r="G103" s="55"/>
      <c r="H103" s="57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</row>
    <row r="104" spans="1:61">
      <c r="A104" s="55"/>
      <c r="B104" s="55"/>
      <c r="C104" s="56"/>
      <c r="D104" s="56"/>
      <c r="E104" s="56"/>
      <c r="F104" s="55"/>
      <c r="G104" s="55"/>
      <c r="H104" s="57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</row>
    <row r="105" spans="1:61">
      <c r="A105" s="55"/>
      <c r="B105" s="55"/>
      <c r="C105" s="56"/>
      <c r="D105" s="56"/>
      <c r="E105" s="56"/>
      <c r="F105" s="55"/>
      <c r="G105" s="55"/>
      <c r="H105" s="57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</row>
    <row r="106" spans="1:61">
      <c r="A106" s="55"/>
      <c r="B106" s="55"/>
      <c r="C106" s="56"/>
      <c r="D106" s="56"/>
      <c r="E106" s="56"/>
      <c r="F106" s="55"/>
      <c r="G106" s="55"/>
      <c r="H106" s="57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</row>
    <row r="107" spans="1:61">
      <c r="A107" s="55"/>
      <c r="B107" s="55"/>
      <c r="C107" s="56"/>
      <c r="D107" s="56"/>
      <c r="E107" s="56"/>
      <c r="F107" s="55"/>
      <c r="G107" s="55"/>
      <c r="H107" s="57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</row>
    <row r="108" spans="1:61">
      <c r="A108" s="55"/>
      <c r="B108" s="55"/>
      <c r="C108" s="56"/>
      <c r="D108" s="56"/>
      <c r="E108" s="56"/>
      <c r="F108" s="55"/>
      <c r="G108" s="55"/>
      <c r="H108" s="57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</row>
    <row r="109" spans="1:61">
      <c r="A109" s="55"/>
      <c r="B109" s="55"/>
      <c r="C109" s="56"/>
      <c r="D109" s="56"/>
      <c r="E109" s="56"/>
      <c r="F109" s="55"/>
      <c r="G109" s="55"/>
      <c r="H109" s="57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</row>
    <row r="110" spans="1:61">
      <c r="A110" s="55"/>
      <c r="B110" s="55"/>
      <c r="C110" s="56"/>
      <c r="D110" s="56"/>
      <c r="E110" s="56"/>
      <c r="F110" s="55"/>
      <c r="G110" s="55"/>
      <c r="H110" s="57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</row>
    <row r="111" spans="1:61">
      <c r="A111" s="55"/>
      <c r="B111" s="55"/>
      <c r="C111" s="56"/>
      <c r="D111" s="56"/>
      <c r="E111" s="56"/>
      <c r="F111" s="55"/>
      <c r="G111" s="55"/>
      <c r="H111" s="57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</row>
    <row r="112" spans="1:61">
      <c r="A112" s="55"/>
      <c r="B112" s="55"/>
      <c r="C112" s="56"/>
      <c r="D112" s="56"/>
      <c r="E112" s="56"/>
      <c r="F112" s="55"/>
      <c r="G112" s="55"/>
      <c r="H112" s="57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</row>
    <row r="113" spans="1:61">
      <c r="A113" s="55"/>
      <c r="B113" s="55"/>
      <c r="C113" s="56"/>
      <c r="D113" s="56"/>
      <c r="E113" s="56"/>
      <c r="F113" s="55"/>
      <c r="G113" s="55"/>
      <c r="H113" s="57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</row>
    <row r="114" spans="1:61">
      <c r="A114" s="55"/>
      <c r="B114" s="55"/>
      <c r="C114" s="56"/>
      <c r="D114" s="56"/>
      <c r="E114" s="56"/>
      <c r="F114" s="55"/>
      <c r="G114" s="55"/>
      <c r="H114" s="57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</row>
    <row r="115" spans="1:61">
      <c r="A115" s="55"/>
      <c r="B115" s="55"/>
      <c r="C115" s="56"/>
      <c r="D115" s="56"/>
      <c r="E115" s="56"/>
      <c r="F115" s="55"/>
      <c r="G115" s="55"/>
      <c r="H115" s="57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</row>
    <row r="116" spans="1:61">
      <c r="A116" s="55"/>
      <c r="B116" s="55"/>
      <c r="C116" s="56"/>
      <c r="D116" s="56"/>
      <c r="E116" s="56"/>
      <c r="F116" s="55"/>
      <c r="G116" s="55"/>
      <c r="H116" s="57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</row>
    <row r="117" spans="1:61">
      <c r="A117" s="55"/>
      <c r="B117" s="55"/>
      <c r="C117" s="56"/>
      <c r="D117" s="56"/>
      <c r="E117" s="56"/>
      <c r="F117" s="55"/>
      <c r="G117" s="55"/>
      <c r="H117" s="57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</row>
    <row r="118" spans="1:61">
      <c r="A118" s="55"/>
      <c r="B118" s="55"/>
      <c r="C118" s="56"/>
      <c r="D118" s="56"/>
      <c r="E118" s="56"/>
      <c r="F118" s="55"/>
      <c r="G118" s="55"/>
      <c r="H118" s="57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</row>
    <row r="119" spans="1:61">
      <c r="A119" s="55"/>
      <c r="B119" s="55"/>
      <c r="C119" s="56"/>
      <c r="D119" s="56"/>
      <c r="E119" s="56"/>
      <c r="F119" s="55"/>
      <c r="G119" s="55"/>
      <c r="H119" s="57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</row>
    <row r="120" spans="1:61">
      <c r="A120" s="55"/>
      <c r="B120" s="55"/>
      <c r="C120" s="56"/>
      <c r="D120" s="56"/>
      <c r="E120" s="56"/>
      <c r="F120" s="55"/>
      <c r="G120" s="55"/>
      <c r="H120" s="57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</row>
    <row r="121" spans="1:61">
      <c r="A121" s="55"/>
      <c r="B121" s="55"/>
      <c r="C121" s="56"/>
      <c r="D121" s="56"/>
      <c r="E121" s="56"/>
      <c r="F121" s="55"/>
      <c r="G121" s="55"/>
      <c r="H121" s="57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</row>
    <row r="122" spans="1:61">
      <c r="A122" s="55"/>
      <c r="B122" s="55"/>
      <c r="C122" s="56"/>
      <c r="D122" s="56"/>
      <c r="E122" s="56"/>
      <c r="F122" s="55"/>
      <c r="G122" s="55"/>
      <c r="H122" s="57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</row>
    <row r="123" spans="1:61">
      <c r="A123" s="55"/>
      <c r="B123" s="55"/>
      <c r="C123" s="56"/>
      <c r="D123" s="56"/>
      <c r="E123" s="56"/>
      <c r="F123" s="55"/>
      <c r="G123" s="55"/>
      <c r="H123" s="57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</row>
    <row r="124" spans="1:61">
      <c r="A124" s="55"/>
      <c r="B124" s="55"/>
      <c r="C124" s="56"/>
      <c r="D124" s="56"/>
      <c r="E124" s="56"/>
      <c r="F124" s="55"/>
      <c r="G124" s="55"/>
      <c r="H124" s="57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</row>
    <row r="125" spans="1:61">
      <c r="A125" s="55"/>
      <c r="B125" s="55"/>
      <c r="C125" s="56"/>
      <c r="D125" s="56"/>
      <c r="E125" s="56"/>
      <c r="F125" s="55"/>
      <c r="G125" s="55"/>
      <c r="H125" s="57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</row>
    <row r="126" spans="1:61">
      <c r="A126" s="55"/>
      <c r="B126" s="55"/>
      <c r="C126" s="56"/>
      <c r="D126" s="56"/>
      <c r="E126" s="56"/>
      <c r="F126" s="55"/>
      <c r="G126" s="55"/>
      <c r="H126" s="57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</row>
    <row r="127" spans="1:61">
      <c r="A127" s="55"/>
      <c r="B127" s="55"/>
      <c r="C127" s="56"/>
      <c r="D127" s="56"/>
      <c r="E127" s="56"/>
      <c r="F127" s="55"/>
      <c r="G127" s="55"/>
      <c r="H127" s="57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</row>
    <row r="128" spans="1:61">
      <c r="A128" s="55"/>
      <c r="B128" s="55"/>
      <c r="C128" s="56"/>
      <c r="D128" s="56"/>
      <c r="E128" s="56"/>
      <c r="F128" s="55"/>
      <c r="G128" s="55"/>
      <c r="H128" s="57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</row>
    <row r="129" spans="1:61">
      <c r="A129" s="55"/>
      <c r="B129" s="55"/>
      <c r="C129" s="56"/>
      <c r="D129" s="56"/>
      <c r="E129" s="56"/>
      <c r="F129" s="55"/>
      <c r="G129" s="55"/>
      <c r="H129" s="57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</row>
    <row r="130" spans="1:61">
      <c r="A130" s="55"/>
      <c r="B130" s="55"/>
      <c r="C130" s="56"/>
      <c r="D130" s="56"/>
      <c r="E130" s="56"/>
      <c r="F130" s="55"/>
      <c r="G130" s="55"/>
      <c r="H130" s="57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</row>
    <row r="131" spans="1:61">
      <c r="A131" s="55"/>
      <c r="B131" s="55"/>
      <c r="C131" s="56"/>
      <c r="D131" s="56"/>
      <c r="E131" s="56"/>
      <c r="F131" s="55"/>
      <c r="G131" s="55"/>
      <c r="H131" s="57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</row>
    <row r="132" spans="1:61">
      <c r="A132" s="55"/>
      <c r="B132" s="55"/>
      <c r="C132" s="56"/>
      <c r="D132" s="56"/>
      <c r="E132" s="56"/>
      <c r="F132" s="55"/>
      <c r="G132" s="55"/>
      <c r="H132" s="57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</row>
    <row r="133" spans="1:61">
      <c r="A133" s="55"/>
      <c r="B133" s="55"/>
      <c r="C133" s="56"/>
      <c r="D133" s="56"/>
      <c r="E133" s="56"/>
      <c r="F133" s="55"/>
      <c r="G133" s="55"/>
      <c r="H133" s="57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</row>
    <row r="134" spans="1:61">
      <c r="A134" s="55"/>
      <c r="B134" s="55"/>
      <c r="C134" s="56"/>
      <c r="D134" s="56"/>
      <c r="E134" s="56"/>
      <c r="F134" s="55"/>
      <c r="G134" s="55"/>
      <c r="H134" s="57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</row>
    <row r="135" spans="1:61">
      <c r="A135" s="55"/>
      <c r="B135" s="55"/>
      <c r="C135" s="56"/>
      <c r="D135" s="56"/>
      <c r="E135" s="56"/>
      <c r="F135" s="55"/>
      <c r="G135" s="55"/>
      <c r="H135" s="57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</row>
    <row r="136" spans="1:61">
      <c r="A136" s="55"/>
      <c r="B136" s="55"/>
      <c r="C136" s="56"/>
      <c r="D136" s="56"/>
      <c r="E136" s="56"/>
      <c r="F136" s="55"/>
      <c r="G136" s="55"/>
      <c r="H136" s="57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</row>
    <row r="137" spans="1:61">
      <c r="A137" s="55"/>
      <c r="B137" s="55"/>
      <c r="C137" s="56"/>
      <c r="D137" s="56"/>
      <c r="E137" s="56"/>
      <c r="F137" s="55"/>
      <c r="G137" s="55"/>
      <c r="H137" s="57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</row>
    <row r="138" spans="1:61">
      <c r="A138" s="55"/>
      <c r="B138" s="55"/>
      <c r="C138" s="56"/>
      <c r="D138" s="56"/>
      <c r="E138" s="56"/>
      <c r="F138" s="55"/>
      <c r="G138" s="55"/>
      <c r="H138" s="57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</row>
    <row r="139" spans="1:61">
      <c r="A139" s="55"/>
      <c r="B139" s="55"/>
      <c r="C139" s="56"/>
      <c r="D139" s="56"/>
      <c r="E139" s="56"/>
      <c r="F139" s="55"/>
      <c r="G139" s="55"/>
      <c r="H139" s="57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</row>
    <row r="140" spans="1:61">
      <c r="A140" s="55"/>
      <c r="B140" s="55"/>
      <c r="C140" s="56"/>
      <c r="D140" s="56"/>
      <c r="E140" s="56"/>
      <c r="F140" s="55"/>
      <c r="G140" s="55"/>
      <c r="H140" s="57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</row>
    <row r="141" spans="1:61">
      <c r="A141" s="55"/>
      <c r="B141" s="55"/>
      <c r="C141" s="56"/>
      <c r="D141" s="56"/>
      <c r="E141" s="56"/>
      <c r="F141" s="55"/>
      <c r="G141" s="55"/>
      <c r="H141" s="57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</row>
    <row r="142" spans="1:61">
      <c r="A142" s="55"/>
      <c r="B142" s="55"/>
      <c r="C142" s="56"/>
      <c r="D142" s="56"/>
      <c r="E142" s="56"/>
      <c r="F142" s="55"/>
      <c r="G142" s="55"/>
      <c r="H142" s="57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</row>
    <row r="143" spans="1:61">
      <c r="A143" s="55"/>
      <c r="B143" s="55"/>
      <c r="C143" s="56"/>
      <c r="D143" s="56"/>
      <c r="E143" s="56"/>
      <c r="F143" s="55"/>
      <c r="G143" s="55"/>
      <c r="H143" s="57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</row>
    <row r="144" spans="1:61">
      <c r="A144" s="55"/>
      <c r="B144" s="55"/>
      <c r="C144" s="56"/>
      <c r="D144" s="56"/>
      <c r="E144" s="56"/>
      <c r="F144" s="55"/>
      <c r="G144" s="55"/>
      <c r="H144" s="57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</row>
    <row r="145" spans="1:61">
      <c r="A145" s="55"/>
      <c r="B145" s="55"/>
      <c r="C145" s="56"/>
      <c r="D145" s="56"/>
      <c r="E145" s="56"/>
      <c r="F145" s="55"/>
      <c r="G145" s="55"/>
      <c r="H145" s="57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</row>
    <row r="146" spans="1:61">
      <c r="A146" s="55"/>
      <c r="B146" s="55"/>
      <c r="C146" s="56"/>
      <c r="D146" s="56"/>
      <c r="E146" s="56"/>
      <c r="F146" s="55"/>
      <c r="G146" s="55"/>
      <c r="H146" s="57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</row>
    <row r="147" spans="1:61">
      <c r="A147" s="55"/>
      <c r="B147" s="55"/>
      <c r="C147" s="56"/>
      <c r="D147" s="56"/>
      <c r="E147" s="56"/>
      <c r="F147" s="55"/>
      <c r="G147" s="55"/>
      <c r="H147" s="57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</row>
    <row r="148" spans="1:61">
      <c r="A148" s="55"/>
      <c r="B148" s="55"/>
      <c r="C148" s="56"/>
      <c r="D148" s="56"/>
      <c r="E148" s="56"/>
      <c r="F148" s="55"/>
      <c r="G148" s="55"/>
      <c r="H148" s="57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</row>
    <row r="149" spans="1:61">
      <c r="A149" s="55"/>
      <c r="B149" s="55"/>
      <c r="C149" s="56"/>
      <c r="D149" s="56"/>
      <c r="E149" s="56"/>
      <c r="F149" s="55"/>
      <c r="G149" s="55"/>
      <c r="H149" s="57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</row>
    <row r="150" spans="1:61">
      <c r="A150" s="55"/>
      <c r="B150" s="55"/>
      <c r="C150" s="56"/>
      <c r="D150" s="56"/>
      <c r="E150" s="56"/>
      <c r="F150" s="55"/>
      <c r="G150" s="55"/>
      <c r="H150" s="57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</row>
    <row r="151" spans="1:61">
      <c r="A151" s="55"/>
      <c r="B151" s="55"/>
      <c r="C151" s="56"/>
      <c r="D151" s="56"/>
      <c r="E151" s="56"/>
      <c r="F151" s="55"/>
      <c r="G151" s="55"/>
      <c r="H151" s="57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</row>
    <row r="152" spans="1:61">
      <c r="A152" s="55"/>
      <c r="B152" s="55"/>
      <c r="C152" s="56"/>
      <c r="D152" s="56"/>
      <c r="E152" s="56"/>
      <c r="F152" s="55"/>
      <c r="G152" s="55"/>
      <c r="H152" s="57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</row>
    <row r="153" spans="1:61">
      <c r="A153" s="55"/>
      <c r="B153" s="55"/>
      <c r="C153" s="56"/>
      <c r="D153" s="56"/>
      <c r="E153" s="56"/>
      <c r="F153" s="55"/>
      <c r="G153" s="55"/>
      <c r="H153" s="57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</row>
    <row r="154" spans="1:61">
      <c r="A154" s="55"/>
      <c r="B154" s="55"/>
      <c r="C154" s="56"/>
      <c r="D154" s="56"/>
      <c r="E154" s="56"/>
      <c r="F154" s="55"/>
      <c r="G154" s="55"/>
      <c r="H154" s="57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</row>
    <row r="155" spans="1:61">
      <c r="A155" s="55"/>
      <c r="B155" s="55"/>
      <c r="C155" s="56"/>
      <c r="D155" s="56"/>
      <c r="E155" s="56"/>
      <c r="F155" s="55"/>
      <c r="G155" s="55"/>
      <c r="H155" s="57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</row>
    <row r="156" spans="1:61">
      <c r="A156" s="55"/>
      <c r="B156" s="55"/>
      <c r="C156" s="56"/>
      <c r="D156" s="56"/>
      <c r="E156" s="56"/>
      <c r="F156" s="55"/>
      <c r="G156" s="55"/>
      <c r="H156" s="57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</row>
    <row r="157" spans="1:61">
      <c r="A157" s="55"/>
      <c r="B157" s="55"/>
      <c r="C157" s="56"/>
      <c r="D157" s="56"/>
      <c r="E157" s="56"/>
      <c r="F157" s="55"/>
      <c r="G157" s="55"/>
      <c r="H157" s="57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</row>
    <row r="158" spans="1:61">
      <c r="A158" s="55"/>
      <c r="B158" s="55"/>
      <c r="C158" s="56"/>
      <c r="D158" s="56"/>
      <c r="E158" s="56"/>
      <c r="F158" s="55"/>
      <c r="G158" s="55"/>
      <c r="H158" s="57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</row>
    <row r="159" spans="1:61">
      <c r="A159" s="55"/>
      <c r="B159" s="55"/>
      <c r="C159" s="56"/>
      <c r="D159" s="56"/>
      <c r="E159" s="56"/>
      <c r="F159" s="55"/>
      <c r="G159" s="55"/>
      <c r="H159" s="57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</row>
    <row r="160" spans="1:61">
      <c r="A160" s="55"/>
      <c r="B160" s="55"/>
      <c r="C160" s="56"/>
      <c r="D160" s="56"/>
      <c r="E160" s="56"/>
      <c r="F160" s="55"/>
      <c r="G160" s="55"/>
      <c r="H160" s="57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</row>
    <row r="161" spans="1:61">
      <c r="A161" s="55"/>
      <c r="B161" s="55"/>
      <c r="C161" s="56"/>
      <c r="D161" s="56"/>
      <c r="E161" s="56"/>
      <c r="F161" s="55"/>
      <c r="G161" s="55"/>
      <c r="H161" s="57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</row>
    <row r="162" spans="1:61">
      <c r="A162" s="55"/>
      <c r="B162" s="55"/>
      <c r="C162" s="56"/>
      <c r="D162" s="56"/>
      <c r="E162" s="56"/>
      <c r="F162" s="55"/>
      <c r="G162" s="55"/>
      <c r="H162" s="57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</row>
    <row r="163" spans="1:61">
      <c r="A163" s="55"/>
      <c r="B163" s="55"/>
      <c r="C163" s="56"/>
      <c r="D163" s="56"/>
      <c r="E163" s="56"/>
      <c r="F163" s="55"/>
      <c r="G163" s="55"/>
      <c r="H163" s="57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</row>
    <row r="164" spans="1:61">
      <c r="A164" s="55"/>
      <c r="B164" s="55"/>
      <c r="C164" s="56"/>
      <c r="D164" s="56"/>
      <c r="E164" s="56"/>
      <c r="F164" s="55"/>
      <c r="G164" s="55"/>
      <c r="H164" s="57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</row>
    <row r="165" spans="1:61">
      <c r="A165" s="55"/>
      <c r="B165" s="55"/>
      <c r="C165" s="56"/>
      <c r="D165" s="56"/>
      <c r="E165" s="56"/>
      <c r="F165" s="55"/>
      <c r="G165" s="55"/>
      <c r="H165" s="57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</row>
    <row r="166" spans="1:61">
      <c r="A166" s="55"/>
      <c r="B166" s="55"/>
      <c r="C166" s="56"/>
      <c r="D166" s="56"/>
      <c r="E166" s="56"/>
      <c r="F166" s="55"/>
      <c r="G166" s="55"/>
      <c r="H166" s="57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</row>
    <row r="167" spans="1:61">
      <c r="A167" s="55"/>
      <c r="B167" s="55"/>
      <c r="C167" s="56"/>
      <c r="D167" s="56"/>
      <c r="E167" s="56"/>
      <c r="F167" s="55"/>
      <c r="G167" s="55"/>
      <c r="H167" s="57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</row>
    <row r="168" spans="1:61">
      <c r="A168" s="55"/>
      <c r="B168" s="55"/>
      <c r="C168" s="56"/>
      <c r="D168" s="56"/>
      <c r="E168" s="56"/>
      <c r="F168" s="55"/>
      <c r="G168" s="55"/>
      <c r="H168" s="57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</row>
    <row r="169" spans="1:61">
      <c r="A169" s="55"/>
      <c r="B169" s="55"/>
      <c r="C169" s="56"/>
      <c r="D169" s="56"/>
      <c r="E169" s="56"/>
      <c r="F169" s="55"/>
      <c r="G169" s="55"/>
      <c r="H169" s="57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</row>
    <row r="170" spans="1:61">
      <c r="A170" s="55"/>
      <c r="B170" s="55"/>
      <c r="C170" s="56"/>
      <c r="D170" s="56"/>
      <c r="E170" s="56"/>
      <c r="F170" s="55"/>
      <c r="G170" s="55"/>
      <c r="H170" s="57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</row>
    <row r="171" spans="1:61">
      <c r="A171" s="55"/>
      <c r="B171" s="55"/>
      <c r="C171" s="56"/>
      <c r="D171" s="56"/>
      <c r="E171" s="56"/>
      <c r="F171" s="55"/>
      <c r="G171" s="55"/>
      <c r="H171" s="57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</row>
    <row r="172" spans="1:61">
      <c r="A172" s="55"/>
      <c r="B172" s="55"/>
      <c r="C172" s="56"/>
      <c r="D172" s="56"/>
      <c r="E172" s="56"/>
      <c r="F172" s="55"/>
      <c r="G172" s="55"/>
      <c r="H172" s="57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</row>
    <row r="173" spans="1:61">
      <c r="A173" s="55"/>
      <c r="B173" s="55"/>
      <c r="C173" s="56"/>
      <c r="D173" s="56"/>
      <c r="E173" s="56"/>
      <c r="F173" s="55"/>
      <c r="G173" s="55"/>
      <c r="H173" s="57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</row>
    <row r="174" spans="1:61">
      <c r="A174" s="55"/>
      <c r="B174" s="55"/>
      <c r="C174" s="56"/>
      <c r="D174" s="56"/>
      <c r="E174" s="56"/>
      <c r="F174" s="55"/>
      <c r="G174" s="55"/>
      <c r="H174" s="57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</row>
    <row r="175" spans="1:61">
      <c r="A175" s="55"/>
      <c r="B175" s="55"/>
      <c r="C175" s="56"/>
      <c r="D175" s="56"/>
      <c r="E175" s="56"/>
      <c r="F175" s="55"/>
      <c r="G175" s="55"/>
      <c r="H175" s="57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</row>
    <row r="176" spans="1:61">
      <c r="A176" s="55"/>
      <c r="B176" s="55"/>
      <c r="C176" s="56"/>
      <c r="D176" s="56"/>
      <c r="E176" s="56"/>
      <c r="F176" s="55"/>
      <c r="G176" s="55"/>
      <c r="H176" s="57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</row>
    <row r="177" spans="1:61">
      <c r="A177" s="55"/>
      <c r="B177" s="55"/>
      <c r="C177" s="56"/>
      <c r="D177" s="56"/>
      <c r="E177" s="56"/>
      <c r="F177" s="55"/>
      <c r="G177" s="55"/>
      <c r="H177" s="57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</row>
    <row r="178" spans="1:61">
      <c r="A178" s="55"/>
      <c r="B178" s="55"/>
      <c r="C178" s="56"/>
      <c r="D178" s="56"/>
      <c r="E178" s="56"/>
      <c r="F178" s="55"/>
      <c r="G178" s="55"/>
      <c r="H178" s="57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</row>
    <row r="179" spans="1:61">
      <c r="A179" s="55"/>
      <c r="B179" s="55"/>
      <c r="C179" s="56"/>
      <c r="D179" s="56"/>
      <c r="E179" s="56"/>
      <c r="F179" s="55"/>
      <c r="G179" s="55"/>
      <c r="H179" s="57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</row>
    <row r="180" spans="1:61">
      <c r="A180" s="55"/>
      <c r="B180" s="55"/>
      <c r="C180" s="56"/>
      <c r="D180" s="56"/>
      <c r="E180" s="56"/>
      <c r="F180" s="55"/>
      <c r="G180" s="55"/>
      <c r="H180" s="57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</row>
    <row r="181" spans="1:61">
      <c r="A181" s="55"/>
      <c r="B181" s="55"/>
      <c r="C181" s="56"/>
      <c r="D181" s="56"/>
      <c r="E181" s="56"/>
      <c r="F181" s="55"/>
      <c r="G181" s="55"/>
      <c r="H181" s="57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</row>
    <row r="182" spans="1:61">
      <c r="A182" s="55"/>
      <c r="B182" s="55"/>
      <c r="C182" s="56"/>
      <c r="D182" s="56"/>
      <c r="E182" s="56"/>
      <c r="F182" s="55"/>
      <c r="G182" s="55"/>
      <c r="H182" s="57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</row>
    <row r="183" spans="1:61">
      <c r="A183" s="55"/>
      <c r="B183" s="55"/>
      <c r="C183" s="56"/>
      <c r="D183" s="56"/>
      <c r="E183" s="56"/>
      <c r="F183" s="55"/>
      <c r="G183" s="55"/>
      <c r="H183" s="57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</row>
    <row r="184" spans="1:61">
      <c r="A184" s="55"/>
      <c r="B184" s="55"/>
      <c r="C184" s="56"/>
      <c r="D184" s="56"/>
      <c r="E184" s="56"/>
      <c r="F184" s="55"/>
      <c r="G184" s="55"/>
      <c r="H184" s="57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</row>
    <row r="185" spans="1:61">
      <c r="A185" s="55"/>
      <c r="B185" s="55"/>
      <c r="C185" s="56"/>
      <c r="D185" s="56"/>
      <c r="E185" s="56"/>
      <c r="F185" s="55"/>
      <c r="G185" s="55"/>
      <c r="H185" s="57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</row>
    <row r="186" spans="1:61">
      <c r="A186" s="55"/>
      <c r="B186" s="55"/>
      <c r="C186" s="56"/>
      <c r="D186" s="56"/>
      <c r="E186" s="56"/>
      <c r="F186" s="55"/>
      <c r="G186" s="55"/>
      <c r="H186" s="57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</row>
    <row r="187" spans="1:61">
      <c r="A187" s="55"/>
      <c r="B187" s="55"/>
      <c r="C187" s="56"/>
      <c r="D187" s="56"/>
      <c r="E187" s="56"/>
      <c r="F187" s="55"/>
      <c r="G187" s="55"/>
      <c r="H187" s="57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</row>
    <row r="188" spans="1:61">
      <c r="A188" s="55"/>
      <c r="B188" s="55"/>
      <c r="C188" s="56"/>
      <c r="D188" s="56"/>
      <c r="E188" s="56"/>
      <c r="F188" s="55"/>
      <c r="G188" s="55"/>
      <c r="H188" s="57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</row>
    <row r="189" spans="1:61">
      <c r="A189" s="55"/>
      <c r="B189" s="55"/>
      <c r="C189" s="56"/>
      <c r="D189" s="56"/>
      <c r="E189" s="56"/>
      <c r="F189" s="55"/>
      <c r="G189" s="55"/>
      <c r="H189" s="57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</row>
    <row r="190" spans="1:61">
      <c r="A190" s="55"/>
      <c r="B190" s="55"/>
      <c r="C190" s="56"/>
      <c r="D190" s="56"/>
      <c r="E190" s="56"/>
      <c r="F190" s="55"/>
      <c r="G190" s="55"/>
      <c r="H190" s="57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</row>
    <row r="191" spans="1:61">
      <c r="A191" s="55"/>
      <c r="B191" s="55"/>
      <c r="C191" s="56"/>
      <c r="D191" s="56"/>
      <c r="E191" s="56"/>
      <c r="F191" s="55"/>
      <c r="G191" s="55"/>
      <c r="H191" s="57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</row>
    <row r="192" spans="1:61">
      <c r="A192" s="55"/>
      <c r="B192" s="55"/>
      <c r="C192" s="56"/>
      <c r="D192" s="56"/>
      <c r="E192" s="56"/>
      <c r="F192" s="55"/>
      <c r="G192" s="55"/>
      <c r="H192" s="57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</row>
    <row r="193" spans="1:61">
      <c r="A193" s="55"/>
      <c r="B193" s="55"/>
      <c r="C193" s="56"/>
      <c r="D193" s="56"/>
      <c r="E193" s="56"/>
      <c r="F193" s="55"/>
      <c r="G193" s="55"/>
      <c r="H193" s="57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</row>
    <row r="194" spans="1:61">
      <c r="A194" s="55"/>
      <c r="B194" s="55"/>
      <c r="C194" s="56"/>
      <c r="D194" s="56"/>
      <c r="E194" s="56"/>
      <c r="F194" s="55"/>
      <c r="G194" s="55"/>
      <c r="H194" s="57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</row>
    <row r="195" spans="1:61">
      <c r="A195" s="55"/>
      <c r="B195" s="55"/>
      <c r="C195" s="56"/>
      <c r="D195" s="56"/>
      <c r="E195" s="56"/>
      <c r="F195" s="55"/>
      <c r="G195" s="55"/>
      <c r="H195" s="57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</row>
    <row r="196" spans="1:61">
      <c r="A196" s="55"/>
      <c r="B196" s="55"/>
      <c r="C196" s="56"/>
      <c r="D196" s="56"/>
      <c r="E196" s="56"/>
      <c r="F196" s="55"/>
      <c r="G196" s="55"/>
      <c r="H196" s="57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</row>
    <row r="197" spans="1:61">
      <c r="A197" s="55"/>
      <c r="B197" s="55"/>
      <c r="C197" s="56"/>
      <c r="D197" s="56"/>
      <c r="E197" s="56"/>
      <c r="F197" s="55"/>
      <c r="G197" s="55"/>
      <c r="H197" s="57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</row>
    <row r="198" spans="1:61">
      <c r="A198" s="55"/>
      <c r="B198" s="55"/>
      <c r="C198" s="56"/>
      <c r="D198" s="56"/>
      <c r="E198" s="56"/>
      <c r="F198" s="55"/>
      <c r="G198" s="55"/>
      <c r="H198" s="57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</row>
    <row r="199" spans="1:61">
      <c r="A199" s="55"/>
      <c r="B199" s="55"/>
      <c r="C199" s="56"/>
      <c r="D199" s="56"/>
      <c r="E199" s="56"/>
      <c r="F199" s="55"/>
      <c r="G199" s="55"/>
      <c r="H199" s="57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</row>
  </sheetData>
  <autoFilter ref="A4:I19" xr:uid="{442CE212-3445-4511-95BA-1AA0C4F4C085}">
    <sortState xmlns:xlrd2="http://schemas.microsoft.com/office/spreadsheetml/2017/richdata2" ref="A5:I19">
      <sortCondition ref="F4:F19"/>
    </sortState>
  </autoFilter>
  <conditionalFormatting sqref="A1:E1">
    <cfRule type="cellIs" dxfId="11" priority="2" operator="equal">
      <formula>"S"</formula>
    </cfRule>
  </conditionalFormatting>
  <conditionalFormatting sqref="A4:H4">
    <cfRule type="cellIs" dxfId="10" priority="1" operator="equal">
      <formula>"S"</formula>
    </cfRule>
  </conditionalFormatting>
  <conditionalFormatting sqref="A3:I3">
    <cfRule type="cellIs" dxfId="9" priority="11" operator="equal">
      <formula>"S"</formula>
    </cfRule>
  </conditionalFormatting>
  <conditionalFormatting sqref="C16:C18">
    <cfRule type="cellIs" dxfId="8" priority="9" operator="equal">
      <formula>"S"</formula>
    </cfRule>
  </conditionalFormatting>
  <conditionalFormatting sqref="C23:C26">
    <cfRule type="cellIs" dxfId="7" priority="8" operator="equal">
      <formula>"S"</formula>
    </cfRule>
  </conditionalFormatting>
  <conditionalFormatting sqref="C30">
    <cfRule type="cellIs" dxfId="6" priority="5" operator="equal">
      <formula>"S"</formula>
    </cfRule>
  </conditionalFormatting>
  <conditionalFormatting sqref="I17:BI27 I30:BI30 A33:BI199">
    <cfRule type="cellIs" dxfId="5" priority="10" operator="equal">
      <formula>"S"</formula>
    </cfRule>
  </conditionalFormatting>
  <conditionalFormatting sqref="N32:BH32">
    <cfRule type="cellIs" dxfId="4" priority="3" operator="equal">
      <formula>"S"</formula>
    </cfRule>
  </conditionalFormatting>
  <conditionalFormatting sqref="O3:BI15 L16:BI16">
    <cfRule type="cellIs" dxfId="3" priority="12" operator="equal">
      <formula>"S"</formula>
    </cfRule>
  </conditionalFormatting>
  <conditionalFormatting sqref="O28:BI29">
    <cfRule type="cellIs" dxfId="2" priority="6" operator="equal">
      <formula>"S"</formula>
    </cfRule>
  </conditionalFormatting>
  <conditionalFormatting sqref="O31:BI31">
    <cfRule type="cellIs" dxfId="1" priority="4" operator="equal">
      <formula>"S"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I17"/>
  <sheetViews>
    <sheetView zoomScaleNormal="100" workbookViewId="0">
      <selection activeCell="C19" sqref="C19"/>
    </sheetView>
  </sheetViews>
  <sheetFormatPr defaultColWidth="11.42578125" defaultRowHeight="15"/>
  <cols>
    <col min="1" max="1" width="2.7109375" style="5" customWidth="1"/>
    <col min="2" max="2" width="34.28515625" style="6" customWidth="1"/>
    <col min="3" max="3" width="37.7109375" style="6" customWidth="1"/>
    <col min="4" max="4" width="10.42578125" style="6" customWidth="1"/>
    <col min="5" max="30" width="7.7109375" style="5" customWidth="1"/>
    <col min="31" max="31" width="9.28515625" style="5" customWidth="1"/>
    <col min="32" max="61" width="7.7109375" style="5" customWidth="1"/>
    <col min="62" max="16384" width="11.42578125" style="5"/>
  </cols>
  <sheetData>
    <row r="1" spans="2:61">
      <c r="AB1" s="7"/>
      <c r="AH1" s="7"/>
      <c r="AI1" s="7"/>
      <c r="AJ1" s="7"/>
      <c r="AK1" s="7"/>
      <c r="AM1" s="7"/>
      <c r="AN1" s="7"/>
      <c r="AO1" s="7"/>
    </row>
    <row r="2" spans="2:61">
      <c r="B2" s="75" t="s">
        <v>0</v>
      </c>
      <c r="C2" s="75" t="s">
        <v>1</v>
      </c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2:61">
      <c r="B3" s="76" t="s">
        <v>1009</v>
      </c>
      <c r="C3" s="76" t="s">
        <v>59</v>
      </c>
      <c r="D3" s="12"/>
      <c r="E3" s="19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 t="s">
        <v>1010</v>
      </c>
      <c r="AK3" s="14" t="s">
        <v>1010</v>
      </c>
      <c r="AL3" s="15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6"/>
      <c r="BB3" s="16"/>
      <c r="BC3" s="16"/>
      <c r="BD3" s="16"/>
      <c r="BE3" s="15"/>
      <c r="BF3" s="14"/>
      <c r="BG3" s="14"/>
      <c r="BH3" s="14"/>
      <c r="BI3" s="14"/>
    </row>
    <row r="4" spans="2:61">
      <c r="B4" s="76" t="s">
        <v>1011</v>
      </c>
      <c r="C4" s="76" t="s">
        <v>59</v>
      </c>
      <c r="D4" s="12"/>
      <c r="E4" s="19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  <c r="S4" s="14"/>
      <c r="T4" s="14"/>
      <c r="U4" s="14"/>
      <c r="V4" s="14"/>
      <c r="W4" s="14"/>
      <c r="X4" s="14"/>
      <c r="Y4" s="14"/>
      <c r="Z4" s="14"/>
      <c r="AA4" s="14"/>
      <c r="AB4" s="14" t="s">
        <v>1010</v>
      </c>
      <c r="AC4" s="14"/>
      <c r="AD4" s="14"/>
      <c r="AE4" s="14"/>
      <c r="AF4" s="14"/>
      <c r="AG4" s="14"/>
      <c r="AH4" s="14"/>
      <c r="AI4" s="14"/>
      <c r="AJ4" s="14"/>
      <c r="AK4" s="14"/>
      <c r="AL4" s="15"/>
      <c r="AM4" s="14" t="s">
        <v>1010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6"/>
      <c r="BB4" s="16"/>
      <c r="BC4" s="16"/>
      <c r="BD4" s="16"/>
      <c r="BE4" s="15"/>
      <c r="BF4" s="14"/>
      <c r="BG4" s="14"/>
      <c r="BH4" s="14"/>
      <c r="BI4" s="14"/>
    </row>
    <row r="5" spans="2:61">
      <c r="B5" s="76" t="s">
        <v>1012</v>
      </c>
      <c r="C5" s="76" t="s">
        <v>16</v>
      </c>
      <c r="D5" s="12"/>
      <c r="E5" s="19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27" t="s">
        <v>1010</v>
      </c>
      <c r="AL5" s="15">
        <v>1</v>
      </c>
      <c r="AM5" s="27" t="s">
        <v>1010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6"/>
      <c r="BB5" s="16"/>
      <c r="BC5" s="16"/>
      <c r="BD5" s="16"/>
      <c r="BE5" s="15"/>
      <c r="BF5" s="14"/>
      <c r="BG5" s="14"/>
      <c r="BH5" s="14"/>
      <c r="BI5" s="14"/>
    </row>
    <row r="6" spans="2:61">
      <c r="B6" s="76" t="s">
        <v>1013</v>
      </c>
      <c r="C6" s="76" t="s">
        <v>6</v>
      </c>
      <c r="D6" s="12"/>
      <c r="E6" s="19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5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6"/>
      <c r="BB6" s="16"/>
      <c r="BC6" s="16"/>
      <c r="BD6" s="16"/>
      <c r="BE6" s="15"/>
      <c r="BF6" s="14"/>
      <c r="BG6" s="14"/>
      <c r="BH6" s="14"/>
      <c r="BI6" s="14"/>
    </row>
    <row r="7" spans="2:61">
      <c r="B7" s="76" t="s">
        <v>1014</v>
      </c>
      <c r="C7" s="76" t="s">
        <v>6</v>
      </c>
      <c r="D7" s="12"/>
      <c r="E7" s="19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7" t="s">
        <v>1010</v>
      </c>
      <c r="AK7" s="17" t="s">
        <v>1010</v>
      </c>
      <c r="AL7" s="15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6"/>
      <c r="BB7" s="16"/>
      <c r="BC7" s="16"/>
      <c r="BD7" s="16"/>
      <c r="BE7" s="15"/>
      <c r="BF7" s="14"/>
      <c r="BG7" s="14"/>
      <c r="BH7" s="14"/>
      <c r="BI7" s="14"/>
    </row>
    <row r="8" spans="2:61">
      <c r="B8" s="76" t="s">
        <v>1015</v>
      </c>
      <c r="C8" s="76" t="s">
        <v>192</v>
      </c>
      <c r="D8" s="12"/>
      <c r="E8" s="19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6"/>
      <c r="BB8" s="16"/>
      <c r="BC8" s="16"/>
      <c r="BD8" s="16"/>
      <c r="BE8" s="15"/>
      <c r="BF8" s="14"/>
      <c r="BG8" s="14"/>
      <c r="BH8" s="14"/>
      <c r="BI8" s="14"/>
    </row>
    <row r="9" spans="2:61">
      <c r="B9" s="76" t="s">
        <v>1016</v>
      </c>
      <c r="C9" s="76" t="s">
        <v>6</v>
      </c>
      <c r="D9" s="12"/>
      <c r="E9" s="19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7" t="s">
        <v>1010</v>
      </c>
      <c r="AF9" s="17" t="s">
        <v>1010</v>
      </c>
      <c r="AG9" s="14"/>
      <c r="AH9" s="14"/>
      <c r="AI9" s="14"/>
      <c r="AJ9" s="14"/>
      <c r="AK9" s="14"/>
      <c r="AL9" s="15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6"/>
      <c r="BB9" s="16"/>
      <c r="BC9" s="16"/>
      <c r="BD9" s="16"/>
      <c r="BE9" s="15"/>
      <c r="BF9" s="14"/>
      <c r="BG9" s="14"/>
      <c r="BH9" s="14"/>
      <c r="BI9" s="14"/>
    </row>
    <row r="10" spans="2:61">
      <c r="B10" s="76" t="s">
        <v>1017</v>
      </c>
      <c r="C10" s="76" t="s">
        <v>211</v>
      </c>
      <c r="D10" s="12"/>
      <c r="E10" s="19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24" t="s">
        <v>1010</v>
      </c>
      <c r="AK10" s="24" t="s">
        <v>1010</v>
      </c>
      <c r="AL10" s="15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6"/>
      <c r="BB10" s="16"/>
      <c r="BC10" s="16"/>
      <c r="BD10" s="16"/>
      <c r="BE10" s="15"/>
      <c r="BF10" s="14"/>
      <c r="BG10" s="14"/>
      <c r="BH10" s="14"/>
      <c r="BI10" s="14"/>
    </row>
    <row r="11" spans="2:61">
      <c r="B11" s="77" t="s">
        <v>1018</v>
      </c>
      <c r="C11" s="77" t="s">
        <v>1019</v>
      </c>
    </row>
    <row r="12" spans="2:61">
      <c r="B12" s="77"/>
      <c r="C12" s="77"/>
    </row>
    <row r="17" spans="2:61" hidden="1">
      <c r="B17" s="10" t="s">
        <v>368</v>
      </c>
      <c r="C17" s="11" t="s">
        <v>59</v>
      </c>
      <c r="D17" s="11" t="str">
        <f>IF(COUNTBLANK((E17:BI17))=54,"Check",IF(COUNTBLANK(E17:BI17)=57,"Falta pedir","Ok"))</f>
        <v>Ok</v>
      </c>
      <c r="E17" s="14"/>
      <c r="F17" s="14"/>
      <c r="G17" s="14"/>
      <c r="H17" s="14"/>
      <c r="I17" s="14"/>
      <c r="J17" s="14"/>
      <c r="K17" s="14"/>
      <c r="L17" s="14"/>
      <c r="M17" s="14" t="s">
        <v>1010</v>
      </c>
      <c r="N17" s="14"/>
      <c r="O17" s="14"/>
      <c r="P17" s="14"/>
      <c r="Q17" s="14"/>
      <c r="R17" s="15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5"/>
      <c r="AM17" s="14" t="s">
        <v>1010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6"/>
      <c r="BB17" s="16"/>
      <c r="BC17" s="16"/>
      <c r="BD17" s="16"/>
      <c r="BE17" s="15"/>
      <c r="BF17" s="14"/>
      <c r="BG17" s="14"/>
      <c r="BH17" s="14"/>
      <c r="BI17" s="14"/>
    </row>
  </sheetData>
  <conditionalFormatting sqref="A1:BI1048576">
    <cfRule type="cellIs" dxfId="0" priority="2" operator="equal">
      <formula>"S"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Henrique Ferri</dc:creator>
  <cp:keywords/>
  <dc:description/>
  <cp:lastModifiedBy/>
  <cp:revision>2</cp:revision>
  <dcterms:created xsi:type="dcterms:W3CDTF">2024-08-07T09:42:46Z</dcterms:created>
  <dcterms:modified xsi:type="dcterms:W3CDTF">2026-07-01T11:17:10Z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0x010100CEA8166E69C0E040909C29FA4EE4BD2B</vt:lpwstr>
  </property>
  <property fmtid="{D5CDD505-2E9C-101B-9397-08002B2CF9AE}" pid="3" name="MediaServiceImageTags">
    <vt:lpwstr/>
  </property>
</Properties>
</file>