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svf\Produccion\04. Matriz de Competencia\"/>
    </mc:Choice>
  </mc:AlternateContent>
  <xr:revisionPtr revIDLastSave="0" documentId="13_ncr:1_{D9CD6B45-E550-4ACC-815F-C435DF028B80}" xr6:coauthVersionLast="47" xr6:coauthVersionMax="47" xr10:uidLastSave="{00000000-0000-0000-0000-000000000000}"/>
  <bookViews>
    <workbookView xWindow="-120" yWindow="-120" windowWidth="29040" windowHeight="15720" xr2:uid="{F6FF2B5B-190C-4481-B865-E5B4C5DBB1C3}"/>
  </bookViews>
  <sheets>
    <sheet name="Mar26 Matriz Perfileria Sol " sheetId="5" r:id="rId1"/>
    <sheet name="Mar25 Matriz Perfileria Soldadu" sheetId="3" r:id="rId2"/>
    <sheet name="Sep25 Matriz Perfileria Soldadu" sheetId="4" r:id="rId3"/>
  </sheets>
  <definedNames>
    <definedName name="_xlnm.Print_Area" localSheetId="1">'Mar25 Matriz Perfileria Soldadu'!$A$1:$CK$41</definedName>
    <definedName name="_xlnm.Print_Area" localSheetId="0">'Mar26 Matriz Perfileria Sol '!$A$1:$CK$41</definedName>
    <definedName name="_xlnm.Print_Area" localSheetId="2">'Sep25 Matriz Perfileria Soldadu'!$A$1:$CK$41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38" i="5" l="1"/>
  <c r="AS38" i="5"/>
  <c r="AO38" i="5"/>
  <c r="CE37" i="5"/>
  <c r="CC37" i="5"/>
  <c r="CC38" i="5" s="1"/>
  <c r="CA37" i="5"/>
  <c r="BY38" i="5" s="1"/>
  <c r="BY37" i="5"/>
  <c r="BW37" i="5"/>
  <c r="BU37" i="5"/>
  <c r="BU38" i="5" s="1"/>
  <c r="BS37" i="5"/>
  <c r="BQ37" i="5"/>
  <c r="BQ38" i="5" s="1"/>
  <c r="BO37" i="5"/>
  <c r="BM37" i="5"/>
  <c r="BM38" i="5" s="1"/>
  <c r="BK37" i="5"/>
  <c r="BI37" i="5"/>
  <c r="BI38" i="5" s="1"/>
  <c r="BG37" i="5"/>
  <c r="BE37" i="5"/>
  <c r="BE38" i="5" s="1"/>
  <c r="BC37" i="5"/>
  <c r="BA38" i="5" s="1"/>
  <c r="BA37" i="5"/>
  <c r="AY37" i="5"/>
  <c r="AW37" i="5"/>
  <c r="AU37" i="5"/>
  <c r="AS37" i="5"/>
  <c r="AQ37" i="5"/>
  <c r="AO37" i="5"/>
  <c r="AM37" i="5"/>
  <c r="AK37" i="5"/>
  <c r="AK38" i="5" s="1"/>
  <c r="AI37" i="5"/>
  <c r="AG37" i="5"/>
  <c r="AG38" i="5" s="1"/>
  <c r="AE37" i="5"/>
  <c r="AC37" i="5"/>
  <c r="AC38" i="5" s="1"/>
  <c r="AA37" i="5"/>
  <c r="Y37" i="5"/>
  <c r="Y38" i="5" s="1"/>
  <c r="W37" i="5"/>
  <c r="U37" i="5"/>
  <c r="U38" i="5" s="1"/>
  <c r="S37" i="5"/>
  <c r="Q37" i="5"/>
  <c r="Q38" i="5" s="1"/>
  <c r="O37" i="5"/>
  <c r="M37" i="5"/>
  <c r="M38" i="5" s="1"/>
  <c r="K37" i="5"/>
  <c r="I37" i="5"/>
  <c r="I38" i="5" s="1"/>
  <c r="G37" i="5"/>
  <c r="E38" i="5" s="1"/>
  <c r="E37" i="5"/>
  <c r="CI35" i="5"/>
  <c r="CH35" i="5"/>
  <c r="CI34" i="5"/>
  <c r="CJ33" i="5" s="1"/>
  <c r="CI31" i="5"/>
  <c r="CH31" i="5"/>
  <c r="CI30" i="5"/>
  <c r="CJ29" i="5" s="1"/>
  <c r="CI27" i="5"/>
  <c r="CH27" i="5"/>
  <c r="CI26" i="5"/>
  <c r="CJ25" i="5" s="1"/>
  <c r="CI23" i="5"/>
  <c r="CH23" i="5"/>
  <c r="CI22" i="5"/>
  <c r="CJ21" i="5" s="1"/>
  <c r="CI19" i="5"/>
  <c r="CH19" i="5"/>
  <c r="CI18" i="5"/>
  <c r="CJ17" i="5" s="1"/>
  <c r="CI15" i="5"/>
  <c r="CH15" i="5"/>
  <c r="CI14" i="5"/>
  <c r="CJ13" i="5" s="1"/>
  <c r="BM37" i="4"/>
  <c r="BM38" i="4" s="1"/>
  <c r="BO37" i="4"/>
  <c r="BQ37" i="4"/>
  <c r="BQ38" i="4" s="1"/>
  <c r="BS37" i="4"/>
  <c r="BU37" i="4"/>
  <c r="BU38" i="4" s="1"/>
  <c r="BW37" i="4"/>
  <c r="BY37" i="4"/>
  <c r="BY38" i="4" s="1"/>
  <c r="CA37" i="4"/>
  <c r="CC37" i="4"/>
  <c r="CE37" i="4"/>
  <c r="CC38" i="4"/>
  <c r="BK37" i="4"/>
  <c r="BI37" i="4"/>
  <c r="BI38" i="4" s="1"/>
  <c r="BG37" i="4"/>
  <c r="BE37" i="4"/>
  <c r="BE38" i="4" s="1"/>
  <c r="BC37" i="4"/>
  <c r="BA37" i="4"/>
  <c r="BA38" i="4" s="1"/>
  <c r="AY37" i="4"/>
  <c r="AW37" i="4"/>
  <c r="AW38" i="4" s="1"/>
  <c r="AU37" i="4"/>
  <c r="AS37" i="4"/>
  <c r="AS38" i="4" s="1"/>
  <c r="AQ37" i="4"/>
  <c r="AO37" i="4"/>
  <c r="AM37" i="4"/>
  <c r="AK37" i="4"/>
  <c r="AK38" i="4" s="1"/>
  <c r="AI37" i="4"/>
  <c r="AG37" i="4"/>
  <c r="AG38" i="4" s="1"/>
  <c r="AE37" i="4"/>
  <c r="AC37" i="4"/>
  <c r="AA37" i="4"/>
  <c r="Y37" i="4"/>
  <c r="Y38" i="4" s="1"/>
  <c r="W37" i="4"/>
  <c r="U37" i="4"/>
  <c r="U38" i="4" s="1"/>
  <c r="S37" i="4"/>
  <c r="Q37" i="4"/>
  <c r="O37" i="4"/>
  <c r="M37" i="4"/>
  <c r="M38" i="4" s="1"/>
  <c r="K37" i="4"/>
  <c r="I37" i="4"/>
  <c r="G37" i="4"/>
  <c r="E37" i="4"/>
  <c r="E38" i="4" s="1"/>
  <c r="CI35" i="4"/>
  <c r="CH35" i="4"/>
  <c r="CI34" i="4"/>
  <c r="CJ33" i="4" s="1"/>
  <c r="CI31" i="4"/>
  <c r="CH31" i="4"/>
  <c r="CI30" i="4"/>
  <c r="CJ29" i="4" s="1"/>
  <c r="CI27" i="4"/>
  <c r="CH27" i="4"/>
  <c r="CI26" i="4"/>
  <c r="CJ25" i="4" s="1"/>
  <c r="CI23" i="4"/>
  <c r="CH23" i="4"/>
  <c r="CI22" i="4"/>
  <c r="CJ21" i="4" s="1"/>
  <c r="CI19" i="4"/>
  <c r="CH19" i="4"/>
  <c r="CI18" i="4"/>
  <c r="CJ17" i="4" s="1"/>
  <c r="CI15" i="4"/>
  <c r="CH15" i="4"/>
  <c r="CI14" i="4"/>
  <c r="CJ13" i="4" s="1"/>
  <c r="CI34" i="3"/>
  <c r="CI30" i="3"/>
  <c r="CI26" i="3"/>
  <c r="CJ25" i="3" s="1"/>
  <c r="CI22" i="3"/>
  <c r="CJ21" i="3" s="1"/>
  <c r="CI18" i="3"/>
  <c r="CJ17" i="3" s="1"/>
  <c r="CJ29" i="3"/>
  <c r="CJ33" i="3"/>
  <c r="CJ38" i="3"/>
  <c r="G37" i="3"/>
  <c r="E37" i="3"/>
  <c r="CJ38" i="5" l="1"/>
  <c r="Q38" i="4"/>
  <c r="AO38" i="4"/>
  <c r="AC38" i="4"/>
  <c r="CJ38" i="4" s="1"/>
  <c r="I38" i="4"/>
  <c r="I37" i="3" l="1"/>
  <c r="K37" i="3"/>
  <c r="M37" i="3"/>
  <c r="O37" i="3"/>
  <c r="Q37" i="3"/>
  <c r="S37" i="3"/>
  <c r="U37" i="3"/>
  <c r="W37" i="3"/>
  <c r="Y37" i="3"/>
  <c r="AA37" i="3"/>
  <c r="AC37" i="3"/>
  <c r="AE37" i="3"/>
  <c r="AC38" i="3" s="1"/>
  <c r="AG37" i="3"/>
  <c r="AI37" i="3"/>
  <c r="AK37" i="3"/>
  <c r="AM37" i="3"/>
  <c r="AO37" i="3"/>
  <c r="AQ37" i="3"/>
  <c r="AS37" i="3"/>
  <c r="AU37" i="3"/>
  <c r="AW37" i="3"/>
  <c r="AY37" i="3"/>
  <c r="AW38" i="3" s="1"/>
  <c r="BA37" i="3"/>
  <c r="BC37" i="3"/>
  <c r="BA38" i="3" s="1"/>
  <c r="BE37" i="3"/>
  <c r="BG37" i="3"/>
  <c r="BI37" i="3"/>
  <c r="BK37" i="3"/>
  <c r="BI38" i="3" s="1"/>
  <c r="BM37" i="3"/>
  <c r="BO37" i="3"/>
  <c r="BQ37" i="3"/>
  <c r="BS37" i="3"/>
  <c r="BU37" i="3"/>
  <c r="BW37" i="3"/>
  <c r="BU38" i="3" s="1"/>
  <c r="BY37" i="3"/>
  <c r="CA37" i="3"/>
  <c r="CC37" i="3"/>
  <c r="CE37" i="3"/>
  <c r="CI35" i="3"/>
  <c r="CH35" i="3"/>
  <c r="CI31" i="3"/>
  <c r="CH31" i="3"/>
  <c r="CI27" i="3"/>
  <c r="CH27" i="3"/>
  <c r="CI23" i="3"/>
  <c r="CH23" i="3"/>
  <c r="CI19" i="3"/>
  <c r="CH19" i="3"/>
  <c r="CI15" i="3"/>
  <c r="CH15" i="3"/>
  <c r="CI14" i="3"/>
  <c r="CJ13" i="3" s="1"/>
  <c r="U38" i="3" l="1"/>
  <c r="AG38" i="3"/>
  <c r="CC38" i="3"/>
  <c r="I38" i="3"/>
  <c r="BQ38" i="3"/>
  <c r="AO38" i="3"/>
  <c r="BE38" i="3"/>
  <c r="E38" i="3"/>
  <c r="AS38" i="3"/>
  <c r="BY38" i="3"/>
  <c r="Q38" i="3"/>
  <c r="M38" i="3"/>
  <c r="BM38" i="3"/>
  <c r="AK38" i="3"/>
  <c r="Y38" i="3"/>
</calcChain>
</file>

<file path=xl/sharedStrings.xml><?xml version="1.0" encoding="utf-8"?>
<sst xmlns="http://schemas.openxmlformats.org/spreadsheetml/2006/main" count="114" uniqueCount="39">
  <si>
    <t>Actualizado:</t>
  </si>
  <si>
    <t>Próxima actualización:</t>
  </si>
  <si>
    <t>Responsable</t>
  </si>
  <si>
    <t>Gregorio Martínez</t>
  </si>
  <si>
    <t>Leyenda</t>
  </si>
  <si>
    <t>Status de Polivalencia</t>
  </si>
  <si>
    <t>Fecha de actualización</t>
  </si>
  <si>
    <t>Sin entrenamiento</t>
  </si>
  <si>
    <t>En entrenamiento (básico)</t>
  </si>
  <si>
    <t>Necesita supervisión</t>
  </si>
  <si>
    <t>Cualificado</t>
  </si>
  <si>
    <t>Experto, puede enseñar / supervisar</t>
  </si>
  <si>
    <t>Ok</t>
  </si>
  <si>
    <t>Multiplicar la cualificación</t>
  </si>
  <si>
    <t>Crear plan de formación</t>
  </si>
  <si>
    <t># Personas</t>
  </si>
  <si>
    <t>Habilidades</t>
  </si>
  <si>
    <t>Nombre</t>
  </si>
  <si>
    <t>Objetivo</t>
  </si>
  <si>
    <t>Actual</t>
  </si>
  <si>
    <t>Status</t>
  </si>
  <si>
    <t>AGUADO SANCHEZ, JULIO CESAR</t>
  </si>
  <si>
    <t>AGUILERA GALLEGO, JONATHAN</t>
  </si>
  <si>
    <t>BAYON GOMEZ, ANTONIO</t>
  </si>
  <si>
    <t>DONAS RODRIGUEZ, DANIEL</t>
  </si>
  <si>
    <t>FERNANDEZ PELLITERO, PABLO JOSE</t>
  </si>
  <si>
    <t>FLORES RUIZ, MIGUEL ANGEL</t>
  </si>
  <si>
    <t>NAVARRO MAESTRO MUÑOZ, RAFAEL</t>
  </si>
  <si>
    <t>TORREJON HERNANDEZ, MIGUEL ANGEL</t>
  </si>
  <si>
    <t>VERA NAVARRO ELOY</t>
  </si>
  <si>
    <t>VILLAYANDRE ESTEBAN, PABLO</t>
  </si>
  <si>
    <t>SOLDADURA TIG</t>
  </si>
  <si>
    <t>SOLDADURA MIG / MAG</t>
  </si>
  <si>
    <t>MONTAJE DE BASES</t>
  </si>
  <si>
    <t>SOLDADURA DE COLECTORES</t>
  </si>
  <si>
    <t>MANJEJO DE MÁQUINA</t>
  </si>
  <si>
    <t>DISTRIBUCIÓN DEL PLANO DE CORTE</t>
  </si>
  <si>
    <t>Grado de Polivalencia</t>
  </si>
  <si>
    <t xml:space="preserve">Polivalencia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</si>
</sst>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4"/>
      <color theme="1"/>
      <name val="Aptos Narrow"/>
      <family val="2"/>
      <scheme val="minor"/>
    </font>
    <font>
      <b/>
      <sz val="14"/>
      <name val="Arial"/>
      <family val="2"/>
    </font>
    <font>
      <b/>
      <sz val="12"/>
      <name val="Arial"/>
      <family val="2"/>
    </font>
    <font>
      <b/>
      <u/>
      <sz val="10"/>
      <name val="Arial"/>
      <family val="2"/>
    </font>
    <font>
      <b/>
      <sz val="11"/>
      <name val="Arial"/>
      <family val="2"/>
    </font>
    <font>
      <sz val="14"/>
      <name val="Arial"/>
      <family val="2"/>
    </font>
    <font>
      <sz val="11"/>
      <name val="Arial"/>
      <family val="2"/>
    </font>
    <font>
      <sz val="10"/>
      <color indexed="50"/>
      <name val="Arial"/>
      <family val="2"/>
    </font>
    <font>
      <sz val="10"/>
      <name val="Arial"/>
      <family val="2"/>
    </font>
    <font>
      <b/>
      <sz val="10"/>
      <name val="Arial"/>
      <family val="2"/>
    </font>
    <font>
      <sz val="14"/>
      <color theme="4" tint="-0.249977111117893"/>
      <name val="Wingdings 3"/>
      <family val="1"/>
      <charset val="2"/>
    </font>
    <font>
      <b/>
      <sz val="16"/>
      <name val="Arial"/>
      <family val="2"/>
    </font>
    <font>
      <sz val="9"/>
      <name val="Arial"/>
      <family val="2"/>
    </font>
    <font>
      <sz val="10"/>
      <color theme="0" tint="-0.14999847407452621"/>
      <name val="Arial"/>
      <family val="2"/>
    </font>
    <font>
      <sz val="10"/>
      <color theme="0"/>
      <name val="Arial"/>
      <family val="2"/>
    </font>
    <font>
      <sz val="12"/>
      <name val="Arial"/>
      <family val="2"/>
    </font>
    <font>
      <sz val="8"/>
      <color theme="0"/>
      <name val="Arial"/>
      <family val="2"/>
    </font>
    <font>
      <sz val="8"/>
      <name val="Arial"/>
      <family val="2"/>
    </font>
    <font>
      <sz val="11"/>
      <color rgb="FFFF0000"/>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FFFFCC"/>
        <bgColor indexed="64"/>
      </patternFill>
    </fill>
    <fill>
      <patternFill patternType="solid">
        <fgColor theme="5" tint="0.39997558519241921"/>
        <bgColor indexed="64"/>
      </patternFill>
    </fill>
    <fill>
      <patternFill patternType="solid">
        <fgColor rgb="FF92D050"/>
        <bgColor indexed="64"/>
      </patternFill>
    </fill>
  </fills>
  <borders count="2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4" tint="0.39979247413556324"/>
      </right>
      <top/>
      <bottom/>
      <diagonal/>
    </border>
    <border>
      <left style="thin">
        <color theme="0" tint="-0.499984740745262"/>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0" tint="-0.499984740745262"/>
      </right>
      <top/>
      <bottom/>
      <diagonal/>
    </border>
    <border>
      <left style="thin">
        <color theme="0" tint="-0.499984740745262"/>
      </left>
      <right style="thin">
        <color theme="1"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4" tint="0.39988402966399123"/>
      </left>
      <right style="thin">
        <color theme="4" tint="0.39979247413556324"/>
      </right>
      <top/>
      <bottom/>
      <diagonal/>
    </border>
    <border>
      <left/>
      <right/>
      <top style="thin">
        <color theme="4" tint="0.39979247413556324"/>
      </top>
      <bottom/>
      <diagonal/>
    </border>
    <border>
      <left style="thin">
        <color theme="0" tint="-0.499984740745262"/>
      </left>
      <right style="thin">
        <color theme="0" tint="-0.499984740745262"/>
      </right>
      <top style="thin">
        <color theme="0" tint="-0.499984740745262"/>
      </top>
      <bottom/>
      <diagonal/>
    </border>
    <border>
      <left style="thin">
        <color theme="4" tint="0.39988402966399123"/>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4" tint="0.39988402966399123"/>
      </right>
      <top/>
      <bottom/>
      <diagonal/>
    </border>
  </borders>
  <cellStyleXfs count="3">
    <xf numFmtId="0" fontId="0" fillId="0" borderId="0"/>
    <xf numFmtId="9" fontId="1" fillId="0" borderId="0" applyFont="0" applyFill="0" applyBorder="0" applyAlignment="0" applyProtection="0"/>
    <xf numFmtId="0" fontId="10" fillId="0" borderId="0"/>
  </cellStyleXfs>
  <cellXfs count="131">
    <xf numFmtId="0" fontId="0" fillId="0" borderId="0" xfId="0"/>
    <xf numFmtId="0" fontId="0" fillId="2" borderId="0" xfId="0" applyFill="1"/>
    <xf numFmtId="49" fontId="0" fillId="0" borderId="0" xfId="0" applyNumberFormat="1"/>
    <xf numFmtId="0" fontId="2" fillId="0" borderId="0" xfId="0" applyFont="1" applyAlignment="1">
      <alignment horizontal="right"/>
    </xf>
    <xf numFmtId="17" fontId="2" fillId="0" borderId="0" xfId="0" quotePrefix="1" applyNumberFormat="1" applyFont="1"/>
    <xf numFmtId="0" fontId="0" fillId="0" borderId="0" xfId="0" applyAlignment="1">
      <alignment horizontal="center"/>
    </xf>
    <xf numFmtId="0" fontId="2" fillId="0" borderId="0" xfId="0" applyFont="1" applyAlignment="1">
      <alignment horizontal="right" vertical="top"/>
    </xf>
    <xf numFmtId="17" fontId="2" fillId="0" borderId="0" xfId="0" quotePrefix="1" applyNumberFormat="1" applyFont="1" applyAlignment="1">
      <alignment vertical="top"/>
    </xf>
    <xf numFmtId="0" fontId="4" fillId="2" borderId="0" xfId="0" applyFont="1" applyFill="1" applyAlignment="1">
      <alignment horizontal="center" vertical="center"/>
    </xf>
    <xf numFmtId="0" fontId="5" fillId="0" borderId="0" xfId="0" applyFont="1" applyAlignment="1">
      <alignment horizontal="right"/>
    </xf>
    <xf numFmtId="0" fontId="0" fillId="2" borderId="0" xfId="0" applyFill="1" applyAlignment="1">
      <alignment vertical="center"/>
    </xf>
    <xf numFmtId="14" fontId="6" fillId="2" borderId="0" xfId="0" applyNumberFormat="1" applyFont="1" applyFill="1" applyAlignment="1">
      <alignment horizontal="center" vertical="center"/>
    </xf>
    <xf numFmtId="0" fontId="0" fillId="0" borderId="2" xfId="0" applyBorder="1"/>
    <xf numFmtId="0" fontId="0" fillId="0" borderId="3" xfId="0" applyBorder="1"/>
    <xf numFmtId="0" fontId="0" fillId="0" borderId="4" xfId="0" applyBorder="1"/>
    <xf numFmtId="0" fontId="8" fillId="2" borderId="5" xfId="0" applyFont="1" applyFill="1" applyBorder="1" applyAlignment="1">
      <alignment horizontal="center" vertical="center"/>
    </xf>
    <xf numFmtId="0" fontId="0" fillId="0" borderId="6" xfId="0" applyBorder="1"/>
    <xf numFmtId="0" fontId="9" fillId="0" borderId="7" xfId="0" applyFont="1" applyBorder="1"/>
    <xf numFmtId="0" fontId="0" fillId="0" borderId="8" xfId="0" applyBorder="1"/>
    <xf numFmtId="0" fontId="9" fillId="7" borderId="7" xfId="0" applyFont="1" applyFill="1" applyBorder="1"/>
    <xf numFmtId="0" fontId="0" fillId="0" borderId="0" xfId="0" applyAlignment="1">
      <alignment horizontal="center" vertical="center"/>
    </xf>
    <xf numFmtId="0" fontId="0" fillId="0" borderId="9" xfId="0" applyBorder="1"/>
    <xf numFmtId="0" fontId="8" fillId="2" borderId="13" xfId="0" applyFont="1" applyFill="1" applyBorder="1" applyAlignment="1">
      <alignment horizontal="center" vertical="center"/>
    </xf>
    <xf numFmtId="0" fontId="11" fillId="2" borderId="0" xfId="0" applyFont="1" applyFill="1" applyAlignment="1">
      <alignment horizontal="left"/>
    </xf>
    <xf numFmtId="0" fontId="12" fillId="0" borderId="14" xfId="0" applyFont="1" applyBorder="1" applyAlignment="1">
      <alignment vertical="center"/>
    </xf>
    <xf numFmtId="0" fontId="11" fillId="0" borderId="0" xfId="0" applyFont="1" applyAlignment="1">
      <alignment horizontal="center"/>
    </xf>
    <xf numFmtId="0" fontId="0" fillId="2" borderId="0" xfId="0" applyFill="1" applyAlignment="1">
      <alignment horizontal="center" vertical="center" wrapText="1"/>
    </xf>
    <xf numFmtId="0" fontId="0" fillId="0" borderId="0" xfId="0" applyAlignment="1">
      <alignment horizontal="center" vertical="center" wrapText="1"/>
    </xf>
    <xf numFmtId="0" fontId="6" fillId="2" borderId="16" xfId="0" applyFont="1" applyFill="1" applyBorder="1" applyAlignment="1">
      <alignment horizontal="center" vertical="center" wrapText="1"/>
    </xf>
    <xf numFmtId="49" fontId="0" fillId="2" borderId="15" xfId="0" applyNumberFormat="1" applyFill="1" applyBorder="1" applyAlignment="1">
      <alignment horizontal="center" vertical="center" wrapText="1"/>
    </xf>
    <xf numFmtId="49" fontId="0" fillId="2" borderId="2" xfId="0" applyNumberFormat="1" applyFill="1" applyBorder="1" applyAlignment="1">
      <alignment horizontal="center" vertical="center" wrapText="1"/>
    </xf>
    <xf numFmtId="0" fontId="0" fillId="0" borderId="6" xfId="0" applyBorder="1" applyProtection="1">
      <protection locked="0"/>
    </xf>
    <xf numFmtId="0" fontId="9" fillId="0" borderId="7" xfId="0" applyFont="1" applyBorder="1" applyProtection="1">
      <protection locked="0"/>
    </xf>
    <xf numFmtId="0" fontId="0" fillId="0" borderId="8" xfId="0" applyBorder="1" applyProtection="1">
      <protection locked="0"/>
    </xf>
    <xf numFmtId="0" fontId="8" fillId="2" borderId="17" xfId="0" applyFont="1" applyFill="1" applyBorder="1" applyAlignment="1" applyProtection="1">
      <alignment horizontal="center" vertical="center" wrapText="1"/>
      <protection locked="0"/>
    </xf>
    <xf numFmtId="1" fontId="8" fillId="2" borderId="6" xfId="0" applyNumberFormat="1" applyFont="1" applyFill="1" applyBorder="1" applyAlignment="1">
      <alignment horizontal="center" vertical="center" wrapText="1"/>
    </xf>
    <xf numFmtId="0" fontId="15" fillId="2" borderId="0" xfId="0" applyFont="1" applyFill="1" applyAlignment="1">
      <alignment horizontal="center"/>
    </xf>
    <xf numFmtId="0" fontId="16" fillId="0" borderId="0" xfId="0" applyFont="1"/>
    <xf numFmtId="0" fontId="16" fillId="2" borderId="0" xfId="0" applyFont="1" applyFill="1"/>
    <xf numFmtId="0" fontId="16" fillId="2" borderId="0" xfId="0" applyFont="1" applyFill="1" applyAlignment="1">
      <alignment horizontal="center"/>
    </xf>
    <xf numFmtId="0" fontId="18" fillId="2" borderId="0" xfId="0" applyFont="1" applyFill="1" applyAlignment="1">
      <alignment horizontal="center"/>
    </xf>
    <xf numFmtId="0" fontId="4" fillId="2" borderId="0" xfId="0" applyFont="1" applyFill="1" applyAlignment="1">
      <alignment horizontal="center" vertical="center" wrapText="1"/>
    </xf>
    <xf numFmtId="9" fontId="19" fillId="2" borderId="0" xfId="0" applyNumberFormat="1" applyFont="1" applyFill="1" applyAlignment="1">
      <alignment horizontal="center" vertical="center"/>
    </xf>
    <xf numFmtId="0" fontId="0" fillId="0" borderId="0" xfId="0" applyProtection="1">
      <protection locked="0"/>
    </xf>
    <xf numFmtId="0" fontId="20" fillId="0" borderId="0" xfId="0" applyFont="1"/>
    <xf numFmtId="0" fontId="4" fillId="0" borderId="24" xfId="0" applyFont="1" applyBorder="1" applyAlignment="1">
      <alignment vertical="center"/>
    </xf>
    <xf numFmtId="0" fontId="3" fillId="3" borderId="1" xfId="0" applyFont="1" applyFill="1" applyBorder="1" applyAlignment="1">
      <alignment horizontal="center" vertical="center"/>
    </xf>
    <xf numFmtId="0" fontId="6" fillId="0" borderId="1" xfId="0" applyFont="1" applyBorder="1" applyAlignment="1" applyProtection="1">
      <alignment horizontal="center" vertical="center" wrapText="1"/>
      <protection locked="0"/>
    </xf>
    <xf numFmtId="14" fontId="3" fillId="0" borderId="1" xfId="0" applyNumberFormat="1" applyFont="1" applyBorder="1" applyAlignment="1" applyProtection="1">
      <alignment horizontal="center" vertical="center"/>
      <protection locked="0"/>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2" xfId="0" applyFont="1" applyFill="1" applyBorder="1" applyAlignment="1">
      <alignment horizontal="center" vertical="center"/>
    </xf>
    <xf numFmtId="0" fontId="4" fillId="3" borderId="23" xfId="0" applyFont="1" applyFill="1" applyBorder="1" applyAlignment="1">
      <alignment horizontal="center" vertical="center"/>
    </xf>
    <xf numFmtId="0" fontId="15" fillId="0" borderId="10" xfId="0" applyFont="1" applyBorder="1" applyAlignment="1" applyProtection="1">
      <alignment horizontal="center"/>
      <protection locked="0"/>
    </xf>
    <xf numFmtId="0" fontId="15" fillId="0" borderId="11" xfId="0" applyFont="1" applyBorder="1" applyAlignment="1" applyProtection="1">
      <alignment horizontal="center"/>
      <protection locked="0"/>
    </xf>
    <xf numFmtId="0" fontId="15" fillId="0" borderId="12" xfId="0" applyFont="1" applyBorder="1" applyAlignment="1" applyProtection="1">
      <alignment horizontal="center"/>
      <protection locked="0"/>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7" fillId="0" borderId="8"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10" fillId="0" borderId="10" xfId="0" applyFont="1" applyBorder="1" applyAlignment="1">
      <alignment horizontal="center"/>
    </xf>
    <xf numFmtId="0" fontId="10" fillId="0" borderId="11" xfId="0" applyFont="1" applyBorder="1" applyAlignment="1">
      <alignment horizontal="center"/>
    </xf>
    <xf numFmtId="0" fontId="10" fillId="0" borderId="12" xfId="0" applyFont="1" applyBorder="1" applyAlignment="1">
      <alignment horizontal="center"/>
    </xf>
    <xf numFmtId="49" fontId="3" fillId="3" borderId="15" xfId="0" applyNumberFormat="1" applyFont="1" applyFill="1" applyBorder="1" applyAlignment="1">
      <alignment horizontal="center" vertical="center"/>
    </xf>
    <xf numFmtId="49" fontId="3" fillId="3" borderId="17" xfId="0" applyNumberFormat="1" applyFont="1" applyFill="1" applyBorder="1" applyAlignment="1">
      <alignment horizontal="center" vertical="center"/>
    </xf>
    <xf numFmtId="49" fontId="3" fillId="3" borderId="18" xfId="0" applyNumberFormat="1" applyFont="1" applyFill="1" applyBorder="1" applyAlignment="1">
      <alignment horizontal="center" vertical="center"/>
    </xf>
    <xf numFmtId="0" fontId="3" fillId="3" borderId="15"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10" fillId="0" borderId="1" xfId="0" applyFont="1" applyBorder="1" applyAlignment="1" applyProtection="1">
      <alignment horizontal="center" vertical="center" wrapText="1"/>
      <protection locked="0"/>
    </xf>
    <xf numFmtId="0" fontId="10" fillId="0" borderId="15" xfId="0" applyFont="1" applyBorder="1" applyAlignment="1" applyProtection="1">
      <alignment horizontal="center" vertical="center" wrapText="1"/>
      <protection locked="0"/>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0" fillId="0" borderId="2"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10" fillId="0" borderId="6"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8" xfId="0" applyFont="1" applyBorder="1" applyAlignment="1" applyProtection="1">
      <alignment horizontal="center" vertical="center" wrapText="1"/>
      <protection locked="0"/>
    </xf>
    <xf numFmtId="0" fontId="13" fillId="3" borderId="1" xfId="0" applyFont="1" applyFill="1" applyBorder="1" applyAlignment="1">
      <alignment horizontal="center" vertical="center"/>
    </xf>
    <xf numFmtId="0" fontId="3" fillId="0" borderId="1" xfId="0" applyFont="1" applyBorder="1" applyAlignment="1" applyProtection="1">
      <alignment horizontal="center" vertical="center" wrapText="1"/>
      <protection locked="0"/>
    </xf>
    <xf numFmtId="0" fontId="0" fillId="0" borderId="1" xfId="0" applyBorder="1" applyAlignment="1">
      <alignment horizontal="center" vertical="center"/>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6" fillId="0" borderId="0" xfId="0" applyFont="1" applyAlignment="1">
      <alignment horizontal="center"/>
    </xf>
    <xf numFmtId="9" fontId="17" fillId="0" borderId="19" xfId="0" applyNumberFormat="1" applyFont="1" applyBorder="1" applyAlignment="1">
      <alignment horizontal="center" vertical="center"/>
    </xf>
    <xf numFmtId="9" fontId="17" fillId="0" borderId="20" xfId="0" applyNumberFormat="1" applyFont="1" applyBorder="1" applyAlignment="1">
      <alignment horizontal="center" vertical="center"/>
    </xf>
    <xf numFmtId="9" fontId="17" fillId="0" borderId="4" xfId="1" applyFont="1" applyBorder="1" applyAlignment="1">
      <alignment horizontal="center" vertical="center"/>
    </xf>
    <xf numFmtId="9" fontId="17" fillId="0" borderId="12" xfId="1" applyFont="1" applyBorder="1" applyAlignment="1">
      <alignment horizontal="center" vertical="center"/>
    </xf>
    <xf numFmtId="49" fontId="4" fillId="0" borderId="2" xfId="0" applyNumberFormat="1" applyFont="1" applyBorder="1" applyAlignment="1">
      <alignment horizontal="right" vertical="center"/>
    </xf>
    <xf numFmtId="49" fontId="4" fillId="0" borderId="3" xfId="0" applyNumberFormat="1" applyFont="1" applyBorder="1" applyAlignment="1">
      <alignment horizontal="right" vertical="center"/>
    </xf>
    <xf numFmtId="49" fontId="4" fillId="0" borderId="10" xfId="0" applyNumberFormat="1" applyFont="1" applyBorder="1" applyAlignment="1">
      <alignment horizontal="right" vertical="center"/>
    </xf>
    <xf numFmtId="49" fontId="4" fillId="0" borderId="11" xfId="0" applyNumberFormat="1" applyFont="1" applyBorder="1" applyAlignment="1">
      <alignment horizontal="right" vertical="center"/>
    </xf>
    <xf numFmtId="0" fontId="16" fillId="0" borderId="22" xfId="0" applyFont="1" applyBorder="1" applyAlignment="1">
      <alignment horizontal="center"/>
    </xf>
    <xf numFmtId="9" fontId="17" fillId="0" borderId="2" xfId="0" applyNumberFormat="1" applyFont="1" applyBorder="1" applyAlignment="1">
      <alignment horizontal="center" vertical="center"/>
    </xf>
    <xf numFmtId="9" fontId="17" fillId="0" borderId="3" xfId="0" applyNumberFormat="1" applyFont="1" applyBorder="1" applyAlignment="1">
      <alignment horizontal="center" vertical="center"/>
    </xf>
    <xf numFmtId="9" fontId="17" fillId="0" borderId="4" xfId="0" applyNumberFormat="1" applyFont="1" applyBorder="1" applyAlignment="1">
      <alignment horizontal="center" vertical="center"/>
    </xf>
    <xf numFmtId="9" fontId="17" fillId="0" borderId="10" xfId="0" applyNumberFormat="1" applyFont="1" applyBorder="1" applyAlignment="1">
      <alignment horizontal="center" vertical="center"/>
    </xf>
    <xf numFmtId="9" fontId="17" fillId="0" borderId="11" xfId="0" applyNumberFormat="1" applyFont="1" applyBorder="1" applyAlignment="1">
      <alignment horizontal="center" vertical="center"/>
    </xf>
    <xf numFmtId="9" fontId="17" fillId="0" borderId="12" xfId="0" applyNumberFormat="1" applyFont="1" applyBorder="1" applyAlignment="1">
      <alignment horizontal="center" vertical="center"/>
    </xf>
    <xf numFmtId="0" fontId="2" fillId="4" borderId="15"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6" borderId="15"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6" borderId="18" xfId="0" applyFont="1" applyFill="1" applyBorder="1" applyAlignment="1">
      <alignment horizontal="center" vertical="center" wrapText="1"/>
    </xf>
  </cellXfs>
  <cellStyles count="3">
    <cellStyle name="Normal" xfId="0" builtinId="0"/>
    <cellStyle name="Normal 4" xfId="2" xr:uid="{B0ADFB56-ED78-4C04-9A38-C13618F3C1DB}"/>
    <cellStyle name="Porcentaje" xfId="1" builtinId="5"/>
  </cellStyles>
  <dxfs count="104">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437254</xdr:rowOff>
    </xdr:to>
    <xdr:sp macro="" textlink="" fLocksText="0">
      <xdr:nvSpPr>
        <xdr:cNvPr id="2" name="Textfeld 10">
          <a:extLst>
            <a:ext uri="{FF2B5EF4-FFF2-40B4-BE49-F238E27FC236}">
              <a16:creationId xmlns:a16="http://schemas.microsoft.com/office/drawing/2014/main" id="{302B559A-C4C8-4881-A5DF-06DB1152767D}"/>
            </a:ext>
          </a:extLst>
        </xdr:cNvPr>
        <xdr:cNvSpPr txBox="1"/>
      </xdr:nvSpPr>
      <xdr:spPr>
        <a:xfrm>
          <a:off x="213879" y="1"/>
          <a:ext cx="5273643" cy="94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Perfilería y Soldadura</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437254</xdr:rowOff>
    </xdr:to>
    <xdr:sp macro="" textlink="" fLocksText="0">
      <xdr:nvSpPr>
        <xdr:cNvPr id="2" name="Textfeld 10">
          <a:extLst>
            <a:ext uri="{FF2B5EF4-FFF2-40B4-BE49-F238E27FC236}">
              <a16:creationId xmlns:a16="http://schemas.microsoft.com/office/drawing/2014/main" id="{21B41115-59A2-4E29-8905-2B6633D8CB93}"/>
            </a:ext>
          </a:extLst>
        </xdr:cNvPr>
        <xdr:cNvSpPr txBox="1"/>
      </xdr:nvSpPr>
      <xdr:spPr>
        <a:xfrm>
          <a:off x="227214" y="1"/>
          <a:ext cx="5441283" cy="95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Perfilería y Soldadura</a:t>
          </a: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441064</xdr:rowOff>
    </xdr:to>
    <xdr:sp macro="" textlink="" fLocksText="0">
      <xdr:nvSpPr>
        <xdr:cNvPr id="2" name="Textfeld 10">
          <a:extLst>
            <a:ext uri="{FF2B5EF4-FFF2-40B4-BE49-F238E27FC236}">
              <a16:creationId xmlns:a16="http://schemas.microsoft.com/office/drawing/2014/main" id="{797A65FA-0022-4726-93F1-16AC2105DE10}"/>
            </a:ext>
          </a:extLst>
        </xdr:cNvPr>
        <xdr:cNvSpPr txBox="1"/>
      </xdr:nvSpPr>
      <xdr:spPr>
        <a:xfrm>
          <a:off x="227214" y="1"/>
          <a:ext cx="5441283" cy="95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Perfilería y Soldadura</a:t>
          </a:r>
        </a:p>
      </xdr:txBody>
    </xdr:sp>
    <xdr:clientData fLocksWithSheet="0"/>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BEDE-911A-4A1A-B94A-411672F08780}">
  <sheetPr>
    <pageSetUpPr fitToPage="1"/>
  </sheetPr>
  <dimension ref="B1:EE41"/>
  <sheetViews>
    <sheetView showGridLines="0" tabSelected="1" zoomScale="55" zoomScaleNormal="55" workbookViewId="0">
      <pane xSplit="4" ySplit="12" topLeftCell="E13" activePane="bottomRight" state="frozen"/>
      <selection pane="topRight" activeCell="E1" sqref="E1"/>
      <selection pane="bottomLeft" activeCell="A13" sqref="A13"/>
      <selection pane="bottomRight" activeCell="CF47" sqref="CF47"/>
    </sheetView>
  </sheetViews>
  <sheetFormatPr baseColWidth="10" defaultColWidth="10" defaultRowHeight="15" x14ac:dyDescent="0.25"/>
  <cols>
    <col min="1" max="1" width="2.42578125" customWidth="1"/>
    <col min="2" max="2" width="32.140625" customWidth="1"/>
    <col min="3" max="3" width="22.42578125" customWidth="1"/>
    <col min="4" max="4" width="0.7109375" style="1" customWidth="1"/>
    <col min="5" max="84" width="3.42578125" customWidth="1"/>
    <col min="85" max="85" width="0.7109375" style="1" customWidth="1"/>
    <col min="86" max="86" width="15.42578125" style="2" customWidth="1"/>
    <col min="87" max="87" width="23.28515625" style="2" customWidth="1"/>
    <col min="88" max="88" width="13.7109375" customWidth="1"/>
    <col min="89" max="89" width="2.42578125" customWidth="1"/>
    <col min="90" max="91" width="8.140625" customWidth="1"/>
    <col min="92" max="105" width="8.140625" style="5" customWidth="1"/>
    <col min="106" max="110" width="8.140625" customWidth="1"/>
    <col min="111" max="115" width="9.42578125" customWidth="1"/>
    <col min="116" max="117" width="9.42578125" style="5" customWidth="1"/>
    <col min="118" max="130" width="9.42578125" customWidth="1"/>
    <col min="131" max="132" width="1.28515625" customWidth="1"/>
    <col min="133" max="134" width="2.42578125" customWidth="1"/>
    <col min="135" max="135" width="1.28515625" customWidth="1"/>
  </cols>
  <sheetData>
    <row r="1" spans="2:135" ht="40.15" customHeight="1" x14ac:dyDescent="0.3">
      <c r="CI1" s="3" t="s">
        <v>0</v>
      </c>
      <c r="CJ1" s="4">
        <v>45717</v>
      </c>
    </row>
    <row r="2" spans="2:135" ht="40.15" customHeight="1" x14ac:dyDescent="0.25">
      <c r="CI2" s="6" t="s">
        <v>1</v>
      </c>
      <c r="CJ2" s="7">
        <v>45901</v>
      </c>
    </row>
    <row r="3" spans="2:135" ht="15" customHeight="1" x14ac:dyDescent="0.25">
      <c r="B3" s="46" t="s">
        <v>2</v>
      </c>
      <c r="C3" s="47" t="s">
        <v>3</v>
      </c>
      <c r="D3" s="8"/>
      <c r="E3" s="49" t="s">
        <v>4</v>
      </c>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1"/>
      <c r="CG3" s="45"/>
      <c r="CH3" s="46" t="s">
        <v>5</v>
      </c>
      <c r="CI3" s="46"/>
      <c r="CJ3" s="46"/>
      <c r="DC3" s="9"/>
      <c r="DG3" s="9"/>
      <c r="DK3" s="9"/>
      <c r="DO3" s="9"/>
      <c r="DS3" s="9"/>
      <c r="DW3" s="9"/>
      <c r="EA3" s="9"/>
      <c r="EE3" s="9"/>
    </row>
    <row r="4" spans="2:135" ht="15" customHeight="1" x14ac:dyDescent="0.25">
      <c r="B4" s="46"/>
      <c r="C4" s="47"/>
      <c r="D4" s="10"/>
      <c r="E4" s="52"/>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4"/>
      <c r="CG4" s="45"/>
      <c r="CH4" s="46"/>
      <c r="CI4" s="46"/>
      <c r="CJ4" s="46"/>
    </row>
    <row r="5" spans="2:135" ht="15" customHeight="1" x14ac:dyDescent="0.25">
      <c r="B5" s="46" t="s">
        <v>6</v>
      </c>
      <c r="C5" s="48">
        <v>45746</v>
      </c>
      <c r="D5" s="11"/>
      <c r="E5" s="12"/>
      <c r="F5" s="13"/>
      <c r="G5" s="13"/>
      <c r="H5" s="14"/>
      <c r="I5" s="61" t="s">
        <v>7</v>
      </c>
      <c r="J5" s="62"/>
      <c r="K5" s="62"/>
      <c r="L5" s="62"/>
      <c r="M5" s="62"/>
      <c r="N5" s="62"/>
      <c r="O5" s="62"/>
      <c r="P5" s="62"/>
      <c r="Q5" s="62"/>
      <c r="R5" s="62"/>
      <c r="S5" s="62"/>
      <c r="T5" s="63"/>
      <c r="U5" s="12"/>
      <c r="V5" s="13"/>
      <c r="W5" s="13"/>
      <c r="X5" s="14"/>
      <c r="Y5" s="70" t="s">
        <v>8</v>
      </c>
      <c r="Z5" s="71"/>
      <c r="AA5" s="71"/>
      <c r="AB5" s="71"/>
      <c r="AC5" s="71"/>
      <c r="AD5" s="71"/>
      <c r="AE5" s="71"/>
      <c r="AF5" s="71"/>
      <c r="AG5" s="71"/>
      <c r="AH5" s="71"/>
      <c r="AI5" s="71"/>
      <c r="AJ5" s="72"/>
      <c r="AK5" s="12"/>
      <c r="AL5" s="13"/>
      <c r="AM5" s="13"/>
      <c r="AN5" s="14"/>
      <c r="AO5" s="70" t="s">
        <v>9</v>
      </c>
      <c r="AP5" s="71"/>
      <c r="AQ5" s="71"/>
      <c r="AR5" s="71"/>
      <c r="AS5" s="71"/>
      <c r="AT5" s="71"/>
      <c r="AU5" s="71"/>
      <c r="AV5" s="71"/>
      <c r="AW5" s="71"/>
      <c r="AX5" s="71"/>
      <c r="AY5" s="71"/>
      <c r="AZ5" s="72"/>
      <c r="BA5" s="12"/>
      <c r="BB5" s="13"/>
      <c r="BC5" s="13"/>
      <c r="BD5" s="14"/>
      <c r="BE5" s="61" t="s">
        <v>10</v>
      </c>
      <c r="BF5" s="62"/>
      <c r="BG5" s="62"/>
      <c r="BH5" s="62"/>
      <c r="BI5" s="62"/>
      <c r="BJ5" s="62"/>
      <c r="BK5" s="62"/>
      <c r="BL5" s="62"/>
      <c r="BM5" s="62"/>
      <c r="BN5" s="62"/>
      <c r="BO5" s="62"/>
      <c r="BP5" s="63"/>
      <c r="BQ5" s="12"/>
      <c r="BR5" s="13"/>
      <c r="BS5" s="13"/>
      <c r="BT5" s="14"/>
      <c r="BU5" s="70" t="s">
        <v>11</v>
      </c>
      <c r="BV5" s="71"/>
      <c r="BW5" s="71"/>
      <c r="BX5" s="71"/>
      <c r="BY5" s="71"/>
      <c r="BZ5" s="71"/>
      <c r="CA5" s="71"/>
      <c r="CB5" s="71"/>
      <c r="CC5" s="71"/>
      <c r="CD5" s="71"/>
      <c r="CE5" s="71"/>
      <c r="CF5" s="72"/>
      <c r="CG5" s="15"/>
      <c r="CH5" s="92" t="s">
        <v>12</v>
      </c>
      <c r="CI5" s="93" t="s">
        <v>13</v>
      </c>
      <c r="CJ5" s="94" t="s">
        <v>14</v>
      </c>
      <c r="CK5" s="5"/>
      <c r="CN5"/>
      <c r="CO5"/>
      <c r="CP5"/>
      <c r="CQ5"/>
      <c r="CR5"/>
      <c r="CS5"/>
      <c r="CT5"/>
      <c r="CU5"/>
      <c r="CV5"/>
      <c r="CW5"/>
      <c r="CX5"/>
      <c r="CY5"/>
      <c r="CZ5"/>
      <c r="DA5"/>
      <c r="DL5"/>
      <c r="DM5"/>
    </row>
    <row r="6" spans="2:135" ht="15" customHeight="1" x14ac:dyDescent="0.25">
      <c r="B6" s="46"/>
      <c r="C6" s="48"/>
      <c r="D6" s="11"/>
      <c r="E6" s="16"/>
      <c r="F6" s="17"/>
      <c r="G6" s="17"/>
      <c r="H6" s="18"/>
      <c r="I6" s="64"/>
      <c r="J6" s="65"/>
      <c r="K6" s="65"/>
      <c r="L6" s="65"/>
      <c r="M6" s="65"/>
      <c r="N6" s="65"/>
      <c r="O6" s="65"/>
      <c r="P6" s="65"/>
      <c r="Q6" s="65"/>
      <c r="R6" s="65"/>
      <c r="S6" s="65"/>
      <c r="T6" s="66"/>
      <c r="U6" s="16"/>
      <c r="V6" s="17"/>
      <c r="W6" s="17"/>
      <c r="X6" s="18"/>
      <c r="Y6" s="73"/>
      <c r="Z6" s="74"/>
      <c r="AA6" s="74"/>
      <c r="AB6" s="74"/>
      <c r="AC6" s="74"/>
      <c r="AD6" s="74"/>
      <c r="AE6" s="74"/>
      <c r="AF6" s="74"/>
      <c r="AG6" s="74"/>
      <c r="AH6" s="74"/>
      <c r="AI6" s="74"/>
      <c r="AJ6" s="75"/>
      <c r="AK6" s="16"/>
      <c r="AL6" s="17"/>
      <c r="AM6" s="17"/>
      <c r="AN6" s="18"/>
      <c r="AO6" s="73"/>
      <c r="AP6" s="74"/>
      <c r="AQ6" s="74"/>
      <c r="AR6" s="74"/>
      <c r="AS6" s="74"/>
      <c r="AT6" s="74"/>
      <c r="AU6" s="74"/>
      <c r="AV6" s="74"/>
      <c r="AW6" s="74"/>
      <c r="AX6" s="74"/>
      <c r="AY6" s="74"/>
      <c r="AZ6" s="75"/>
      <c r="BA6" s="16"/>
      <c r="BB6" s="17"/>
      <c r="BC6" s="17"/>
      <c r="BD6" s="18"/>
      <c r="BE6" s="64"/>
      <c r="BF6" s="65"/>
      <c r="BG6" s="65"/>
      <c r="BH6" s="65"/>
      <c r="BI6" s="65"/>
      <c r="BJ6" s="65"/>
      <c r="BK6" s="65"/>
      <c r="BL6" s="65"/>
      <c r="BM6" s="65"/>
      <c r="BN6" s="65"/>
      <c r="BO6" s="65"/>
      <c r="BP6" s="66"/>
      <c r="BQ6" s="16"/>
      <c r="BR6" s="19"/>
      <c r="BS6" s="19"/>
      <c r="BT6" s="18"/>
      <c r="BU6" s="73"/>
      <c r="BV6" s="74"/>
      <c r="BW6" s="74"/>
      <c r="BX6" s="74"/>
      <c r="BY6" s="74"/>
      <c r="BZ6" s="74"/>
      <c r="CA6" s="74"/>
      <c r="CB6" s="74"/>
      <c r="CC6" s="74"/>
      <c r="CD6" s="74"/>
      <c r="CE6" s="74"/>
      <c r="CF6" s="75"/>
      <c r="CG6" s="15"/>
      <c r="CH6" s="92"/>
      <c r="CI6" s="93"/>
      <c r="CJ6" s="94"/>
      <c r="CK6" s="20"/>
      <c r="CN6"/>
      <c r="CO6"/>
      <c r="CP6"/>
      <c r="CQ6"/>
      <c r="CR6"/>
      <c r="CS6"/>
      <c r="CT6"/>
      <c r="CU6"/>
      <c r="CV6"/>
      <c r="CW6"/>
      <c r="CX6"/>
      <c r="CY6"/>
      <c r="CZ6"/>
      <c r="DA6"/>
      <c r="DL6"/>
      <c r="DM6"/>
    </row>
    <row r="7" spans="2:135" ht="15" customHeight="1" x14ac:dyDescent="0.25">
      <c r="B7" s="90" t="s">
        <v>15</v>
      </c>
      <c r="C7" s="91">
        <v>10</v>
      </c>
      <c r="E7" s="16"/>
      <c r="F7" s="17"/>
      <c r="G7" s="17"/>
      <c r="H7" s="18"/>
      <c r="I7" s="64"/>
      <c r="J7" s="65"/>
      <c r="K7" s="65"/>
      <c r="L7" s="65"/>
      <c r="M7" s="65"/>
      <c r="N7" s="65"/>
      <c r="O7" s="65"/>
      <c r="P7" s="65"/>
      <c r="Q7" s="65"/>
      <c r="R7" s="65"/>
      <c r="S7" s="65"/>
      <c r="T7" s="66"/>
      <c r="U7" s="16"/>
      <c r="V7" s="17"/>
      <c r="W7" s="17"/>
      <c r="X7" s="18"/>
      <c r="Y7" s="73"/>
      <c r="Z7" s="74"/>
      <c r="AA7" s="74"/>
      <c r="AB7" s="74"/>
      <c r="AC7" s="74"/>
      <c r="AD7" s="74"/>
      <c r="AE7" s="74"/>
      <c r="AF7" s="74"/>
      <c r="AG7" s="74"/>
      <c r="AH7" s="74"/>
      <c r="AI7" s="74"/>
      <c r="AJ7" s="75"/>
      <c r="AK7" s="16"/>
      <c r="AL7" s="17"/>
      <c r="AM7" s="17"/>
      <c r="AN7" s="18"/>
      <c r="AO7" s="73"/>
      <c r="AP7" s="74"/>
      <c r="AQ7" s="74"/>
      <c r="AR7" s="74"/>
      <c r="AS7" s="74"/>
      <c r="AT7" s="74"/>
      <c r="AU7" s="74"/>
      <c r="AV7" s="74"/>
      <c r="AW7" s="74"/>
      <c r="AX7" s="74"/>
      <c r="AY7" s="74"/>
      <c r="AZ7" s="75"/>
      <c r="BA7" s="21"/>
      <c r="BB7" s="17"/>
      <c r="BC7" s="17"/>
      <c r="BD7" s="18"/>
      <c r="BE7" s="64"/>
      <c r="BF7" s="65"/>
      <c r="BG7" s="65"/>
      <c r="BH7" s="65"/>
      <c r="BI7" s="65"/>
      <c r="BJ7" s="65"/>
      <c r="BK7" s="65"/>
      <c r="BL7" s="65"/>
      <c r="BM7" s="65"/>
      <c r="BN7" s="65"/>
      <c r="BO7" s="65"/>
      <c r="BP7" s="66"/>
      <c r="BQ7" s="16"/>
      <c r="BR7" s="19"/>
      <c r="BS7" s="19"/>
      <c r="BT7" s="18"/>
      <c r="BU7" s="73"/>
      <c r="BV7" s="74"/>
      <c r="BW7" s="74"/>
      <c r="BX7" s="74"/>
      <c r="BY7" s="74"/>
      <c r="BZ7" s="74"/>
      <c r="CA7" s="74"/>
      <c r="CB7" s="74"/>
      <c r="CC7" s="74"/>
      <c r="CD7" s="74"/>
      <c r="CE7" s="74"/>
      <c r="CF7" s="75"/>
      <c r="CG7" s="15"/>
      <c r="CH7" s="92"/>
      <c r="CI7" s="93"/>
      <c r="CJ7" s="94"/>
      <c r="CK7" s="20"/>
      <c r="CN7"/>
      <c r="CO7"/>
      <c r="CP7"/>
      <c r="CQ7"/>
      <c r="CR7"/>
      <c r="CS7"/>
      <c r="CT7"/>
      <c r="CU7"/>
      <c r="CV7"/>
      <c r="CW7"/>
      <c r="CX7"/>
      <c r="CY7"/>
      <c r="CZ7"/>
      <c r="DA7"/>
      <c r="DL7"/>
      <c r="DM7"/>
    </row>
    <row r="8" spans="2:135" ht="15" customHeight="1" x14ac:dyDescent="0.25">
      <c r="B8" s="90"/>
      <c r="C8" s="91"/>
      <c r="E8" s="79">
        <v>0</v>
      </c>
      <c r="F8" s="80"/>
      <c r="G8" s="80"/>
      <c r="H8" s="81"/>
      <c r="I8" s="67"/>
      <c r="J8" s="68"/>
      <c r="K8" s="68"/>
      <c r="L8" s="68"/>
      <c r="M8" s="68"/>
      <c r="N8" s="68"/>
      <c r="O8" s="68"/>
      <c r="P8" s="68"/>
      <c r="Q8" s="68"/>
      <c r="R8" s="68"/>
      <c r="S8" s="68"/>
      <c r="T8" s="69"/>
      <c r="U8" s="79">
        <v>1</v>
      </c>
      <c r="V8" s="80"/>
      <c r="W8" s="80"/>
      <c r="X8" s="81"/>
      <c r="Y8" s="76"/>
      <c r="Z8" s="77"/>
      <c r="AA8" s="77"/>
      <c r="AB8" s="77"/>
      <c r="AC8" s="77"/>
      <c r="AD8" s="77"/>
      <c r="AE8" s="77"/>
      <c r="AF8" s="77"/>
      <c r="AG8" s="77"/>
      <c r="AH8" s="77"/>
      <c r="AI8" s="77"/>
      <c r="AJ8" s="78"/>
      <c r="AK8" s="79">
        <v>2</v>
      </c>
      <c r="AL8" s="80"/>
      <c r="AM8" s="80"/>
      <c r="AN8" s="81"/>
      <c r="AO8" s="76"/>
      <c r="AP8" s="77"/>
      <c r="AQ8" s="77"/>
      <c r="AR8" s="77"/>
      <c r="AS8" s="77"/>
      <c r="AT8" s="77"/>
      <c r="AU8" s="77"/>
      <c r="AV8" s="77"/>
      <c r="AW8" s="77"/>
      <c r="AX8" s="77"/>
      <c r="AY8" s="77"/>
      <c r="AZ8" s="78"/>
      <c r="BA8" s="79">
        <v>3</v>
      </c>
      <c r="BB8" s="80"/>
      <c r="BC8" s="80"/>
      <c r="BD8" s="81"/>
      <c r="BE8" s="67"/>
      <c r="BF8" s="68"/>
      <c r="BG8" s="68"/>
      <c r="BH8" s="68"/>
      <c r="BI8" s="68"/>
      <c r="BJ8" s="68"/>
      <c r="BK8" s="68"/>
      <c r="BL8" s="68"/>
      <c r="BM8" s="68"/>
      <c r="BN8" s="68"/>
      <c r="BO8" s="68"/>
      <c r="BP8" s="69"/>
      <c r="BQ8" s="79">
        <v>4</v>
      </c>
      <c r="BR8" s="80"/>
      <c r="BS8" s="80"/>
      <c r="BT8" s="81"/>
      <c r="BU8" s="76"/>
      <c r="BV8" s="77"/>
      <c r="BW8" s="77"/>
      <c r="BX8" s="77"/>
      <c r="BY8" s="77"/>
      <c r="BZ8" s="77"/>
      <c r="CA8" s="77"/>
      <c r="CB8" s="77"/>
      <c r="CC8" s="77"/>
      <c r="CD8" s="77"/>
      <c r="CE8" s="77"/>
      <c r="CF8" s="78"/>
      <c r="CG8" s="15"/>
      <c r="CH8" s="92"/>
      <c r="CI8" s="93"/>
      <c r="CJ8" s="94"/>
      <c r="CK8" s="20"/>
      <c r="CN8"/>
      <c r="CO8"/>
      <c r="CP8"/>
      <c r="CQ8"/>
      <c r="CR8"/>
      <c r="CS8"/>
      <c r="CT8"/>
      <c r="CU8"/>
      <c r="CV8"/>
      <c r="CW8"/>
      <c r="CX8"/>
      <c r="CY8"/>
      <c r="CZ8"/>
      <c r="DA8"/>
      <c r="DL8"/>
      <c r="DM8"/>
    </row>
    <row r="9" spans="2:135" ht="5.0999999999999996" customHeight="1" x14ac:dyDescent="0.25">
      <c r="D9" s="23"/>
      <c r="J9" s="5"/>
      <c r="CJ9" s="24"/>
      <c r="CN9"/>
      <c r="CO9"/>
      <c r="CP9"/>
      <c r="CQ9"/>
      <c r="CR9"/>
      <c r="CS9"/>
      <c r="CT9"/>
      <c r="CU9"/>
      <c r="CV9"/>
      <c r="CW9"/>
      <c r="CX9"/>
      <c r="CY9"/>
      <c r="CZ9"/>
      <c r="DA9"/>
    </row>
    <row r="10" spans="2:135" ht="20.100000000000001" customHeight="1" x14ac:dyDescent="0.25">
      <c r="B10" s="101" t="s">
        <v>16</v>
      </c>
      <c r="C10" s="101"/>
      <c r="E10" s="55" t="s">
        <v>17</v>
      </c>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7"/>
      <c r="CG10" s="8"/>
      <c r="CH10" s="82" t="s">
        <v>18</v>
      </c>
      <c r="CI10" s="82" t="s">
        <v>19</v>
      </c>
      <c r="CJ10" s="85" t="s">
        <v>20</v>
      </c>
      <c r="CK10" s="25"/>
      <c r="CN10"/>
      <c r="CO10"/>
      <c r="CP10"/>
      <c r="CQ10"/>
      <c r="CR10"/>
      <c r="CS10"/>
      <c r="CT10"/>
      <c r="CU10"/>
      <c r="CV10"/>
      <c r="CW10"/>
      <c r="CX10"/>
      <c r="CY10"/>
      <c r="CZ10"/>
      <c r="DA10"/>
      <c r="DL10"/>
      <c r="DM10"/>
    </row>
    <row r="11" spans="2:135" ht="27.6" customHeight="1" x14ac:dyDescent="0.25">
      <c r="B11" s="101"/>
      <c r="C11" s="101"/>
      <c r="D11" s="8"/>
      <c r="E11" s="88" t="s">
        <v>21</v>
      </c>
      <c r="F11" s="88"/>
      <c r="G11" s="88"/>
      <c r="H11" s="88"/>
      <c r="I11" s="88" t="s">
        <v>22</v>
      </c>
      <c r="J11" s="88"/>
      <c r="K11" s="88"/>
      <c r="L11" s="88"/>
      <c r="M11" s="88" t="s">
        <v>23</v>
      </c>
      <c r="N11" s="88"/>
      <c r="O11" s="88"/>
      <c r="P11" s="88"/>
      <c r="Q11" s="88" t="s">
        <v>24</v>
      </c>
      <c r="R11" s="88"/>
      <c r="S11" s="88"/>
      <c r="T11" s="88"/>
      <c r="U11" s="88" t="s">
        <v>25</v>
      </c>
      <c r="V11" s="88"/>
      <c r="W11" s="88"/>
      <c r="X11" s="88"/>
      <c r="Y11" s="88" t="s">
        <v>26</v>
      </c>
      <c r="Z11" s="88"/>
      <c r="AA11" s="88"/>
      <c r="AB11" s="88"/>
      <c r="AC11" s="95" t="s">
        <v>27</v>
      </c>
      <c r="AD11" s="96"/>
      <c r="AE11" s="96"/>
      <c r="AF11" s="97"/>
      <c r="AG11" s="95" t="s">
        <v>28</v>
      </c>
      <c r="AH11" s="96"/>
      <c r="AI11" s="96"/>
      <c r="AJ11" s="97"/>
      <c r="AK11" s="95" t="s">
        <v>29</v>
      </c>
      <c r="AL11" s="96"/>
      <c r="AM11" s="96"/>
      <c r="AN11" s="97"/>
      <c r="AO11" s="95" t="s">
        <v>30</v>
      </c>
      <c r="AP11" s="96"/>
      <c r="AQ11" s="96"/>
      <c r="AR11" s="97"/>
      <c r="AS11" s="95"/>
      <c r="AT11" s="96"/>
      <c r="AU11" s="96"/>
      <c r="AV11" s="97"/>
      <c r="AW11" s="95"/>
      <c r="AX11" s="96"/>
      <c r="AY11" s="96"/>
      <c r="AZ11" s="97"/>
      <c r="BA11" s="95"/>
      <c r="BB11" s="96"/>
      <c r="BC11" s="96"/>
      <c r="BD11" s="97"/>
      <c r="BE11" s="95"/>
      <c r="BF11" s="96"/>
      <c r="BG11" s="96"/>
      <c r="BH11" s="97"/>
      <c r="BI11" s="95"/>
      <c r="BJ11" s="96"/>
      <c r="BK11" s="96"/>
      <c r="BL11" s="97"/>
      <c r="BM11" s="95"/>
      <c r="BN11" s="96"/>
      <c r="BO11" s="96"/>
      <c r="BP11" s="97"/>
      <c r="BQ11" s="95"/>
      <c r="BR11" s="96"/>
      <c r="BS11" s="96"/>
      <c r="BT11" s="97"/>
      <c r="BU11" s="95"/>
      <c r="BV11" s="96"/>
      <c r="BW11" s="96"/>
      <c r="BX11" s="97"/>
      <c r="BY11" s="95"/>
      <c r="BZ11" s="96"/>
      <c r="CA11" s="96"/>
      <c r="CB11" s="97"/>
      <c r="CC11" s="95"/>
      <c r="CD11" s="96"/>
      <c r="CE11" s="96"/>
      <c r="CF11" s="97"/>
      <c r="CG11" s="26"/>
      <c r="CH11" s="83"/>
      <c r="CI11" s="83"/>
      <c r="CJ11" s="86"/>
      <c r="CK11" s="27"/>
      <c r="CO11"/>
      <c r="CP11"/>
      <c r="CQ11"/>
      <c r="CR11"/>
      <c r="CS11"/>
      <c r="CT11"/>
      <c r="CU11"/>
      <c r="CV11"/>
      <c r="CW11"/>
      <c r="CX11"/>
      <c r="CY11"/>
      <c r="CZ11"/>
      <c r="DA11"/>
      <c r="DL11"/>
      <c r="DM11"/>
    </row>
    <row r="12" spans="2:135" ht="27.6" customHeight="1" x14ac:dyDescent="0.25">
      <c r="B12" s="101"/>
      <c r="C12" s="101"/>
      <c r="D12" s="8"/>
      <c r="E12" s="89"/>
      <c r="F12" s="89"/>
      <c r="G12" s="89"/>
      <c r="H12" s="89"/>
      <c r="I12" s="89"/>
      <c r="J12" s="89"/>
      <c r="K12" s="89"/>
      <c r="L12" s="89"/>
      <c r="M12" s="89"/>
      <c r="N12" s="89"/>
      <c r="O12" s="89"/>
      <c r="P12" s="89"/>
      <c r="Q12" s="89"/>
      <c r="R12" s="89"/>
      <c r="S12" s="89"/>
      <c r="T12" s="89"/>
      <c r="U12" s="89"/>
      <c r="V12" s="89"/>
      <c r="W12" s="89"/>
      <c r="X12" s="89"/>
      <c r="Y12" s="89"/>
      <c r="Z12" s="89"/>
      <c r="AA12" s="89"/>
      <c r="AB12" s="89"/>
      <c r="AC12" s="98"/>
      <c r="AD12" s="99"/>
      <c r="AE12" s="99"/>
      <c r="AF12" s="100"/>
      <c r="AG12" s="98"/>
      <c r="AH12" s="99"/>
      <c r="AI12" s="99"/>
      <c r="AJ12" s="100"/>
      <c r="AK12" s="98"/>
      <c r="AL12" s="99"/>
      <c r="AM12" s="99"/>
      <c r="AN12" s="100"/>
      <c r="AO12" s="98"/>
      <c r="AP12" s="99"/>
      <c r="AQ12" s="99"/>
      <c r="AR12" s="100"/>
      <c r="AS12" s="98"/>
      <c r="AT12" s="99"/>
      <c r="AU12" s="99"/>
      <c r="AV12" s="100"/>
      <c r="AW12" s="98"/>
      <c r="AX12" s="99"/>
      <c r="AY12" s="99"/>
      <c r="AZ12" s="100"/>
      <c r="BA12" s="98"/>
      <c r="BB12" s="99"/>
      <c r="BC12" s="99"/>
      <c r="BD12" s="100"/>
      <c r="BE12" s="98"/>
      <c r="BF12" s="99"/>
      <c r="BG12" s="99"/>
      <c r="BH12" s="100"/>
      <c r="BI12" s="98"/>
      <c r="BJ12" s="99"/>
      <c r="BK12" s="99"/>
      <c r="BL12" s="100"/>
      <c r="BM12" s="98"/>
      <c r="BN12" s="99"/>
      <c r="BO12" s="99"/>
      <c r="BP12" s="100"/>
      <c r="BQ12" s="98"/>
      <c r="BR12" s="99"/>
      <c r="BS12" s="99"/>
      <c r="BT12" s="100"/>
      <c r="BU12" s="98"/>
      <c r="BV12" s="99"/>
      <c r="BW12" s="99"/>
      <c r="BX12" s="100"/>
      <c r="BY12" s="98"/>
      <c r="BZ12" s="99"/>
      <c r="CA12" s="99"/>
      <c r="CB12" s="100"/>
      <c r="CC12" s="98"/>
      <c r="CD12" s="99"/>
      <c r="CE12" s="99"/>
      <c r="CF12" s="100"/>
      <c r="CG12" s="26"/>
      <c r="CH12" s="84"/>
      <c r="CI12" s="84"/>
      <c r="CJ12" s="87"/>
      <c r="CK12" s="5"/>
      <c r="CO12"/>
      <c r="CP12"/>
      <c r="CQ12"/>
      <c r="CR12"/>
      <c r="CS12"/>
      <c r="CT12"/>
      <c r="CU12"/>
      <c r="CV12"/>
      <c r="CW12"/>
      <c r="CX12"/>
      <c r="CY12"/>
      <c r="CZ12"/>
      <c r="DA12"/>
      <c r="DL12"/>
      <c r="DM12"/>
    </row>
    <row r="13" spans="2:135" ht="6" customHeight="1" x14ac:dyDescent="0.25">
      <c r="B13" s="102" t="s">
        <v>31</v>
      </c>
      <c r="C13" s="102"/>
      <c r="D13" s="28"/>
      <c r="E13" s="31"/>
      <c r="F13" s="43"/>
      <c r="G13" s="43"/>
      <c r="H13" s="33"/>
      <c r="I13" s="31"/>
      <c r="J13" s="43"/>
      <c r="K13" s="43"/>
      <c r="L13" s="33"/>
      <c r="M13" s="31"/>
      <c r="N13" s="43"/>
      <c r="O13" s="43"/>
      <c r="P13" s="33"/>
      <c r="Q13" s="31"/>
      <c r="R13" s="43"/>
      <c r="S13" s="43"/>
      <c r="T13" s="33"/>
      <c r="U13" s="31"/>
      <c r="V13" s="43"/>
      <c r="W13" s="43"/>
      <c r="X13" s="33"/>
      <c r="Y13" s="31"/>
      <c r="Z13" s="43"/>
      <c r="AA13" s="43"/>
      <c r="AB13" s="33"/>
      <c r="AC13" s="31"/>
      <c r="AD13" s="43"/>
      <c r="AE13" s="43"/>
      <c r="AF13" s="33"/>
      <c r="AG13" s="31"/>
      <c r="AH13" s="43"/>
      <c r="AI13" s="43"/>
      <c r="AJ13" s="33"/>
      <c r="AK13" s="31"/>
      <c r="AL13" s="43"/>
      <c r="AM13" s="43"/>
      <c r="AN13" s="33"/>
      <c r="AO13" s="31"/>
      <c r="AP13" s="43"/>
      <c r="AQ13" s="43"/>
      <c r="AR13" s="33"/>
      <c r="AS13" s="31"/>
      <c r="AT13" s="43"/>
      <c r="AU13" s="43"/>
      <c r="AV13" s="33"/>
      <c r="AW13" s="31"/>
      <c r="AX13" s="43"/>
      <c r="AY13" s="43"/>
      <c r="AZ13" s="33"/>
      <c r="BA13" s="31"/>
      <c r="BB13" s="43"/>
      <c r="BC13" s="43"/>
      <c r="BD13" s="33"/>
      <c r="BE13" s="31"/>
      <c r="BF13" s="43"/>
      <c r="BG13" s="43"/>
      <c r="BH13" s="33"/>
      <c r="BI13" s="31"/>
      <c r="BJ13" s="43"/>
      <c r="BK13" s="43"/>
      <c r="BL13" s="33"/>
      <c r="BM13" s="31"/>
      <c r="BN13" s="43"/>
      <c r="BO13" s="43"/>
      <c r="BP13" s="33"/>
      <c r="BQ13" s="31"/>
      <c r="BR13" s="43"/>
      <c r="BS13" s="43"/>
      <c r="BT13" s="33"/>
      <c r="BU13" s="31"/>
      <c r="BV13" s="43"/>
      <c r="BW13" s="43"/>
      <c r="BX13" s="33"/>
      <c r="BY13" s="31"/>
      <c r="BZ13" s="43"/>
      <c r="CA13" s="43"/>
      <c r="CB13" s="33"/>
      <c r="CC13" s="31"/>
      <c r="CD13" s="43"/>
      <c r="CE13" s="43"/>
      <c r="CF13" s="33"/>
      <c r="CH13" s="29"/>
      <c r="CI13" s="30"/>
      <c r="CJ13" s="103">
        <f>IF(ISBLANK(B13),"",IF(CI14&gt;=CH14,3,IF(CI14=(CH14-1),2,1)))</f>
        <v>2</v>
      </c>
      <c r="CK13" s="5"/>
      <c r="CO13"/>
      <c r="CP13"/>
      <c r="CQ13"/>
      <c r="CR13"/>
      <c r="CS13"/>
      <c r="CT13"/>
      <c r="CU13"/>
      <c r="CV13"/>
      <c r="CW13"/>
      <c r="CX13"/>
      <c r="CY13"/>
      <c r="CZ13"/>
      <c r="DA13"/>
      <c r="DL13"/>
      <c r="DM13"/>
    </row>
    <row r="14" spans="2:135" ht="15" customHeight="1" x14ac:dyDescent="0.25">
      <c r="B14" s="102"/>
      <c r="C14" s="102"/>
      <c r="D14" s="28"/>
      <c r="E14" s="31"/>
      <c r="F14" s="32"/>
      <c r="G14" s="32"/>
      <c r="H14" s="33"/>
      <c r="I14" s="31"/>
      <c r="J14" s="32"/>
      <c r="K14" s="32"/>
      <c r="L14" s="33"/>
      <c r="M14" s="31"/>
      <c r="N14" s="32"/>
      <c r="O14" s="32"/>
      <c r="P14" s="33"/>
      <c r="Q14" s="31"/>
      <c r="R14" s="32"/>
      <c r="S14" s="32"/>
      <c r="T14" s="33"/>
      <c r="U14" s="31"/>
      <c r="V14" s="32"/>
      <c r="W14" s="32"/>
      <c r="X14" s="33"/>
      <c r="Y14" s="31"/>
      <c r="Z14" s="32"/>
      <c r="AA14" s="32"/>
      <c r="AB14" s="33"/>
      <c r="AC14" s="31"/>
      <c r="AD14" s="32"/>
      <c r="AE14" s="32"/>
      <c r="AF14" s="33"/>
      <c r="AG14" s="31"/>
      <c r="AH14" s="32"/>
      <c r="AI14" s="32"/>
      <c r="AJ14" s="33"/>
      <c r="AK14" s="31"/>
      <c r="AL14" s="32"/>
      <c r="AM14" s="32"/>
      <c r="AN14" s="33"/>
      <c r="AO14" s="31"/>
      <c r="AP14" s="32"/>
      <c r="AQ14" s="32"/>
      <c r="AR14" s="33"/>
      <c r="AS14" s="31"/>
      <c r="AT14" s="32"/>
      <c r="AU14" s="32"/>
      <c r="AV14" s="33"/>
      <c r="AW14" s="31"/>
      <c r="AX14" s="32"/>
      <c r="AY14" s="32"/>
      <c r="AZ14" s="33"/>
      <c r="BA14" s="31"/>
      <c r="BB14" s="32"/>
      <c r="BC14" s="32"/>
      <c r="BD14" s="33"/>
      <c r="BE14" s="31"/>
      <c r="BF14" s="32"/>
      <c r="BG14" s="32"/>
      <c r="BH14" s="33"/>
      <c r="BI14" s="31"/>
      <c r="BJ14" s="32"/>
      <c r="BK14" s="32"/>
      <c r="BL14" s="33"/>
      <c r="BM14" s="31"/>
      <c r="BN14" s="32"/>
      <c r="BO14" s="32"/>
      <c r="BP14" s="33"/>
      <c r="BQ14" s="31"/>
      <c r="BR14" s="32"/>
      <c r="BS14" s="32"/>
      <c r="BT14" s="33"/>
      <c r="BU14" s="31"/>
      <c r="BV14" s="32"/>
      <c r="BW14" s="32"/>
      <c r="BX14" s="33"/>
      <c r="BY14" s="31"/>
      <c r="BZ14" s="32"/>
      <c r="CA14" s="32"/>
      <c r="CB14" s="33"/>
      <c r="CC14" s="31"/>
      <c r="CD14" s="32"/>
      <c r="CE14" s="32"/>
      <c r="CF14" s="33"/>
      <c r="CH14" s="34">
        <v>3</v>
      </c>
      <c r="CI14" s="35">
        <f>IF(ISBLANK(B13),"",COUNTIF(B16:CF16,"&gt;=3"))</f>
        <v>2</v>
      </c>
      <c r="CJ14" s="103"/>
      <c r="CK14" s="20"/>
      <c r="CO14"/>
      <c r="CP14"/>
      <c r="CQ14"/>
      <c r="CR14"/>
      <c r="CS14"/>
      <c r="CT14"/>
      <c r="CU14"/>
      <c r="CV14"/>
      <c r="CW14"/>
      <c r="CX14"/>
      <c r="CY14"/>
      <c r="CZ14"/>
      <c r="DA14"/>
      <c r="DL14"/>
      <c r="DM14"/>
    </row>
    <row r="15" spans="2:135" ht="15" customHeight="1" x14ac:dyDescent="0.25">
      <c r="B15" s="102"/>
      <c r="C15" s="102"/>
      <c r="D15" s="28"/>
      <c r="E15" s="31"/>
      <c r="F15" s="32"/>
      <c r="G15" s="32"/>
      <c r="H15" s="33"/>
      <c r="I15" s="31"/>
      <c r="J15" s="32"/>
      <c r="K15" s="32"/>
      <c r="L15" s="33"/>
      <c r="M15" s="31"/>
      <c r="N15" s="32"/>
      <c r="O15" s="32"/>
      <c r="P15" s="33"/>
      <c r="Q15" s="31"/>
      <c r="R15" s="32"/>
      <c r="S15" s="32"/>
      <c r="T15" s="33"/>
      <c r="U15" s="31"/>
      <c r="V15" s="32"/>
      <c r="W15" s="32"/>
      <c r="X15" s="33"/>
      <c r="Y15" s="31"/>
      <c r="Z15" s="32"/>
      <c r="AA15" s="32"/>
      <c r="AB15" s="33"/>
      <c r="AC15" s="31"/>
      <c r="AD15" s="32"/>
      <c r="AE15" s="32"/>
      <c r="AF15" s="33"/>
      <c r="AG15" s="31"/>
      <c r="AH15" s="32"/>
      <c r="AI15" s="32"/>
      <c r="AJ15" s="33"/>
      <c r="AK15" s="31"/>
      <c r="AL15" s="32"/>
      <c r="AM15" s="32"/>
      <c r="AN15" s="33"/>
      <c r="AO15" s="31"/>
      <c r="AP15" s="32"/>
      <c r="AQ15" s="32"/>
      <c r="AR15" s="33"/>
      <c r="AS15" s="31"/>
      <c r="AT15" s="32"/>
      <c r="AU15" s="32"/>
      <c r="AV15" s="33"/>
      <c r="AW15" s="31"/>
      <c r="AX15" s="32"/>
      <c r="AY15" s="32"/>
      <c r="AZ15" s="33"/>
      <c r="BA15" s="31"/>
      <c r="BB15" s="32"/>
      <c r="BC15" s="32"/>
      <c r="BD15" s="33"/>
      <c r="BE15" s="31"/>
      <c r="BF15" s="32"/>
      <c r="BG15" s="32"/>
      <c r="BH15" s="33"/>
      <c r="BI15" s="31"/>
      <c r="BJ15" s="32"/>
      <c r="BK15" s="32"/>
      <c r="BL15" s="33"/>
      <c r="BM15" s="31"/>
      <c r="BN15" s="32"/>
      <c r="BO15" s="32"/>
      <c r="BP15" s="33"/>
      <c r="BQ15" s="31"/>
      <c r="BR15" s="32"/>
      <c r="BS15" s="32"/>
      <c r="BT15" s="33"/>
      <c r="BU15" s="31"/>
      <c r="BV15" s="32"/>
      <c r="BW15" s="32"/>
      <c r="BX15" s="33"/>
      <c r="BY15" s="31"/>
      <c r="BZ15" s="32"/>
      <c r="CA15" s="32"/>
      <c r="CB15" s="33"/>
      <c r="CC15" s="31"/>
      <c r="CD15" s="32"/>
      <c r="CE15" s="32"/>
      <c r="CF15" s="33"/>
      <c r="CH15" s="104" t="str">
        <f>IF(ISBLANK(B13),"","personas cualificadas")</f>
        <v>personas cualificadas</v>
      </c>
      <c r="CI15" s="104" t="str">
        <f>IF(ISBLANK(B13),"","personas cualificadas")</f>
        <v>personas cualificadas</v>
      </c>
      <c r="CJ15" s="103"/>
      <c r="CK15" s="20"/>
      <c r="CO15"/>
      <c r="CP15"/>
      <c r="CS15"/>
      <c r="CT15"/>
      <c r="CU15"/>
      <c r="CV15"/>
      <c r="CW15"/>
      <c r="CX15"/>
      <c r="CY15"/>
      <c r="CZ15"/>
      <c r="DA15"/>
      <c r="DL15"/>
      <c r="DM15"/>
    </row>
    <row r="16" spans="2:135" x14ac:dyDescent="0.25">
      <c r="B16" s="102"/>
      <c r="C16" s="102"/>
      <c r="D16" s="28"/>
      <c r="E16" s="58"/>
      <c r="F16" s="59"/>
      <c r="G16" s="59"/>
      <c r="H16" s="60"/>
      <c r="I16" s="58">
        <v>4</v>
      </c>
      <c r="J16" s="59"/>
      <c r="K16" s="59"/>
      <c r="L16" s="60"/>
      <c r="M16" s="58"/>
      <c r="N16" s="59"/>
      <c r="O16" s="59"/>
      <c r="P16" s="60"/>
      <c r="Q16" s="58"/>
      <c r="R16" s="59"/>
      <c r="S16" s="59"/>
      <c r="T16" s="60"/>
      <c r="U16" s="58"/>
      <c r="V16" s="59"/>
      <c r="W16" s="59"/>
      <c r="X16" s="60"/>
      <c r="Y16" s="58"/>
      <c r="Z16" s="59"/>
      <c r="AA16" s="59"/>
      <c r="AB16" s="60"/>
      <c r="AC16" s="58">
        <v>4</v>
      </c>
      <c r="AD16" s="59"/>
      <c r="AE16" s="59"/>
      <c r="AF16" s="60"/>
      <c r="AG16" s="58"/>
      <c r="AH16" s="59"/>
      <c r="AI16" s="59"/>
      <c r="AJ16" s="60"/>
      <c r="AK16" s="58"/>
      <c r="AL16" s="59"/>
      <c r="AM16" s="59"/>
      <c r="AN16" s="60"/>
      <c r="AO16" s="58"/>
      <c r="AP16" s="59"/>
      <c r="AQ16" s="59"/>
      <c r="AR16" s="60"/>
      <c r="AS16" s="58"/>
      <c r="AT16" s="59"/>
      <c r="AU16" s="59"/>
      <c r="AV16" s="60"/>
      <c r="AW16" s="58"/>
      <c r="AX16" s="59"/>
      <c r="AY16" s="59"/>
      <c r="AZ16" s="60"/>
      <c r="BA16" s="58"/>
      <c r="BB16" s="59"/>
      <c r="BC16" s="59"/>
      <c r="BD16" s="60"/>
      <c r="BE16" s="58"/>
      <c r="BF16" s="59"/>
      <c r="BG16" s="59"/>
      <c r="BH16" s="60"/>
      <c r="BI16" s="58"/>
      <c r="BJ16" s="59"/>
      <c r="BK16" s="59"/>
      <c r="BL16" s="60"/>
      <c r="BM16" s="58"/>
      <c r="BN16" s="59"/>
      <c r="BO16" s="59"/>
      <c r="BP16" s="60"/>
      <c r="BQ16" s="58"/>
      <c r="BR16" s="59"/>
      <c r="BS16" s="59"/>
      <c r="BT16" s="60"/>
      <c r="BU16" s="58"/>
      <c r="BV16" s="59"/>
      <c r="BW16" s="59"/>
      <c r="BX16" s="60"/>
      <c r="BY16" s="58"/>
      <c r="BZ16" s="59"/>
      <c r="CA16" s="59"/>
      <c r="CB16" s="60"/>
      <c r="CC16" s="58"/>
      <c r="CD16" s="59"/>
      <c r="CE16" s="59"/>
      <c r="CF16" s="60"/>
      <c r="CG16" s="36"/>
      <c r="CH16" s="105"/>
      <c r="CI16" s="105"/>
      <c r="CJ16" s="103"/>
      <c r="CK16" s="20"/>
      <c r="CO16"/>
      <c r="CP16"/>
      <c r="CS16"/>
      <c r="CT16"/>
      <c r="CU16"/>
      <c r="CV16"/>
      <c r="CW16"/>
      <c r="CX16"/>
      <c r="CY16"/>
      <c r="CZ16"/>
      <c r="DA16"/>
      <c r="DL16"/>
      <c r="DM16"/>
    </row>
    <row r="17" spans="2:117" ht="6" customHeight="1" x14ac:dyDescent="0.25">
      <c r="B17" s="102" t="s">
        <v>32</v>
      </c>
      <c r="C17" s="102"/>
      <c r="D17" s="28"/>
      <c r="E17" s="31"/>
      <c r="F17" s="43"/>
      <c r="G17" s="43"/>
      <c r="H17" s="33"/>
      <c r="I17" s="31"/>
      <c r="J17" s="43"/>
      <c r="K17" s="43"/>
      <c r="L17" s="33"/>
      <c r="M17" s="31"/>
      <c r="N17" s="43"/>
      <c r="O17" s="43"/>
      <c r="P17" s="33"/>
      <c r="Q17" s="31"/>
      <c r="R17" s="43"/>
      <c r="S17" s="43"/>
      <c r="T17" s="33"/>
      <c r="U17" s="31"/>
      <c r="V17" s="43"/>
      <c r="W17" s="43"/>
      <c r="X17" s="33"/>
      <c r="Y17" s="31"/>
      <c r="Z17" s="43"/>
      <c r="AA17" s="43"/>
      <c r="AB17" s="33"/>
      <c r="AC17" s="31"/>
      <c r="AD17" s="43"/>
      <c r="AE17" s="43"/>
      <c r="AF17" s="33"/>
      <c r="AG17" s="31"/>
      <c r="AH17" s="43"/>
      <c r="AI17" s="43"/>
      <c r="AJ17" s="33"/>
      <c r="AK17" s="31"/>
      <c r="AL17" s="43"/>
      <c r="AM17" s="43"/>
      <c r="AN17" s="33"/>
      <c r="AO17" s="31"/>
      <c r="AP17" s="43"/>
      <c r="AQ17" s="43"/>
      <c r="AR17" s="33"/>
      <c r="AS17" s="31"/>
      <c r="AT17" s="43"/>
      <c r="AU17" s="43"/>
      <c r="AV17" s="33"/>
      <c r="AW17" s="31"/>
      <c r="AX17" s="43"/>
      <c r="AY17" s="43"/>
      <c r="AZ17" s="33"/>
      <c r="BA17" s="31"/>
      <c r="BB17" s="43"/>
      <c r="BC17" s="43"/>
      <c r="BD17" s="33"/>
      <c r="BE17" s="31"/>
      <c r="BF17" s="43"/>
      <c r="BG17" s="43"/>
      <c r="BH17" s="33"/>
      <c r="BI17" s="31"/>
      <c r="BJ17" s="43"/>
      <c r="BK17" s="43"/>
      <c r="BL17" s="33"/>
      <c r="BM17" s="31"/>
      <c r="BN17" s="43"/>
      <c r="BO17" s="43"/>
      <c r="BP17" s="33"/>
      <c r="BQ17" s="31"/>
      <c r="BR17" s="43"/>
      <c r="BS17" s="43"/>
      <c r="BT17" s="33"/>
      <c r="BU17" s="31"/>
      <c r="BV17" s="43"/>
      <c r="BW17" s="43"/>
      <c r="BX17" s="33"/>
      <c r="BY17" s="31"/>
      <c r="BZ17" s="43"/>
      <c r="CA17" s="43"/>
      <c r="CB17" s="33"/>
      <c r="CC17" s="31"/>
      <c r="CD17" s="43"/>
      <c r="CE17" s="43"/>
      <c r="CF17" s="33"/>
      <c r="CH17" s="29"/>
      <c r="CI17" s="30"/>
      <c r="CJ17" s="103">
        <f>IF(ISBLANK(B17),"",IF(CI18&gt;=CH18,3,IF(CI18=(CH18-1),2,1)))</f>
        <v>3</v>
      </c>
      <c r="CK17" s="20"/>
      <c r="CN17"/>
      <c r="CO17"/>
      <c r="CP17"/>
      <c r="CQ17"/>
      <c r="CR17"/>
      <c r="CS17"/>
      <c r="CT17"/>
      <c r="CU17"/>
      <c r="CV17"/>
      <c r="CW17"/>
      <c r="CX17"/>
      <c r="CY17"/>
      <c r="CZ17"/>
      <c r="DA17"/>
      <c r="DL17"/>
      <c r="DM17"/>
    </row>
    <row r="18" spans="2:117" ht="15" customHeight="1" x14ac:dyDescent="0.25">
      <c r="B18" s="102"/>
      <c r="C18" s="102"/>
      <c r="D18" s="28"/>
      <c r="E18" s="31"/>
      <c r="F18" s="32"/>
      <c r="G18" s="32"/>
      <c r="H18" s="33"/>
      <c r="I18" s="31"/>
      <c r="J18" s="32"/>
      <c r="K18" s="32"/>
      <c r="L18" s="33"/>
      <c r="M18" s="31"/>
      <c r="N18" s="32"/>
      <c r="O18" s="32"/>
      <c r="P18" s="33"/>
      <c r="Q18" s="31"/>
      <c r="R18" s="32"/>
      <c r="S18" s="32"/>
      <c r="T18" s="33"/>
      <c r="U18" s="31"/>
      <c r="V18" s="32"/>
      <c r="W18" s="32"/>
      <c r="X18" s="33"/>
      <c r="Y18" s="31"/>
      <c r="Z18" s="32"/>
      <c r="AA18" s="32"/>
      <c r="AB18" s="33"/>
      <c r="AC18" s="31"/>
      <c r="AD18" s="32"/>
      <c r="AE18" s="32"/>
      <c r="AF18" s="33"/>
      <c r="AG18" s="31"/>
      <c r="AH18" s="32"/>
      <c r="AI18" s="32"/>
      <c r="AJ18" s="33"/>
      <c r="AK18" s="31"/>
      <c r="AL18" s="32"/>
      <c r="AM18" s="32"/>
      <c r="AN18" s="33"/>
      <c r="AO18" s="31"/>
      <c r="AP18" s="32"/>
      <c r="AQ18" s="32"/>
      <c r="AR18" s="33"/>
      <c r="AS18" s="31"/>
      <c r="AT18" s="32"/>
      <c r="AU18" s="32"/>
      <c r="AV18" s="33"/>
      <c r="AW18" s="31"/>
      <c r="AX18" s="32"/>
      <c r="AY18" s="32"/>
      <c r="AZ18" s="33"/>
      <c r="BA18" s="31"/>
      <c r="BB18" s="32"/>
      <c r="BC18" s="32"/>
      <c r="BD18" s="33"/>
      <c r="BE18" s="31"/>
      <c r="BF18" s="32"/>
      <c r="BG18" s="32"/>
      <c r="BH18" s="33"/>
      <c r="BI18" s="31"/>
      <c r="BJ18" s="32"/>
      <c r="BK18" s="32"/>
      <c r="BL18" s="33"/>
      <c r="BM18" s="31"/>
      <c r="BN18" s="32"/>
      <c r="BO18" s="32"/>
      <c r="BP18" s="33"/>
      <c r="BQ18" s="31"/>
      <c r="BR18" s="32"/>
      <c r="BS18" s="32"/>
      <c r="BT18" s="33"/>
      <c r="BU18" s="31"/>
      <c r="BV18" s="32"/>
      <c r="BW18" s="32"/>
      <c r="BX18" s="33"/>
      <c r="BY18" s="31"/>
      <c r="BZ18" s="32"/>
      <c r="CA18" s="32"/>
      <c r="CB18" s="33"/>
      <c r="CC18" s="31"/>
      <c r="CD18" s="32"/>
      <c r="CE18" s="32"/>
      <c r="CF18" s="33"/>
      <c r="CH18" s="34">
        <v>3</v>
      </c>
      <c r="CI18" s="35">
        <f>IF(ISBLANK(B17),"",COUNTIF(B20:CF20,"&gt;=3"))</f>
        <v>4</v>
      </c>
      <c r="CJ18" s="103"/>
      <c r="CK18" s="20"/>
      <c r="CN18"/>
      <c r="CO18"/>
      <c r="CP18"/>
      <c r="CQ18"/>
      <c r="CR18"/>
      <c r="CS18"/>
      <c r="CT18"/>
      <c r="CU18"/>
      <c r="CV18"/>
      <c r="CW18"/>
      <c r="CX18"/>
      <c r="CY18"/>
      <c r="CZ18"/>
      <c r="DA18"/>
      <c r="DL18"/>
      <c r="DM18"/>
    </row>
    <row r="19" spans="2:117" ht="15" customHeight="1" x14ac:dyDescent="0.25">
      <c r="B19" s="102"/>
      <c r="C19" s="102"/>
      <c r="D19" s="28"/>
      <c r="E19" s="31"/>
      <c r="F19" s="32"/>
      <c r="G19" s="32"/>
      <c r="H19" s="33"/>
      <c r="I19" s="31"/>
      <c r="J19" s="32"/>
      <c r="K19" s="32"/>
      <c r="L19" s="33"/>
      <c r="M19" s="31"/>
      <c r="N19" s="32"/>
      <c r="O19" s="32"/>
      <c r="P19" s="33"/>
      <c r="Q19" s="31"/>
      <c r="R19" s="32"/>
      <c r="S19" s="32"/>
      <c r="T19" s="33"/>
      <c r="U19" s="31"/>
      <c r="V19" s="32"/>
      <c r="W19" s="32"/>
      <c r="X19" s="33"/>
      <c r="Y19" s="31"/>
      <c r="Z19" s="32"/>
      <c r="AA19" s="32"/>
      <c r="AB19" s="33"/>
      <c r="AC19" s="31"/>
      <c r="AD19" s="32"/>
      <c r="AE19" s="32"/>
      <c r="AF19" s="33"/>
      <c r="AG19" s="31"/>
      <c r="AH19" s="32"/>
      <c r="AI19" s="32"/>
      <c r="AJ19" s="33"/>
      <c r="AK19" s="31"/>
      <c r="AL19" s="32"/>
      <c r="AM19" s="32"/>
      <c r="AN19" s="33"/>
      <c r="AO19" s="31"/>
      <c r="AP19" s="32"/>
      <c r="AQ19" s="32"/>
      <c r="AR19" s="33"/>
      <c r="AS19" s="31"/>
      <c r="AT19" s="32"/>
      <c r="AU19" s="32"/>
      <c r="AV19" s="33"/>
      <c r="AW19" s="31"/>
      <c r="AX19" s="32"/>
      <c r="AY19" s="32"/>
      <c r="AZ19" s="33"/>
      <c r="BA19" s="31"/>
      <c r="BB19" s="32"/>
      <c r="BC19" s="32"/>
      <c r="BD19" s="33"/>
      <c r="BE19" s="31"/>
      <c r="BF19" s="32"/>
      <c r="BG19" s="32"/>
      <c r="BH19" s="33"/>
      <c r="BI19" s="31"/>
      <c r="BJ19" s="32"/>
      <c r="BK19" s="32"/>
      <c r="BL19" s="33"/>
      <c r="BM19" s="31"/>
      <c r="BN19" s="32"/>
      <c r="BO19" s="32"/>
      <c r="BP19" s="33"/>
      <c r="BQ19" s="31"/>
      <c r="BR19" s="32"/>
      <c r="BS19" s="32"/>
      <c r="BT19" s="33"/>
      <c r="BU19" s="31"/>
      <c r="BV19" s="32"/>
      <c r="BW19" s="32"/>
      <c r="BX19" s="33"/>
      <c r="BY19" s="31"/>
      <c r="BZ19" s="32"/>
      <c r="CA19" s="32"/>
      <c r="CB19" s="33"/>
      <c r="CC19" s="31"/>
      <c r="CD19" s="32"/>
      <c r="CE19" s="32"/>
      <c r="CF19" s="33"/>
      <c r="CH19" s="104" t="str">
        <f>IF(ISBLANK(B17),"","personas cualificadas")</f>
        <v>personas cualificadas</v>
      </c>
      <c r="CI19" s="104" t="str">
        <f>IF(ISBLANK(B17),"","personas cualificadas")</f>
        <v>personas cualificadas</v>
      </c>
      <c r="CJ19" s="103"/>
      <c r="CK19" s="20"/>
      <c r="CN19"/>
      <c r="CO19"/>
      <c r="CP19"/>
      <c r="CQ19"/>
      <c r="CR19"/>
      <c r="CS19"/>
      <c r="CT19"/>
      <c r="CU19"/>
      <c r="CV19"/>
      <c r="CW19"/>
      <c r="CX19"/>
      <c r="CY19"/>
      <c r="CZ19"/>
      <c r="DA19"/>
      <c r="DL19"/>
      <c r="DM19"/>
    </row>
    <row r="20" spans="2:117" x14ac:dyDescent="0.25">
      <c r="B20" s="102"/>
      <c r="C20" s="102"/>
      <c r="D20" s="28"/>
      <c r="E20" s="58">
        <v>4</v>
      </c>
      <c r="F20" s="59"/>
      <c r="G20" s="59"/>
      <c r="H20" s="60"/>
      <c r="I20" s="58">
        <v>4</v>
      </c>
      <c r="J20" s="59"/>
      <c r="K20" s="59"/>
      <c r="L20" s="60"/>
      <c r="M20" s="58">
        <v>4</v>
      </c>
      <c r="N20" s="59"/>
      <c r="O20" s="59"/>
      <c r="P20" s="60"/>
      <c r="Q20" s="58"/>
      <c r="R20" s="59"/>
      <c r="S20" s="59"/>
      <c r="T20" s="60"/>
      <c r="U20" s="58"/>
      <c r="V20" s="59"/>
      <c r="W20" s="59"/>
      <c r="X20" s="60"/>
      <c r="Y20" s="58"/>
      <c r="Z20" s="59"/>
      <c r="AA20" s="59"/>
      <c r="AB20" s="60"/>
      <c r="AC20" s="58">
        <v>4</v>
      </c>
      <c r="AD20" s="59"/>
      <c r="AE20" s="59"/>
      <c r="AF20" s="60"/>
      <c r="AG20" s="58"/>
      <c r="AH20" s="59"/>
      <c r="AI20" s="59"/>
      <c r="AJ20" s="60"/>
      <c r="AK20" s="58"/>
      <c r="AL20" s="59"/>
      <c r="AM20" s="59"/>
      <c r="AN20" s="60"/>
      <c r="AO20" s="58"/>
      <c r="AP20" s="59"/>
      <c r="AQ20" s="59"/>
      <c r="AR20" s="60"/>
      <c r="AS20" s="58"/>
      <c r="AT20" s="59"/>
      <c r="AU20" s="59"/>
      <c r="AV20" s="60"/>
      <c r="AW20" s="58"/>
      <c r="AX20" s="59"/>
      <c r="AY20" s="59"/>
      <c r="AZ20" s="60"/>
      <c r="BA20" s="58"/>
      <c r="BB20" s="59"/>
      <c r="BC20" s="59"/>
      <c r="BD20" s="60"/>
      <c r="BE20" s="58"/>
      <c r="BF20" s="59"/>
      <c r="BG20" s="59"/>
      <c r="BH20" s="60"/>
      <c r="BI20" s="58"/>
      <c r="BJ20" s="59"/>
      <c r="BK20" s="59"/>
      <c r="BL20" s="60"/>
      <c r="BM20" s="58"/>
      <c r="BN20" s="59"/>
      <c r="BO20" s="59"/>
      <c r="BP20" s="60"/>
      <c r="BQ20" s="58"/>
      <c r="BR20" s="59"/>
      <c r="BS20" s="59"/>
      <c r="BT20" s="60"/>
      <c r="BU20" s="58"/>
      <c r="BV20" s="59"/>
      <c r="BW20" s="59"/>
      <c r="BX20" s="60"/>
      <c r="BY20" s="58"/>
      <c r="BZ20" s="59"/>
      <c r="CA20" s="59"/>
      <c r="CB20" s="60"/>
      <c r="CC20" s="58"/>
      <c r="CD20" s="59"/>
      <c r="CE20" s="59"/>
      <c r="CF20" s="60"/>
      <c r="CG20" s="36"/>
      <c r="CH20" s="105"/>
      <c r="CI20" s="105"/>
      <c r="CJ20" s="103"/>
      <c r="CK20" s="20"/>
      <c r="CN20"/>
      <c r="CO20"/>
      <c r="CP20"/>
      <c r="CQ20"/>
      <c r="CR20"/>
      <c r="CS20"/>
      <c r="CT20"/>
      <c r="CU20"/>
      <c r="CV20"/>
      <c r="CW20"/>
      <c r="CX20"/>
      <c r="CY20"/>
      <c r="CZ20"/>
      <c r="DA20"/>
      <c r="DL20"/>
      <c r="DM20"/>
    </row>
    <row r="21" spans="2:117" ht="6" customHeight="1" x14ac:dyDescent="0.25">
      <c r="B21" s="102" t="s">
        <v>33</v>
      </c>
      <c r="C21" s="102"/>
      <c r="D21" s="28"/>
      <c r="E21" s="31"/>
      <c r="F21" s="43"/>
      <c r="G21" s="43"/>
      <c r="H21" s="33"/>
      <c r="I21" s="31"/>
      <c r="J21" s="43"/>
      <c r="K21" s="43"/>
      <c r="L21" s="33"/>
      <c r="M21" s="31"/>
      <c r="N21" s="43"/>
      <c r="O21" s="43"/>
      <c r="P21" s="33"/>
      <c r="Q21" s="31"/>
      <c r="R21" s="43"/>
      <c r="S21" s="43"/>
      <c r="T21" s="33"/>
      <c r="U21" s="31"/>
      <c r="V21" s="43"/>
      <c r="W21" s="43"/>
      <c r="X21" s="33"/>
      <c r="Y21" s="31"/>
      <c r="Z21" s="43"/>
      <c r="AA21" s="43"/>
      <c r="AB21" s="33"/>
      <c r="AC21" s="31"/>
      <c r="AD21" s="43"/>
      <c r="AE21" s="43"/>
      <c r="AF21" s="33"/>
      <c r="AG21" s="31"/>
      <c r="AH21" s="43"/>
      <c r="AI21" s="43"/>
      <c r="AJ21" s="33"/>
      <c r="AK21" s="31"/>
      <c r="AL21" s="43"/>
      <c r="AM21" s="43"/>
      <c r="AN21" s="33"/>
      <c r="AO21" s="31"/>
      <c r="AP21" s="43"/>
      <c r="AQ21" s="43"/>
      <c r="AR21" s="33"/>
      <c r="AS21" s="31"/>
      <c r="AT21" s="43"/>
      <c r="AU21" s="43"/>
      <c r="AV21" s="33"/>
      <c r="AW21" s="31"/>
      <c r="AX21" s="43"/>
      <c r="AY21" s="43"/>
      <c r="AZ21" s="33"/>
      <c r="BA21" s="31"/>
      <c r="BB21" s="43"/>
      <c r="BC21" s="43"/>
      <c r="BD21" s="33"/>
      <c r="BE21" s="31"/>
      <c r="BF21" s="43"/>
      <c r="BG21" s="43"/>
      <c r="BH21" s="33"/>
      <c r="BI21" s="31"/>
      <c r="BJ21" s="43"/>
      <c r="BK21" s="43"/>
      <c r="BL21" s="33"/>
      <c r="BM21" s="31"/>
      <c r="BN21" s="43"/>
      <c r="BO21" s="43"/>
      <c r="BP21" s="33"/>
      <c r="BQ21" s="31"/>
      <c r="BR21" s="43"/>
      <c r="BS21" s="43"/>
      <c r="BT21" s="33"/>
      <c r="BU21" s="31"/>
      <c r="BV21" s="43"/>
      <c r="BW21" s="43"/>
      <c r="BX21" s="33"/>
      <c r="BY21" s="31"/>
      <c r="BZ21" s="43"/>
      <c r="CA21" s="43"/>
      <c r="CB21" s="33"/>
      <c r="CC21" s="31"/>
      <c r="CD21" s="43"/>
      <c r="CE21" s="43"/>
      <c r="CF21" s="33"/>
      <c r="CH21" s="29"/>
      <c r="CI21" s="30"/>
      <c r="CJ21" s="103">
        <f>IF(ISBLANK(B21),"",IF(CI22&gt;=CH22,3,IF(CI22=(CH22-1),2,1)))</f>
        <v>2</v>
      </c>
      <c r="CK21" s="20"/>
      <c r="CN21"/>
      <c r="CO21"/>
      <c r="CP21"/>
      <c r="CQ21"/>
      <c r="CR21"/>
      <c r="CS21"/>
      <c r="CT21"/>
      <c r="CU21"/>
      <c r="CV21"/>
      <c r="CW21"/>
      <c r="CX21"/>
      <c r="CY21"/>
      <c r="CZ21"/>
      <c r="DA21"/>
      <c r="DL21"/>
      <c r="DM21"/>
    </row>
    <row r="22" spans="2:117" ht="15" customHeight="1" x14ac:dyDescent="0.25">
      <c r="B22" s="102"/>
      <c r="C22" s="102"/>
      <c r="D22" s="28"/>
      <c r="E22" s="31"/>
      <c r="F22" s="32"/>
      <c r="G22" s="32"/>
      <c r="H22" s="33"/>
      <c r="I22" s="31"/>
      <c r="J22" s="32"/>
      <c r="K22" s="32"/>
      <c r="L22" s="33"/>
      <c r="M22" s="31"/>
      <c r="N22" s="32"/>
      <c r="O22" s="32"/>
      <c r="P22" s="33"/>
      <c r="Q22" s="31"/>
      <c r="R22" s="32"/>
      <c r="S22" s="32"/>
      <c r="T22" s="33"/>
      <c r="U22" s="31"/>
      <c r="V22" s="32"/>
      <c r="W22" s="32"/>
      <c r="X22" s="33"/>
      <c r="Y22" s="31"/>
      <c r="Z22" s="32"/>
      <c r="AA22" s="32"/>
      <c r="AB22" s="33"/>
      <c r="AC22" s="31"/>
      <c r="AD22" s="32"/>
      <c r="AE22" s="32"/>
      <c r="AF22" s="33"/>
      <c r="AG22" s="31"/>
      <c r="AH22" s="32"/>
      <c r="AI22" s="32"/>
      <c r="AJ22" s="33"/>
      <c r="AK22" s="31"/>
      <c r="AL22" s="32"/>
      <c r="AM22" s="32"/>
      <c r="AN22" s="33"/>
      <c r="AO22" s="31"/>
      <c r="AP22" s="32"/>
      <c r="AQ22" s="32"/>
      <c r="AR22" s="33"/>
      <c r="AS22" s="31"/>
      <c r="AT22" s="32"/>
      <c r="AU22" s="32"/>
      <c r="AV22" s="33"/>
      <c r="AW22" s="31"/>
      <c r="AX22" s="32"/>
      <c r="AY22" s="32"/>
      <c r="AZ22" s="33"/>
      <c r="BA22" s="31"/>
      <c r="BB22" s="32"/>
      <c r="BC22" s="32"/>
      <c r="BD22" s="33"/>
      <c r="BE22" s="31"/>
      <c r="BF22" s="32"/>
      <c r="BG22" s="32"/>
      <c r="BH22" s="33"/>
      <c r="BI22" s="31"/>
      <c r="BJ22" s="32"/>
      <c r="BK22" s="32"/>
      <c r="BL22" s="33"/>
      <c r="BM22" s="31"/>
      <c r="BN22" s="32"/>
      <c r="BO22" s="32"/>
      <c r="BP22" s="33"/>
      <c r="BQ22" s="31"/>
      <c r="BR22" s="32"/>
      <c r="BS22" s="32"/>
      <c r="BT22" s="33"/>
      <c r="BU22" s="31"/>
      <c r="BV22" s="32"/>
      <c r="BW22" s="32"/>
      <c r="BX22" s="33"/>
      <c r="BY22" s="31"/>
      <c r="BZ22" s="32"/>
      <c r="CA22" s="32"/>
      <c r="CB22" s="33"/>
      <c r="CC22" s="31"/>
      <c r="CD22" s="32"/>
      <c r="CE22" s="32"/>
      <c r="CF22" s="33"/>
      <c r="CH22" s="34">
        <v>3</v>
      </c>
      <c r="CI22" s="35">
        <f>IF(ISBLANK(B21),"",COUNTIF(B24:CF24,"&gt;=3"))</f>
        <v>2</v>
      </c>
      <c r="CJ22" s="103"/>
      <c r="CK22" s="20"/>
      <c r="CN22"/>
      <c r="CO22"/>
      <c r="CP22"/>
      <c r="CQ22"/>
      <c r="CR22"/>
      <c r="CS22"/>
      <c r="CT22"/>
      <c r="CU22"/>
      <c r="CV22"/>
      <c r="CW22"/>
      <c r="CX22"/>
      <c r="CY22"/>
      <c r="CZ22"/>
      <c r="DA22"/>
      <c r="DL22"/>
      <c r="DM22"/>
    </row>
    <row r="23" spans="2:117" ht="15" customHeight="1" x14ac:dyDescent="0.25">
      <c r="B23" s="102"/>
      <c r="C23" s="102"/>
      <c r="D23" s="28"/>
      <c r="E23" s="31"/>
      <c r="F23" s="32"/>
      <c r="G23" s="32"/>
      <c r="H23" s="33"/>
      <c r="I23" s="31"/>
      <c r="J23" s="32"/>
      <c r="K23" s="32"/>
      <c r="L23" s="33"/>
      <c r="M23" s="31"/>
      <c r="N23" s="32"/>
      <c r="O23" s="32"/>
      <c r="P23" s="33"/>
      <c r="Q23" s="31"/>
      <c r="R23" s="32"/>
      <c r="S23" s="32"/>
      <c r="T23" s="33"/>
      <c r="U23" s="31"/>
      <c r="V23" s="32"/>
      <c r="W23" s="32"/>
      <c r="X23" s="33"/>
      <c r="Y23" s="31"/>
      <c r="Z23" s="32"/>
      <c r="AA23" s="32"/>
      <c r="AB23" s="33"/>
      <c r="AC23" s="31"/>
      <c r="AD23" s="32"/>
      <c r="AE23" s="32"/>
      <c r="AF23" s="33"/>
      <c r="AG23" s="31"/>
      <c r="AH23" s="32"/>
      <c r="AI23" s="32"/>
      <c r="AJ23" s="33"/>
      <c r="AK23" s="31"/>
      <c r="AL23" s="32"/>
      <c r="AM23" s="32"/>
      <c r="AN23" s="33"/>
      <c r="AO23" s="31"/>
      <c r="AP23" s="32"/>
      <c r="AQ23" s="32"/>
      <c r="AR23" s="33"/>
      <c r="AS23" s="31"/>
      <c r="AT23" s="32"/>
      <c r="AU23" s="32"/>
      <c r="AV23" s="33"/>
      <c r="AW23" s="31"/>
      <c r="AX23" s="32"/>
      <c r="AY23" s="32"/>
      <c r="AZ23" s="33"/>
      <c r="BA23" s="31"/>
      <c r="BB23" s="32"/>
      <c r="BC23" s="32"/>
      <c r="BD23" s="33"/>
      <c r="BE23" s="31"/>
      <c r="BF23" s="32"/>
      <c r="BG23" s="32"/>
      <c r="BH23" s="33"/>
      <c r="BI23" s="31"/>
      <c r="BJ23" s="32"/>
      <c r="BK23" s="32"/>
      <c r="BL23" s="33"/>
      <c r="BM23" s="31"/>
      <c r="BN23" s="32"/>
      <c r="BO23" s="32"/>
      <c r="BP23" s="33"/>
      <c r="BQ23" s="31"/>
      <c r="BR23" s="32"/>
      <c r="BS23" s="32"/>
      <c r="BT23" s="33"/>
      <c r="BU23" s="31"/>
      <c r="BV23" s="32"/>
      <c r="BW23" s="32"/>
      <c r="BX23" s="33"/>
      <c r="BY23" s="31"/>
      <c r="BZ23" s="32"/>
      <c r="CA23" s="32"/>
      <c r="CB23" s="33"/>
      <c r="CC23" s="31"/>
      <c r="CD23" s="32"/>
      <c r="CE23" s="32"/>
      <c r="CF23" s="33"/>
      <c r="CH23" s="104" t="str">
        <f>IF(ISBLANK(B21),"","personas cualificadas")</f>
        <v>personas cualificadas</v>
      </c>
      <c r="CI23" s="104" t="str">
        <f>IF(ISBLANK(B21),"","personas cualificadas")</f>
        <v>personas cualificadas</v>
      </c>
      <c r="CJ23" s="103"/>
      <c r="CK23" s="20"/>
      <c r="CN23"/>
      <c r="CO23"/>
      <c r="CP23"/>
      <c r="CQ23"/>
      <c r="CR23"/>
      <c r="CS23"/>
      <c r="CT23"/>
      <c r="CU23"/>
      <c r="CV23"/>
      <c r="CW23"/>
      <c r="CX23"/>
      <c r="CY23"/>
      <c r="CZ23"/>
      <c r="DA23"/>
      <c r="DL23"/>
      <c r="DM23"/>
    </row>
    <row r="24" spans="2:117" x14ac:dyDescent="0.25">
      <c r="B24" s="102"/>
      <c r="C24" s="102"/>
      <c r="D24" s="28"/>
      <c r="E24" s="58">
        <v>2</v>
      </c>
      <c r="F24" s="59"/>
      <c r="G24" s="59"/>
      <c r="H24" s="60"/>
      <c r="I24" s="58">
        <v>4</v>
      </c>
      <c r="J24" s="59"/>
      <c r="K24" s="59"/>
      <c r="L24" s="60"/>
      <c r="M24" s="58"/>
      <c r="N24" s="59"/>
      <c r="O24" s="59"/>
      <c r="P24" s="60"/>
      <c r="Q24" s="58"/>
      <c r="R24" s="59"/>
      <c r="S24" s="59"/>
      <c r="T24" s="60"/>
      <c r="U24" s="58"/>
      <c r="V24" s="59"/>
      <c r="W24" s="59"/>
      <c r="X24" s="60"/>
      <c r="Y24" s="58"/>
      <c r="Z24" s="59"/>
      <c r="AA24" s="59"/>
      <c r="AB24" s="60"/>
      <c r="AC24" s="58">
        <v>4</v>
      </c>
      <c r="AD24" s="59"/>
      <c r="AE24" s="59"/>
      <c r="AF24" s="60"/>
      <c r="AG24" s="58"/>
      <c r="AH24" s="59"/>
      <c r="AI24" s="59"/>
      <c r="AJ24" s="60"/>
      <c r="AK24" s="58"/>
      <c r="AL24" s="59"/>
      <c r="AM24" s="59"/>
      <c r="AN24" s="60"/>
      <c r="AO24" s="58"/>
      <c r="AP24" s="59"/>
      <c r="AQ24" s="59"/>
      <c r="AR24" s="60"/>
      <c r="AS24" s="58"/>
      <c r="AT24" s="59"/>
      <c r="AU24" s="59"/>
      <c r="AV24" s="60"/>
      <c r="AW24" s="58"/>
      <c r="AX24" s="59"/>
      <c r="AY24" s="59"/>
      <c r="AZ24" s="60"/>
      <c r="BA24" s="58"/>
      <c r="BB24" s="59"/>
      <c r="BC24" s="59"/>
      <c r="BD24" s="60"/>
      <c r="BE24" s="58"/>
      <c r="BF24" s="59"/>
      <c r="BG24" s="59"/>
      <c r="BH24" s="60"/>
      <c r="BI24" s="58"/>
      <c r="BJ24" s="59"/>
      <c r="BK24" s="59"/>
      <c r="BL24" s="60"/>
      <c r="BM24" s="58"/>
      <c r="BN24" s="59"/>
      <c r="BO24" s="59"/>
      <c r="BP24" s="60"/>
      <c r="BQ24" s="58"/>
      <c r="BR24" s="59"/>
      <c r="BS24" s="59"/>
      <c r="BT24" s="60"/>
      <c r="BU24" s="58"/>
      <c r="BV24" s="59"/>
      <c r="BW24" s="59"/>
      <c r="BX24" s="60"/>
      <c r="BY24" s="58"/>
      <c r="BZ24" s="59"/>
      <c r="CA24" s="59"/>
      <c r="CB24" s="60"/>
      <c r="CC24" s="58"/>
      <c r="CD24" s="59"/>
      <c r="CE24" s="59"/>
      <c r="CF24" s="60"/>
      <c r="CG24" s="36"/>
      <c r="CH24" s="105"/>
      <c r="CI24" s="105"/>
      <c r="CJ24" s="103"/>
      <c r="CK24" s="20"/>
      <c r="CN24"/>
      <c r="CO24"/>
      <c r="CP24"/>
      <c r="CQ24"/>
      <c r="CR24"/>
      <c r="CS24"/>
      <c r="CT24"/>
      <c r="CU24"/>
      <c r="CV24"/>
      <c r="CW24"/>
      <c r="CX24"/>
      <c r="CY24"/>
      <c r="CZ24"/>
      <c r="DA24"/>
      <c r="DL24"/>
      <c r="DM24"/>
    </row>
    <row r="25" spans="2:117" ht="6" customHeight="1" x14ac:dyDescent="0.25">
      <c r="B25" s="102" t="s">
        <v>34</v>
      </c>
      <c r="C25" s="102"/>
      <c r="D25" s="28"/>
      <c r="E25" s="31"/>
      <c r="F25" s="43"/>
      <c r="G25" s="43"/>
      <c r="H25" s="33"/>
      <c r="I25" s="31"/>
      <c r="J25" s="43"/>
      <c r="K25" s="43"/>
      <c r="L25" s="33"/>
      <c r="M25" s="31"/>
      <c r="N25" s="43"/>
      <c r="O25" s="43"/>
      <c r="P25" s="33"/>
      <c r="Q25" s="31"/>
      <c r="R25" s="43"/>
      <c r="S25" s="43"/>
      <c r="T25" s="33"/>
      <c r="U25" s="31"/>
      <c r="V25" s="43"/>
      <c r="W25" s="43"/>
      <c r="X25" s="33"/>
      <c r="Y25" s="31"/>
      <c r="Z25" s="43"/>
      <c r="AA25" s="43"/>
      <c r="AB25" s="33"/>
      <c r="AC25" s="31"/>
      <c r="AD25" s="43"/>
      <c r="AE25" s="43"/>
      <c r="AF25" s="33"/>
      <c r="AG25" s="31"/>
      <c r="AH25" s="43"/>
      <c r="AI25" s="43"/>
      <c r="AJ25" s="33"/>
      <c r="AK25" s="31"/>
      <c r="AL25" s="43"/>
      <c r="AM25" s="43"/>
      <c r="AN25" s="33"/>
      <c r="AO25" s="31"/>
      <c r="AP25" s="43"/>
      <c r="AQ25" s="43"/>
      <c r="AR25" s="33"/>
      <c r="AS25" s="31"/>
      <c r="AT25" s="43"/>
      <c r="AU25" s="43"/>
      <c r="AV25" s="33"/>
      <c r="AW25" s="31"/>
      <c r="AX25" s="43"/>
      <c r="AY25" s="43"/>
      <c r="AZ25" s="33"/>
      <c r="BA25" s="31"/>
      <c r="BB25" s="43"/>
      <c r="BC25" s="43"/>
      <c r="BD25" s="33"/>
      <c r="BE25" s="31"/>
      <c r="BF25" s="43"/>
      <c r="BG25" s="43"/>
      <c r="BH25" s="33"/>
      <c r="BI25" s="31"/>
      <c r="BJ25" s="43"/>
      <c r="BK25" s="43"/>
      <c r="BL25" s="33"/>
      <c r="BM25" s="31"/>
      <c r="BN25" s="43"/>
      <c r="BO25" s="43"/>
      <c r="BP25" s="33"/>
      <c r="BQ25" s="31"/>
      <c r="BR25" s="43"/>
      <c r="BS25" s="43"/>
      <c r="BT25" s="33"/>
      <c r="BU25" s="31"/>
      <c r="BV25" s="43"/>
      <c r="BW25" s="43"/>
      <c r="BX25" s="33"/>
      <c r="BY25" s="31"/>
      <c r="BZ25" s="43"/>
      <c r="CA25" s="43"/>
      <c r="CB25" s="33"/>
      <c r="CC25" s="31"/>
      <c r="CD25" s="43"/>
      <c r="CE25" s="43"/>
      <c r="CF25" s="33"/>
      <c r="CH25" s="29"/>
      <c r="CI25" s="30"/>
      <c r="CJ25" s="103">
        <f t="shared" ref="CJ25" si="0">IF(ISBLANK(B25),"",IF(CI26&gt;=CH26,3,IF(CI26=(CH26-1),2,1)))</f>
        <v>3</v>
      </c>
      <c r="CK25" s="20"/>
      <c r="CN25"/>
      <c r="CO25"/>
      <c r="CP25"/>
      <c r="CQ25"/>
      <c r="CR25"/>
      <c r="CS25"/>
      <c r="CT25"/>
      <c r="CU25"/>
      <c r="CV25"/>
      <c r="CW25"/>
      <c r="CX25"/>
      <c r="CY25"/>
      <c r="CZ25"/>
      <c r="DA25"/>
      <c r="DL25"/>
      <c r="DM25"/>
    </row>
    <row r="26" spans="2:117" ht="15" customHeight="1" x14ac:dyDescent="0.25">
      <c r="B26" s="102"/>
      <c r="C26" s="102"/>
      <c r="D26" s="28"/>
      <c r="E26" s="31"/>
      <c r="F26" s="32"/>
      <c r="G26" s="32"/>
      <c r="H26" s="33"/>
      <c r="I26" s="31"/>
      <c r="J26" s="32"/>
      <c r="K26" s="32"/>
      <c r="L26" s="33"/>
      <c r="M26" s="31"/>
      <c r="N26" s="32"/>
      <c r="O26" s="32"/>
      <c r="P26" s="33"/>
      <c r="Q26" s="31"/>
      <c r="R26" s="32"/>
      <c r="S26" s="32"/>
      <c r="T26" s="33"/>
      <c r="U26" s="31"/>
      <c r="V26" s="32"/>
      <c r="W26" s="32"/>
      <c r="X26" s="33"/>
      <c r="Y26" s="31"/>
      <c r="Z26" s="32"/>
      <c r="AA26" s="32"/>
      <c r="AB26" s="33"/>
      <c r="AC26" s="31"/>
      <c r="AD26" s="32"/>
      <c r="AE26" s="32"/>
      <c r="AF26" s="33"/>
      <c r="AG26" s="31"/>
      <c r="AH26" s="32"/>
      <c r="AI26" s="32"/>
      <c r="AJ26" s="33"/>
      <c r="AK26" s="31"/>
      <c r="AL26" s="32"/>
      <c r="AM26" s="32"/>
      <c r="AN26" s="33"/>
      <c r="AO26" s="31"/>
      <c r="AP26" s="32"/>
      <c r="AQ26" s="32"/>
      <c r="AR26" s="33"/>
      <c r="AS26" s="31"/>
      <c r="AT26" s="32"/>
      <c r="AU26" s="32"/>
      <c r="AV26" s="33"/>
      <c r="AW26" s="31"/>
      <c r="AX26" s="32"/>
      <c r="AY26" s="32"/>
      <c r="AZ26" s="33"/>
      <c r="BA26" s="31"/>
      <c r="BB26" s="32"/>
      <c r="BC26" s="32"/>
      <c r="BD26" s="33"/>
      <c r="BE26" s="31"/>
      <c r="BF26" s="32"/>
      <c r="BG26" s="32"/>
      <c r="BH26" s="33"/>
      <c r="BI26" s="31"/>
      <c r="BJ26" s="32"/>
      <c r="BK26" s="32"/>
      <c r="BL26" s="33"/>
      <c r="BM26" s="31"/>
      <c r="BN26" s="32"/>
      <c r="BO26" s="32"/>
      <c r="BP26" s="33"/>
      <c r="BQ26" s="31"/>
      <c r="BR26" s="32"/>
      <c r="BS26" s="32"/>
      <c r="BT26" s="33"/>
      <c r="BU26" s="31"/>
      <c r="BV26" s="32"/>
      <c r="BW26" s="32"/>
      <c r="BX26" s="33"/>
      <c r="BY26" s="31"/>
      <c r="BZ26" s="32"/>
      <c r="CA26" s="32"/>
      <c r="CB26" s="33"/>
      <c r="CC26" s="31"/>
      <c r="CD26" s="32"/>
      <c r="CE26" s="32"/>
      <c r="CF26" s="33"/>
      <c r="CH26" s="34">
        <v>3</v>
      </c>
      <c r="CI26" s="35">
        <f>IF(ISBLANK(B25),"",COUNTIF(B28:CF28,"&gt;=3"))</f>
        <v>4</v>
      </c>
      <c r="CJ26" s="103"/>
      <c r="CK26" s="20"/>
      <c r="CN26"/>
      <c r="CO26"/>
      <c r="CP26"/>
      <c r="CQ26"/>
      <c r="CR26"/>
      <c r="CS26"/>
      <c r="CT26"/>
      <c r="CU26"/>
      <c r="CV26"/>
      <c r="CW26"/>
      <c r="CX26"/>
      <c r="CY26"/>
      <c r="CZ26"/>
      <c r="DA26"/>
      <c r="DL26"/>
      <c r="DM26"/>
    </row>
    <row r="27" spans="2:117" ht="15" customHeight="1" x14ac:dyDescent="0.25">
      <c r="B27" s="102"/>
      <c r="C27" s="102"/>
      <c r="D27" s="28"/>
      <c r="E27" s="31"/>
      <c r="F27" s="32"/>
      <c r="G27" s="32"/>
      <c r="H27" s="33"/>
      <c r="I27" s="31"/>
      <c r="J27" s="32"/>
      <c r="K27" s="32"/>
      <c r="L27" s="33"/>
      <c r="M27" s="31"/>
      <c r="N27" s="32"/>
      <c r="O27" s="32"/>
      <c r="P27" s="33"/>
      <c r="Q27" s="31"/>
      <c r="R27" s="32"/>
      <c r="S27" s="32"/>
      <c r="T27" s="33"/>
      <c r="U27" s="31"/>
      <c r="V27" s="32"/>
      <c r="W27" s="32"/>
      <c r="X27" s="33"/>
      <c r="Y27" s="31"/>
      <c r="Z27" s="32"/>
      <c r="AA27" s="32"/>
      <c r="AB27" s="33"/>
      <c r="AC27" s="31"/>
      <c r="AD27" s="32"/>
      <c r="AE27" s="32"/>
      <c r="AF27" s="33"/>
      <c r="AG27" s="31"/>
      <c r="AH27" s="32"/>
      <c r="AI27" s="32"/>
      <c r="AJ27" s="33"/>
      <c r="AK27" s="31"/>
      <c r="AL27" s="32"/>
      <c r="AM27" s="32"/>
      <c r="AN27" s="33"/>
      <c r="AO27" s="31"/>
      <c r="AP27" s="32"/>
      <c r="AQ27" s="32"/>
      <c r="AR27" s="33"/>
      <c r="AS27" s="31"/>
      <c r="AT27" s="32"/>
      <c r="AU27" s="32"/>
      <c r="AV27" s="33"/>
      <c r="AW27" s="31"/>
      <c r="AX27" s="32"/>
      <c r="AY27" s="32"/>
      <c r="AZ27" s="33"/>
      <c r="BA27" s="31"/>
      <c r="BB27" s="32"/>
      <c r="BC27" s="32"/>
      <c r="BD27" s="33"/>
      <c r="BE27" s="31"/>
      <c r="BF27" s="32"/>
      <c r="BG27" s="32"/>
      <c r="BH27" s="33"/>
      <c r="BI27" s="31"/>
      <c r="BJ27" s="32"/>
      <c r="BK27" s="32"/>
      <c r="BL27" s="33"/>
      <c r="BM27" s="31"/>
      <c r="BN27" s="32"/>
      <c r="BO27" s="32"/>
      <c r="BP27" s="33"/>
      <c r="BQ27" s="31"/>
      <c r="BR27" s="32"/>
      <c r="BS27" s="32"/>
      <c r="BT27" s="33"/>
      <c r="BU27" s="31"/>
      <c r="BV27" s="32"/>
      <c r="BW27" s="32"/>
      <c r="BX27" s="33"/>
      <c r="BY27" s="31"/>
      <c r="BZ27" s="32"/>
      <c r="CA27" s="32"/>
      <c r="CB27" s="33"/>
      <c r="CC27" s="31"/>
      <c r="CD27" s="32"/>
      <c r="CE27" s="32"/>
      <c r="CF27" s="33"/>
      <c r="CH27" s="104" t="str">
        <f>IF(ISBLANK(B25),"","personas cualificadas")</f>
        <v>personas cualificadas</v>
      </c>
      <c r="CI27" s="104" t="str">
        <f>IF(ISBLANK(B25),"","personas cualificadas")</f>
        <v>personas cualificadas</v>
      </c>
      <c r="CJ27" s="103"/>
      <c r="CK27" s="20"/>
      <c r="CN27"/>
      <c r="CO27"/>
      <c r="CP27"/>
      <c r="CQ27"/>
      <c r="CR27"/>
      <c r="CS27"/>
      <c r="CT27"/>
      <c r="CU27"/>
      <c r="CV27"/>
      <c r="CW27"/>
      <c r="CX27"/>
      <c r="CY27"/>
      <c r="CZ27"/>
      <c r="DA27"/>
      <c r="DL27"/>
      <c r="DM27"/>
    </row>
    <row r="28" spans="2:117" x14ac:dyDescent="0.25">
      <c r="B28" s="102"/>
      <c r="C28" s="102"/>
      <c r="D28" s="28"/>
      <c r="E28" s="58">
        <v>4</v>
      </c>
      <c r="F28" s="59"/>
      <c r="G28" s="59"/>
      <c r="H28" s="60"/>
      <c r="I28" s="58">
        <v>4</v>
      </c>
      <c r="J28" s="59"/>
      <c r="K28" s="59"/>
      <c r="L28" s="60"/>
      <c r="M28" s="58">
        <v>4</v>
      </c>
      <c r="N28" s="59"/>
      <c r="O28" s="59"/>
      <c r="P28" s="60"/>
      <c r="Q28" s="58"/>
      <c r="R28" s="59"/>
      <c r="S28" s="59"/>
      <c r="T28" s="60"/>
      <c r="U28" s="58"/>
      <c r="V28" s="59"/>
      <c r="W28" s="59"/>
      <c r="X28" s="60"/>
      <c r="Y28" s="58"/>
      <c r="Z28" s="59"/>
      <c r="AA28" s="59"/>
      <c r="AB28" s="60"/>
      <c r="AC28" s="58">
        <v>4</v>
      </c>
      <c r="AD28" s="59"/>
      <c r="AE28" s="59"/>
      <c r="AF28" s="60"/>
      <c r="AG28" s="58"/>
      <c r="AH28" s="59"/>
      <c r="AI28" s="59"/>
      <c r="AJ28" s="60"/>
      <c r="AK28" s="58"/>
      <c r="AL28" s="59"/>
      <c r="AM28" s="59"/>
      <c r="AN28" s="60"/>
      <c r="AO28" s="58"/>
      <c r="AP28" s="59"/>
      <c r="AQ28" s="59"/>
      <c r="AR28" s="60"/>
      <c r="AS28" s="58"/>
      <c r="AT28" s="59"/>
      <c r="AU28" s="59"/>
      <c r="AV28" s="60"/>
      <c r="AW28" s="58"/>
      <c r="AX28" s="59"/>
      <c r="AY28" s="59"/>
      <c r="AZ28" s="60"/>
      <c r="BA28" s="58"/>
      <c r="BB28" s="59"/>
      <c r="BC28" s="59"/>
      <c r="BD28" s="60"/>
      <c r="BE28" s="58"/>
      <c r="BF28" s="59"/>
      <c r="BG28" s="59"/>
      <c r="BH28" s="60"/>
      <c r="BI28" s="58"/>
      <c r="BJ28" s="59"/>
      <c r="BK28" s="59"/>
      <c r="BL28" s="60"/>
      <c r="BM28" s="58"/>
      <c r="BN28" s="59"/>
      <c r="BO28" s="59"/>
      <c r="BP28" s="60"/>
      <c r="BQ28" s="58"/>
      <c r="BR28" s="59"/>
      <c r="BS28" s="59"/>
      <c r="BT28" s="60"/>
      <c r="BU28" s="58"/>
      <c r="BV28" s="59"/>
      <c r="BW28" s="59"/>
      <c r="BX28" s="60"/>
      <c r="BY28" s="58"/>
      <c r="BZ28" s="59"/>
      <c r="CA28" s="59"/>
      <c r="CB28" s="60"/>
      <c r="CC28" s="58"/>
      <c r="CD28" s="59"/>
      <c r="CE28" s="59"/>
      <c r="CF28" s="60"/>
      <c r="CG28" s="36"/>
      <c r="CH28" s="105"/>
      <c r="CI28" s="105"/>
      <c r="CJ28" s="103"/>
      <c r="CK28" s="20"/>
      <c r="CN28"/>
      <c r="CO28"/>
      <c r="CP28"/>
      <c r="CQ28"/>
      <c r="CR28"/>
      <c r="CS28"/>
      <c r="CT28"/>
      <c r="CU28"/>
      <c r="CV28"/>
      <c r="CW28"/>
      <c r="CX28"/>
      <c r="CY28"/>
      <c r="CZ28"/>
      <c r="DA28"/>
      <c r="DL28"/>
      <c r="DM28"/>
    </row>
    <row r="29" spans="2:117" ht="6" customHeight="1" x14ac:dyDescent="0.25">
      <c r="B29" s="102" t="s">
        <v>35</v>
      </c>
      <c r="C29" s="102"/>
      <c r="D29" s="28"/>
      <c r="E29" s="31"/>
      <c r="F29" s="43"/>
      <c r="G29" s="43"/>
      <c r="H29" s="33"/>
      <c r="I29" s="31"/>
      <c r="J29" s="43"/>
      <c r="K29" s="43"/>
      <c r="L29" s="33"/>
      <c r="M29" s="31"/>
      <c r="N29" s="43"/>
      <c r="O29" s="43"/>
      <c r="P29" s="33"/>
      <c r="Q29" s="31"/>
      <c r="R29" s="43"/>
      <c r="S29" s="43"/>
      <c r="T29" s="33"/>
      <c r="U29" s="31"/>
      <c r="V29" s="43"/>
      <c r="W29" s="43"/>
      <c r="X29" s="33"/>
      <c r="Y29" s="31"/>
      <c r="Z29" s="43"/>
      <c r="AA29" s="43"/>
      <c r="AB29" s="33"/>
      <c r="AC29" s="31"/>
      <c r="AD29" s="43"/>
      <c r="AE29" s="43"/>
      <c r="AF29" s="33"/>
      <c r="AG29" s="31"/>
      <c r="AH29" s="43"/>
      <c r="AI29" s="43"/>
      <c r="AJ29" s="33"/>
      <c r="AK29" s="31"/>
      <c r="AL29" s="43"/>
      <c r="AM29" s="43"/>
      <c r="AN29" s="33"/>
      <c r="AO29" s="31"/>
      <c r="AP29" s="43"/>
      <c r="AQ29" s="43"/>
      <c r="AR29" s="33"/>
      <c r="AS29" s="31"/>
      <c r="AT29" s="43"/>
      <c r="AU29" s="43"/>
      <c r="AV29" s="33"/>
      <c r="AW29" s="31"/>
      <c r="AX29" s="43"/>
      <c r="AY29" s="43"/>
      <c r="AZ29" s="33"/>
      <c r="BA29" s="31"/>
      <c r="BB29" s="43"/>
      <c r="BC29" s="43"/>
      <c r="BD29" s="33"/>
      <c r="BE29" s="31"/>
      <c r="BF29" s="43"/>
      <c r="BG29" s="43"/>
      <c r="BH29" s="33"/>
      <c r="BI29" s="31"/>
      <c r="BJ29" s="43"/>
      <c r="BK29" s="43"/>
      <c r="BL29" s="33"/>
      <c r="BM29" s="31"/>
      <c r="BN29" s="43"/>
      <c r="BO29" s="43"/>
      <c r="BP29" s="33"/>
      <c r="BQ29" s="31"/>
      <c r="BR29" s="43"/>
      <c r="BS29" s="43"/>
      <c r="BT29" s="33"/>
      <c r="BU29" s="31"/>
      <c r="BV29" s="43"/>
      <c r="BW29" s="43"/>
      <c r="BX29" s="33"/>
      <c r="BY29" s="31"/>
      <c r="BZ29" s="43"/>
      <c r="CA29" s="43"/>
      <c r="CB29" s="33"/>
      <c r="CC29" s="31"/>
      <c r="CD29" s="43"/>
      <c r="CE29" s="43"/>
      <c r="CF29" s="33"/>
      <c r="CH29" s="29"/>
      <c r="CI29" s="30"/>
      <c r="CJ29" s="103">
        <f t="shared" ref="CJ29" si="1">IF(ISBLANK(B29),"",IF(CI30&gt;=CH30,3,IF(CI30=(CH30-1),2,1)))</f>
        <v>3</v>
      </c>
      <c r="CK29" s="20"/>
      <c r="CN29"/>
      <c r="CO29"/>
      <c r="CP29"/>
      <c r="CQ29"/>
      <c r="CR29"/>
      <c r="CS29"/>
      <c r="CT29"/>
      <c r="CU29"/>
      <c r="CV29"/>
      <c r="CW29"/>
      <c r="CX29"/>
      <c r="CY29"/>
      <c r="CZ29"/>
      <c r="DA29"/>
      <c r="DL29"/>
      <c r="DM29"/>
    </row>
    <row r="30" spans="2:117" ht="15" customHeight="1" x14ac:dyDescent="0.25">
      <c r="B30" s="102"/>
      <c r="C30" s="102"/>
      <c r="D30" s="28"/>
      <c r="E30" s="31"/>
      <c r="F30" s="32"/>
      <c r="G30" s="32"/>
      <c r="H30" s="33"/>
      <c r="I30" s="31"/>
      <c r="J30" s="32"/>
      <c r="K30" s="32"/>
      <c r="L30" s="33"/>
      <c r="M30" s="31"/>
      <c r="N30" s="32"/>
      <c r="O30" s="32"/>
      <c r="P30" s="33"/>
      <c r="Q30" s="31"/>
      <c r="R30" s="32"/>
      <c r="S30" s="32"/>
      <c r="T30" s="33"/>
      <c r="U30" s="31"/>
      <c r="V30" s="32"/>
      <c r="W30" s="32"/>
      <c r="X30" s="33"/>
      <c r="Y30" s="31"/>
      <c r="Z30" s="32"/>
      <c r="AA30" s="32"/>
      <c r="AB30" s="33"/>
      <c r="AC30" s="31"/>
      <c r="AD30" s="32"/>
      <c r="AE30" s="32"/>
      <c r="AF30" s="33"/>
      <c r="AG30" s="31"/>
      <c r="AH30" s="32"/>
      <c r="AI30" s="32"/>
      <c r="AJ30" s="33"/>
      <c r="AK30" s="31"/>
      <c r="AL30" s="32"/>
      <c r="AM30" s="32"/>
      <c r="AN30" s="33"/>
      <c r="AO30" s="31"/>
      <c r="AP30" s="32"/>
      <c r="AQ30" s="32"/>
      <c r="AR30" s="33"/>
      <c r="AS30" s="31"/>
      <c r="AT30" s="32"/>
      <c r="AU30" s="32"/>
      <c r="AV30" s="33"/>
      <c r="AW30" s="31"/>
      <c r="AX30" s="32"/>
      <c r="AY30" s="32"/>
      <c r="AZ30" s="33"/>
      <c r="BA30" s="31"/>
      <c r="BB30" s="32"/>
      <c r="BC30" s="32"/>
      <c r="BD30" s="33"/>
      <c r="BE30" s="31"/>
      <c r="BF30" s="32"/>
      <c r="BG30" s="32"/>
      <c r="BH30" s="33"/>
      <c r="BI30" s="31"/>
      <c r="BJ30" s="32"/>
      <c r="BK30" s="32"/>
      <c r="BL30" s="33"/>
      <c r="BM30" s="31"/>
      <c r="BN30" s="32"/>
      <c r="BO30" s="32"/>
      <c r="BP30" s="33"/>
      <c r="BQ30" s="31"/>
      <c r="BR30" s="32"/>
      <c r="BS30" s="32"/>
      <c r="BT30" s="33"/>
      <c r="BU30" s="31"/>
      <c r="BV30" s="32"/>
      <c r="BW30" s="32"/>
      <c r="BX30" s="33"/>
      <c r="BY30" s="31"/>
      <c r="BZ30" s="32"/>
      <c r="CA30" s="32"/>
      <c r="CB30" s="33"/>
      <c r="CC30" s="31"/>
      <c r="CD30" s="32"/>
      <c r="CE30" s="32"/>
      <c r="CF30" s="33"/>
      <c r="CH30" s="34">
        <v>3</v>
      </c>
      <c r="CI30" s="35">
        <f>IF(ISBLANK(B29),"",COUNTIF(B32:CF32,"&gt;=3"))</f>
        <v>5</v>
      </c>
      <c r="CJ30" s="103"/>
      <c r="CK30" s="20"/>
      <c r="CN30"/>
      <c r="CO30"/>
      <c r="CP30"/>
      <c r="CQ30"/>
      <c r="CR30"/>
      <c r="CS30"/>
      <c r="CT30"/>
      <c r="CU30"/>
      <c r="CV30"/>
      <c r="CW30"/>
      <c r="CX30"/>
      <c r="CY30"/>
      <c r="CZ30"/>
      <c r="DA30"/>
      <c r="DL30"/>
      <c r="DM30"/>
    </row>
    <row r="31" spans="2:117" ht="15" customHeight="1" x14ac:dyDescent="0.25">
      <c r="B31" s="102"/>
      <c r="C31" s="102"/>
      <c r="D31" s="28"/>
      <c r="E31" s="31"/>
      <c r="F31" s="32"/>
      <c r="G31" s="32"/>
      <c r="H31" s="33"/>
      <c r="I31" s="31"/>
      <c r="J31" s="32"/>
      <c r="K31" s="32"/>
      <c r="L31" s="33"/>
      <c r="M31" s="31"/>
      <c r="N31" s="32"/>
      <c r="O31" s="32"/>
      <c r="P31" s="33"/>
      <c r="Q31" s="31"/>
      <c r="R31" s="32"/>
      <c r="S31" s="32"/>
      <c r="T31" s="33"/>
      <c r="U31" s="31"/>
      <c r="V31" s="32"/>
      <c r="W31" s="32"/>
      <c r="X31" s="33"/>
      <c r="Y31" s="31"/>
      <c r="Z31" s="32"/>
      <c r="AA31" s="32"/>
      <c r="AB31" s="33"/>
      <c r="AC31" s="31"/>
      <c r="AD31" s="32"/>
      <c r="AE31" s="32"/>
      <c r="AF31" s="33"/>
      <c r="AG31" s="31"/>
      <c r="AH31" s="32"/>
      <c r="AI31" s="32"/>
      <c r="AJ31" s="33"/>
      <c r="AK31" s="31"/>
      <c r="AL31" s="32"/>
      <c r="AM31" s="32"/>
      <c r="AN31" s="33"/>
      <c r="AO31" s="31"/>
      <c r="AP31" s="32"/>
      <c r="AQ31" s="32"/>
      <c r="AR31" s="33"/>
      <c r="AS31" s="31"/>
      <c r="AT31" s="32"/>
      <c r="AU31" s="32"/>
      <c r="AV31" s="33"/>
      <c r="AW31" s="31"/>
      <c r="AX31" s="32"/>
      <c r="AY31" s="32"/>
      <c r="AZ31" s="33"/>
      <c r="BA31" s="31"/>
      <c r="BB31" s="32"/>
      <c r="BC31" s="32"/>
      <c r="BD31" s="33"/>
      <c r="BE31" s="31"/>
      <c r="BF31" s="32"/>
      <c r="BG31" s="32"/>
      <c r="BH31" s="33"/>
      <c r="BI31" s="31"/>
      <c r="BJ31" s="32"/>
      <c r="BK31" s="32"/>
      <c r="BL31" s="33"/>
      <c r="BM31" s="31"/>
      <c r="BN31" s="32"/>
      <c r="BO31" s="32"/>
      <c r="BP31" s="33"/>
      <c r="BQ31" s="31"/>
      <c r="BR31" s="32"/>
      <c r="BS31" s="32"/>
      <c r="BT31" s="33"/>
      <c r="BU31" s="31"/>
      <c r="BV31" s="32"/>
      <c r="BW31" s="32"/>
      <c r="BX31" s="33"/>
      <c r="BY31" s="31"/>
      <c r="BZ31" s="32"/>
      <c r="CA31" s="32"/>
      <c r="CB31" s="33"/>
      <c r="CC31" s="31"/>
      <c r="CD31" s="32"/>
      <c r="CE31" s="32"/>
      <c r="CF31" s="33"/>
      <c r="CH31" s="104" t="str">
        <f>IF(ISBLANK(B29),"","personas cualificadas")</f>
        <v>personas cualificadas</v>
      </c>
      <c r="CI31" s="104" t="str">
        <f>IF(ISBLANK(B29),"","personas cualificadas")</f>
        <v>personas cualificadas</v>
      </c>
      <c r="CJ31" s="103"/>
      <c r="CK31" s="20"/>
      <c r="CN31"/>
      <c r="CO31"/>
      <c r="CP31"/>
      <c r="CQ31"/>
      <c r="CR31"/>
      <c r="CS31"/>
      <c r="CT31"/>
      <c r="CU31"/>
      <c r="CV31"/>
      <c r="CW31"/>
      <c r="CX31"/>
      <c r="CY31"/>
      <c r="CZ31"/>
      <c r="DA31"/>
      <c r="DL31"/>
      <c r="DM31"/>
    </row>
    <row r="32" spans="2:117" x14ac:dyDescent="0.25">
      <c r="B32" s="102"/>
      <c r="C32" s="102"/>
      <c r="D32" s="28"/>
      <c r="E32" s="58"/>
      <c r="F32" s="59"/>
      <c r="G32" s="59"/>
      <c r="H32" s="60"/>
      <c r="I32" s="58"/>
      <c r="J32" s="59"/>
      <c r="K32" s="59"/>
      <c r="L32" s="60"/>
      <c r="M32" s="58"/>
      <c r="N32" s="59"/>
      <c r="O32" s="59"/>
      <c r="P32" s="60"/>
      <c r="Q32" s="58">
        <v>2</v>
      </c>
      <c r="R32" s="59"/>
      <c r="S32" s="59"/>
      <c r="T32" s="60"/>
      <c r="U32" s="58">
        <v>4</v>
      </c>
      <c r="V32" s="59"/>
      <c r="W32" s="59"/>
      <c r="X32" s="60"/>
      <c r="Y32" s="58">
        <v>4</v>
      </c>
      <c r="Z32" s="59"/>
      <c r="AA32" s="59"/>
      <c r="AB32" s="60"/>
      <c r="AC32" s="58"/>
      <c r="AD32" s="59"/>
      <c r="AE32" s="59"/>
      <c r="AF32" s="60"/>
      <c r="AG32" s="58">
        <v>4</v>
      </c>
      <c r="AH32" s="59"/>
      <c r="AI32" s="59"/>
      <c r="AJ32" s="60"/>
      <c r="AK32" s="58">
        <v>4</v>
      </c>
      <c r="AL32" s="59"/>
      <c r="AM32" s="59"/>
      <c r="AN32" s="60"/>
      <c r="AO32" s="58">
        <v>4</v>
      </c>
      <c r="AP32" s="59"/>
      <c r="AQ32" s="59"/>
      <c r="AR32" s="60"/>
      <c r="AS32" s="58"/>
      <c r="AT32" s="59"/>
      <c r="AU32" s="59"/>
      <c r="AV32" s="60"/>
      <c r="AW32" s="58"/>
      <c r="AX32" s="59"/>
      <c r="AY32" s="59"/>
      <c r="AZ32" s="60"/>
      <c r="BA32" s="58"/>
      <c r="BB32" s="59"/>
      <c r="BC32" s="59"/>
      <c r="BD32" s="60"/>
      <c r="BE32" s="58"/>
      <c r="BF32" s="59"/>
      <c r="BG32" s="59"/>
      <c r="BH32" s="60"/>
      <c r="BI32" s="58"/>
      <c r="BJ32" s="59"/>
      <c r="BK32" s="59"/>
      <c r="BL32" s="60"/>
      <c r="BM32" s="58"/>
      <c r="BN32" s="59"/>
      <c r="BO32" s="59"/>
      <c r="BP32" s="60"/>
      <c r="BQ32" s="58"/>
      <c r="BR32" s="59"/>
      <c r="BS32" s="59"/>
      <c r="BT32" s="60"/>
      <c r="BU32" s="58"/>
      <c r="BV32" s="59"/>
      <c r="BW32" s="59"/>
      <c r="BX32" s="60"/>
      <c r="BY32" s="58"/>
      <c r="BZ32" s="59"/>
      <c r="CA32" s="59"/>
      <c r="CB32" s="60"/>
      <c r="CC32" s="58"/>
      <c r="CD32" s="59"/>
      <c r="CE32" s="59"/>
      <c r="CF32" s="60"/>
      <c r="CG32" s="36"/>
      <c r="CH32" s="105"/>
      <c r="CI32" s="105"/>
      <c r="CJ32" s="103"/>
      <c r="CK32" s="20"/>
      <c r="CN32"/>
      <c r="CO32"/>
      <c r="CP32"/>
      <c r="CQ32"/>
      <c r="CR32"/>
      <c r="CS32"/>
      <c r="CT32"/>
      <c r="CU32"/>
      <c r="CV32"/>
      <c r="CW32"/>
      <c r="CX32"/>
      <c r="CY32"/>
      <c r="CZ32"/>
      <c r="DA32"/>
      <c r="DL32"/>
      <c r="DM32"/>
    </row>
    <row r="33" spans="2:117" ht="6" customHeight="1" x14ac:dyDescent="0.25">
      <c r="B33" s="102" t="s">
        <v>36</v>
      </c>
      <c r="C33" s="102"/>
      <c r="D33" s="28"/>
      <c r="E33" s="31"/>
      <c r="F33" s="43"/>
      <c r="G33" s="43"/>
      <c r="H33" s="33"/>
      <c r="I33" s="31"/>
      <c r="J33" s="43"/>
      <c r="K33" s="43"/>
      <c r="L33" s="33"/>
      <c r="M33" s="31"/>
      <c r="N33" s="43"/>
      <c r="O33" s="43"/>
      <c r="P33" s="33"/>
      <c r="Q33" s="31"/>
      <c r="R33" s="43"/>
      <c r="S33" s="43"/>
      <c r="T33" s="33"/>
      <c r="U33" s="31"/>
      <c r="V33" s="43"/>
      <c r="W33" s="43"/>
      <c r="X33" s="33"/>
      <c r="Y33" s="31"/>
      <c r="Z33" s="43"/>
      <c r="AA33" s="43"/>
      <c r="AB33" s="33"/>
      <c r="AC33" s="31"/>
      <c r="AD33" s="43"/>
      <c r="AE33" s="43"/>
      <c r="AF33" s="33"/>
      <c r="AG33" s="31"/>
      <c r="AH33" s="43"/>
      <c r="AI33" s="43"/>
      <c r="AJ33" s="33"/>
      <c r="AK33" s="31"/>
      <c r="AL33" s="43"/>
      <c r="AM33" s="43"/>
      <c r="AN33" s="33"/>
      <c r="AO33" s="31"/>
      <c r="AP33" s="43"/>
      <c r="AQ33" s="43"/>
      <c r="AR33" s="33"/>
      <c r="AS33" s="31"/>
      <c r="AT33" s="43"/>
      <c r="AU33" s="43"/>
      <c r="AV33" s="33"/>
      <c r="AW33" s="31"/>
      <c r="AX33" s="43"/>
      <c r="AY33" s="43"/>
      <c r="AZ33" s="33"/>
      <c r="BA33" s="31"/>
      <c r="BB33" s="43"/>
      <c r="BC33" s="43"/>
      <c r="BD33" s="33"/>
      <c r="BE33" s="31"/>
      <c r="BF33" s="43"/>
      <c r="BG33" s="43"/>
      <c r="BH33" s="33"/>
      <c r="BI33" s="31"/>
      <c r="BJ33" s="43"/>
      <c r="BK33" s="43"/>
      <c r="BL33" s="33"/>
      <c r="BM33" s="31"/>
      <c r="BN33" s="43"/>
      <c r="BO33" s="43"/>
      <c r="BP33" s="33"/>
      <c r="BQ33" s="31"/>
      <c r="BR33" s="43"/>
      <c r="BS33" s="43"/>
      <c r="BT33" s="33"/>
      <c r="BU33" s="31"/>
      <c r="BV33" s="43"/>
      <c r="BW33" s="43"/>
      <c r="BX33" s="33"/>
      <c r="BY33" s="31"/>
      <c r="BZ33" s="43"/>
      <c r="CA33" s="43"/>
      <c r="CB33" s="33"/>
      <c r="CC33" s="31"/>
      <c r="CD33" s="43"/>
      <c r="CE33" s="43"/>
      <c r="CF33" s="33"/>
      <c r="CH33" s="29"/>
      <c r="CI33" s="30"/>
      <c r="CJ33" s="103">
        <f t="shared" ref="CJ33" si="2">IF(ISBLANK(B33),"",IF(CI34&gt;=CH34,3,IF(CI34=(CH34-1),2,1)))</f>
        <v>3</v>
      </c>
      <c r="CK33" s="20"/>
      <c r="CN33"/>
      <c r="CO33"/>
      <c r="CP33"/>
      <c r="CQ33"/>
      <c r="CR33"/>
      <c r="CS33"/>
      <c r="CT33"/>
      <c r="CU33"/>
      <c r="CV33"/>
      <c r="CW33"/>
      <c r="CX33"/>
      <c r="CY33"/>
      <c r="CZ33"/>
      <c r="DA33"/>
      <c r="DL33"/>
      <c r="DM33"/>
    </row>
    <row r="34" spans="2:117" ht="15" customHeight="1" x14ac:dyDescent="0.25">
      <c r="B34" s="102"/>
      <c r="C34" s="102"/>
      <c r="D34" s="28"/>
      <c r="E34" s="31"/>
      <c r="F34" s="32"/>
      <c r="G34" s="32"/>
      <c r="H34" s="33"/>
      <c r="I34" s="31"/>
      <c r="J34" s="32"/>
      <c r="K34" s="32"/>
      <c r="L34" s="33"/>
      <c r="M34" s="31"/>
      <c r="N34" s="32"/>
      <c r="O34" s="32"/>
      <c r="P34" s="33"/>
      <c r="Q34" s="31"/>
      <c r="R34" s="32"/>
      <c r="S34" s="32"/>
      <c r="T34" s="33"/>
      <c r="U34" s="31"/>
      <c r="V34" s="32"/>
      <c r="W34" s="32"/>
      <c r="X34" s="33"/>
      <c r="Y34" s="31"/>
      <c r="Z34" s="32"/>
      <c r="AA34" s="32"/>
      <c r="AB34" s="33"/>
      <c r="AC34" s="31"/>
      <c r="AD34" s="32"/>
      <c r="AE34" s="32"/>
      <c r="AF34" s="33"/>
      <c r="AG34" s="31"/>
      <c r="AH34" s="32"/>
      <c r="AI34" s="32"/>
      <c r="AJ34" s="33"/>
      <c r="AK34" s="31"/>
      <c r="AL34" s="32"/>
      <c r="AM34" s="32"/>
      <c r="AN34" s="33"/>
      <c r="AO34" s="31"/>
      <c r="AP34" s="32"/>
      <c r="AQ34" s="32"/>
      <c r="AR34" s="33"/>
      <c r="AS34" s="31"/>
      <c r="AT34" s="32"/>
      <c r="AU34" s="32"/>
      <c r="AV34" s="33"/>
      <c r="AW34" s="31"/>
      <c r="AX34" s="32"/>
      <c r="AY34" s="32"/>
      <c r="AZ34" s="33"/>
      <c r="BA34" s="31"/>
      <c r="BB34" s="32"/>
      <c r="BC34" s="32"/>
      <c r="BD34" s="33"/>
      <c r="BE34" s="31"/>
      <c r="BF34" s="32"/>
      <c r="BG34" s="32"/>
      <c r="BH34" s="33"/>
      <c r="BI34" s="31"/>
      <c r="BJ34" s="32"/>
      <c r="BK34" s="32"/>
      <c r="BL34" s="33"/>
      <c r="BM34" s="31"/>
      <c r="BN34" s="32"/>
      <c r="BO34" s="32"/>
      <c r="BP34" s="33"/>
      <c r="BQ34" s="31"/>
      <c r="BR34" s="32"/>
      <c r="BS34" s="32"/>
      <c r="BT34" s="33"/>
      <c r="BU34" s="31"/>
      <c r="BV34" s="32"/>
      <c r="BW34" s="32"/>
      <c r="BX34" s="33"/>
      <c r="BY34" s="31"/>
      <c r="BZ34" s="32"/>
      <c r="CA34" s="32"/>
      <c r="CB34" s="33"/>
      <c r="CC34" s="31"/>
      <c r="CD34" s="32"/>
      <c r="CE34" s="32"/>
      <c r="CF34" s="33"/>
      <c r="CH34" s="34">
        <v>3</v>
      </c>
      <c r="CI34" s="35">
        <f>IF(ISBLANK(B33),"",COUNTIF(B36:CF36,"&gt;=3"))</f>
        <v>5</v>
      </c>
      <c r="CJ34" s="103"/>
      <c r="CK34" s="20"/>
      <c r="CN34"/>
      <c r="CO34"/>
      <c r="CP34"/>
      <c r="CQ34"/>
      <c r="CR34"/>
      <c r="CS34"/>
      <c r="CT34"/>
      <c r="CU34"/>
      <c r="CV34"/>
      <c r="CW34"/>
      <c r="CX34"/>
      <c r="CY34"/>
      <c r="CZ34"/>
      <c r="DA34"/>
      <c r="DL34"/>
      <c r="DM34"/>
    </row>
    <row r="35" spans="2:117" ht="15" customHeight="1" x14ac:dyDescent="0.25">
      <c r="B35" s="102"/>
      <c r="C35" s="102"/>
      <c r="D35" s="28"/>
      <c r="E35" s="31"/>
      <c r="F35" s="32"/>
      <c r="G35" s="32"/>
      <c r="H35" s="33"/>
      <c r="I35" s="31"/>
      <c r="J35" s="32"/>
      <c r="K35" s="32"/>
      <c r="L35" s="33"/>
      <c r="M35" s="31"/>
      <c r="N35" s="32"/>
      <c r="O35" s="32"/>
      <c r="P35" s="33"/>
      <c r="Q35" s="31"/>
      <c r="R35" s="32"/>
      <c r="S35" s="32"/>
      <c r="T35" s="33"/>
      <c r="U35" s="31"/>
      <c r="V35" s="32"/>
      <c r="W35" s="32"/>
      <c r="X35" s="33"/>
      <c r="Y35" s="31"/>
      <c r="Z35" s="32"/>
      <c r="AA35" s="32"/>
      <c r="AB35" s="33"/>
      <c r="AC35" s="31"/>
      <c r="AD35" s="32"/>
      <c r="AE35" s="32"/>
      <c r="AF35" s="33"/>
      <c r="AG35" s="31"/>
      <c r="AH35" s="32"/>
      <c r="AI35" s="32"/>
      <c r="AJ35" s="33"/>
      <c r="AK35" s="31"/>
      <c r="AL35" s="32"/>
      <c r="AM35" s="32"/>
      <c r="AN35" s="33"/>
      <c r="AO35" s="31"/>
      <c r="AP35" s="32"/>
      <c r="AQ35" s="32"/>
      <c r="AR35" s="33"/>
      <c r="AS35" s="31"/>
      <c r="AT35" s="32"/>
      <c r="AU35" s="32"/>
      <c r="AV35" s="33"/>
      <c r="AW35" s="31"/>
      <c r="AX35" s="32"/>
      <c r="AY35" s="32"/>
      <c r="AZ35" s="33"/>
      <c r="BA35" s="31"/>
      <c r="BB35" s="32"/>
      <c r="BC35" s="32"/>
      <c r="BD35" s="33"/>
      <c r="BE35" s="31"/>
      <c r="BF35" s="32"/>
      <c r="BG35" s="32"/>
      <c r="BH35" s="33"/>
      <c r="BI35" s="31"/>
      <c r="BJ35" s="32"/>
      <c r="BK35" s="32"/>
      <c r="BL35" s="33"/>
      <c r="BM35" s="31"/>
      <c r="BN35" s="32"/>
      <c r="BO35" s="32"/>
      <c r="BP35" s="33"/>
      <c r="BQ35" s="31"/>
      <c r="BR35" s="32"/>
      <c r="BS35" s="32"/>
      <c r="BT35" s="33"/>
      <c r="BU35" s="31"/>
      <c r="BV35" s="32"/>
      <c r="BW35" s="32"/>
      <c r="BX35" s="33"/>
      <c r="BY35" s="31"/>
      <c r="BZ35" s="32"/>
      <c r="CA35" s="32"/>
      <c r="CB35" s="33"/>
      <c r="CC35" s="31"/>
      <c r="CD35" s="32"/>
      <c r="CE35" s="32"/>
      <c r="CF35" s="33"/>
      <c r="CH35" s="104" t="str">
        <f>IF(ISBLANK(B33),"","personas cualificadas")</f>
        <v>personas cualificadas</v>
      </c>
      <c r="CI35" s="104" t="str">
        <f>IF(ISBLANK(B33),"","personas cualificadas")</f>
        <v>personas cualificadas</v>
      </c>
      <c r="CJ35" s="103"/>
      <c r="CK35" s="20"/>
      <c r="CN35"/>
      <c r="CO35"/>
      <c r="CP35"/>
      <c r="CQ35"/>
      <c r="CR35"/>
      <c r="CS35"/>
      <c r="CT35"/>
      <c r="CU35"/>
      <c r="CV35"/>
      <c r="CW35"/>
      <c r="CX35"/>
      <c r="CY35"/>
      <c r="CZ35"/>
      <c r="DA35"/>
      <c r="DL35"/>
      <c r="DM35"/>
    </row>
    <row r="36" spans="2:117" x14ac:dyDescent="0.25">
      <c r="B36" s="102"/>
      <c r="C36" s="102"/>
      <c r="D36" s="28"/>
      <c r="E36" s="58"/>
      <c r="F36" s="59"/>
      <c r="G36" s="59"/>
      <c r="H36" s="60"/>
      <c r="I36" s="58"/>
      <c r="J36" s="59"/>
      <c r="K36" s="59"/>
      <c r="L36" s="60"/>
      <c r="M36" s="58"/>
      <c r="N36" s="59"/>
      <c r="O36" s="59"/>
      <c r="P36" s="60"/>
      <c r="Q36" s="58">
        <v>2</v>
      </c>
      <c r="R36" s="59"/>
      <c r="S36" s="59"/>
      <c r="T36" s="60"/>
      <c r="U36" s="58">
        <v>4</v>
      </c>
      <c r="V36" s="59"/>
      <c r="W36" s="59"/>
      <c r="X36" s="60"/>
      <c r="Y36" s="58">
        <v>4</v>
      </c>
      <c r="Z36" s="59"/>
      <c r="AA36" s="59"/>
      <c r="AB36" s="60"/>
      <c r="AC36" s="58"/>
      <c r="AD36" s="59"/>
      <c r="AE36" s="59"/>
      <c r="AF36" s="60"/>
      <c r="AG36" s="58">
        <v>3</v>
      </c>
      <c r="AH36" s="59"/>
      <c r="AI36" s="59"/>
      <c r="AJ36" s="60"/>
      <c r="AK36" s="58">
        <v>3</v>
      </c>
      <c r="AL36" s="59"/>
      <c r="AM36" s="59"/>
      <c r="AN36" s="60"/>
      <c r="AO36" s="58">
        <v>3</v>
      </c>
      <c r="AP36" s="59"/>
      <c r="AQ36" s="59"/>
      <c r="AR36" s="60"/>
      <c r="AS36" s="58"/>
      <c r="AT36" s="59"/>
      <c r="AU36" s="59"/>
      <c r="AV36" s="60"/>
      <c r="AW36" s="58"/>
      <c r="AX36" s="59"/>
      <c r="AY36" s="59"/>
      <c r="AZ36" s="60"/>
      <c r="BA36" s="58"/>
      <c r="BB36" s="59"/>
      <c r="BC36" s="59"/>
      <c r="BD36" s="60"/>
      <c r="BE36" s="58"/>
      <c r="BF36" s="59"/>
      <c r="BG36" s="59"/>
      <c r="BH36" s="60"/>
      <c r="BI36" s="58"/>
      <c r="BJ36" s="59"/>
      <c r="BK36" s="59"/>
      <c r="BL36" s="60"/>
      <c r="BM36" s="58"/>
      <c r="BN36" s="59"/>
      <c r="BO36" s="59"/>
      <c r="BP36" s="60"/>
      <c r="BQ36" s="58"/>
      <c r="BR36" s="59"/>
      <c r="BS36" s="59"/>
      <c r="BT36" s="60"/>
      <c r="BU36" s="58"/>
      <c r="BV36" s="59"/>
      <c r="BW36" s="59"/>
      <c r="BX36" s="60"/>
      <c r="BY36" s="58"/>
      <c r="BZ36" s="59"/>
      <c r="CA36" s="59"/>
      <c r="CB36" s="60"/>
      <c r="CC36" s="58"/>
      <c r="CD36" s="59"/>
      <c r="CE36" s="59"/>
      <c r="CF36" s="60"/>
      <c r="CG36" s="36"/>
      <c r="CH36" s="105"/>
      <c r="CI36" s="105"/>
      <c r="CJ36" s="103"/>
      <c r="CK36" s="20"/>
      <c r="CN36"/>
      <c r="CO36"/>
      <c r="CP36"/>
      <c r="CQ36"/>
      <c r="CR36"/>
      <c r="CS36"/>
      <c r="CT36"/>
      <c r="CU36"/>
      <c r="CV36"/>
      <c r="CW36"/>
      <c r="CX36"/>
      <c r="CY36"/>
      <c r="CZ36"/>
      <c r="DA36"/>
      <c r="DL36"/>
      <c r="DM36"/>
    </row>
    <row r="37" spans="2:117" s="37" customFormat="1" ht="6.75" customHeight="1" x14ac:dyDescent="0.2">
      <c r="D37" s="38"/>
      <c r="E37" s="106">
        <f>SUM(E13:H36)</f>
        <v>10</v>
      </c>
      <c r="F37" s="106"/>
      <c r="G37" s="106">
        <f>COUNT(E13:H36)*4</f>
        <v>12</v>
      </c>
      <c r="H37" s="106"/>
      <c r="I37" s="106">
        <f>SUM(I13:L36)</f>
        <v>16</v>
      </c>
      <c r="J37" s="106"/>
      <c r="K37" s="106">
        <f>COUNT(I13:L36)*4</f>
        <v>16</v>
      </c>
      <c r="L37" s="106"/>
      <c r="M37" s="106">
        <f>SUM(M13:P36)</f>
        <v>8</v>
      </c>
      <c r="N37" s="106"/>
      <c r="O37" s="106">
        <f>COUNT(M13:P36)*4</f>
        <v>8</v>
      </c>
      <c r="P37" s="106"/>
      <c r="Q37" s="106">
        <f>SUM(Q13:T36)</f>
        <v>4</v>
      </c>
      <c r="R37" s="106"/>
      <c r="S37" s="106">
        <f>COUNT(Q13:T36)*4</f>
        <v>8</v>
      </c>
      <c r="T37" s="106"/>
      <c r="U37" s="106">
        <f>SUM(U13:X36)</f>
        <v>8</v>
      </c>
      <c r="V37" s="106"/>
      <c r="W37" s="106">
        <f>COUNT(U13:X36)*4</f>
        <v>8</v>
      </c>
      <c r="X37" s="106"/>
      <c r="Y37" s="106">
        <f>SUM(Y13:AB36)</f>
        <v>8</v>
      </c>
      <c r="Z37" s="106"/>
      <c r="AA37" s="106">
        <f>COUNT(Y13:AB36)*4</f>
        <v>8</v>
      </c>
      <c r="AB37" s="106"/>
      <c r="AC37" s="106">
        <f>SUM(AC13:AF36)</f>
        <v>16</v>
      </c>
      <c r="AD37" s="106"/>
      <c r="AE37" s="106">
        <f>COUNT(AC13:AF36)*4</f>
        <v>16</v>
      </c>
      <c r="AF37" s="106"/>
      <c r="AG37" s="106">
        <f>SUM(AG13:AJ36)</f>
        <v>7</v>
      </c>
      <c r="AH37" s="106"/>
      <c r="AI37" s="106">
        <f>COUNT(AG13:AJ36)*4</f>
        <v>8</v>
      </c>
      <c r="AJ37" s="106"/>
      <c r="AK37" s="106">
        <f>SUM(AK13:AN36)</f>
        <v>7</v>
      </c>
      <c r="AL37" s="106"/>
      <c r="AM37" s="106">
        <f>COUNT(AK13:AN36)*4</f>
        <v>8</v>
      </c>
      <c r="AN37" s="106"/>
      <c r="AO37" s="106">
        <f>SUM(AO13:AR36)</f>
        <v>7</v>
      </c>
      <c r="AP37" s="106"/>
      <c r="AQ37" s="106">
        <f>COUNT(AO13:AR36)*4</f>
        <v>8</v>
      </c>
      <c r="AR37" s="106"/>
      <c r="AS37" s="106">
        <f>SUM(AS13:AV36)</f>
        <v>0</v>
      </c>
      <c r="AT37" s="106"/>
      <c r="AU37" s="106">
        <f>COUNT(AS13:AV36)*4</f>
        <v>0</v>
      </c>
      <c r="AV37" s="106"/>
      <c r="AW37" s="106">
        <f>SUM(AW13:AZ36)</f>
        <v>0</v>
      </c>
      <c r="AX37" s="106"/>
      <c r="AY37" s="106">
        <f>COUNT(AW13:AZ36)*4</f>
        <v>0</v>
      </c>
      <c r="AZ37" s="106"/>
      <c r="BA37" s="106">
        <f>SUM(BA13:BD36)</f>
        <v>0</v>
      </c>
      <c r="BB37" s="106"/>
      <c r="BC37" s="106">
        <f>COUNT(BA13:BD36)*4</f>
        <v>0</v>
      </c>
      <c r="BD37" s="106"/>
      <c r="BE37" s="106">
        <f>SUM(BE13:BH36)</f>
        <v>0</v>
      </c>
      <c r="BF37" s="106"/>
      <c r="BG37" s="106">
        <f>COUNT(BE13:BH36)*4</f>
        <v>0</v>
      </c>
      <c r="BH37" s="106"/>
      <c r="BI37" s="106">
        <f>SUM(BI13:BL36)</f>
        <v>0</v>
      </c>
      <c r="BJ37" s="106"/>
      <c r="BK37" s="106">
        <f>COUNT(BI13:BL36)*4</f>
        <v>0</v>
      </c>
      <c r="BL37" s="106"/>
      <c r="BM37" s="106">
        <f>SUM(BM13:BP36)</f>
        <v>0</v>
      </c>
      <c r="BN37" s="106"/>
      <c r="BO37" s="106">
        <f>COUNT(BM13:BP36)*4</f>
        <v>0</v>
      </c>
      <c r="BP37" s="106"/>
      <c r="BQ37" s="106">
        <f>SUM(BQ13:BT36)</f>
        <v>0</v>
      </c>
      <c r="BR37" s="106"/>
      <c r="BS37" s="106">
        <f>COUNT(BQ13:BT36)*4</f>
        <v>0</v>
      </c>
      <c r="BT37" s="106"/>
      <c r="BU37" s="106">
        <f>SUM(BU13:BX36)</f>
        <v>0</v>
      </c>
      <c r="BV37" s="106"/>
      <c r="BW37" s="106">
        <f>COUNT(BU13:BX36)*4</f>
        <v>0</v>
      </c>
      <c r="BX37" s="106"/>
      <c r="BY37" s="106">
        <f>SUM(BY13:CB36)</f>
        <v>0</v>
      </c>
      <c r="BZ37" s="106"/>
      <c r="CA37" s="106">
        <f>COUNT(BY13:CB36)*4</f>
        <v>0</v>
      </c>
      <c r="CB37" s="106"/>
      <c r="CC37" s="106">
        <f>SUM(CC13:CF36)</f>
        <v>0</v>
      </c>
      <c r="CD37" s="106"/>
      <c r="CE37" s="106">
        <f>COUNT(CC13:CF36)*4</f>
        <v>0</v>
      </c>
      <c r="CF37" s="106"/>
      <c r="CG37" s="39"/>
    </row>
    <row r="38" spans="2:117" x14ac:dyDescent="0.25">
      <c r="B38" s="90" t="s">
        <v>37</v>
      </c>
      <c r="C38" s="90"/>
      <c r="E38" s="107">
        <f>IFERROR(E37/G37,"")</f>
        <v>0.83333333333333337</v>
      </c>
      <c r="F38" s="107"/>
      <c r="G38" s="107"/>
      <c r="H38" s="107"/>
      <c r="I38" s="107">
        <f>IFERROR(I37/K37,"")</f>
        <v>1</v>
      </c>
      <c r="J38" s="107"/>
      <c r="K38" s="107"/>
      <c r="L38" s="107"/>
      <c r="M38" s="107">
        <f>IFERROR(M37/O37,"")</f>
        <v>1</v>
      </c>
      <c r="N38" s="107"/>
      <c r="O38" s="107"/>
      <c r="P38" s="107"/>
      <c r="Q38" s="107">
        <f>IFERROR(Q37/S37,"")</f>
        <v>0.5</v>
      </c>
      <c r="R38" s="107"/>
      <c r="S38" s="107"/>
      <c r="T38" s="107"/>
      <c r="U38" s="107">
        <f>IFERROR(U37/W37,"")</f>
        <v>1</v>
      </c>
      <c r="V38" s="107"/>
      <c r="W38" s="107"/>
      <c r="X38" s="107"/>
      <c r="Y38" s="107">
        <f>IFERROR(Y37/AA37,"")</f>
        <v>1</v>
      </c>
      <c r="Z38" s="107"/>
      <c r="AA38" s="107"/>
      <c r="AB38" s="107"/>
      <c r="AC38" s="107">
        <f>IFERROR(AC37/AE37,"")</f>
        <v>1</v>
      </c>
      <c r="AD38" s="107"/>
      <c r="AE38" s="107"/>
      <c r="AF38" s="107"/>
      <c r="AG38" s="107">
        <f>IFERROR(AG37/AI37,"")</f>
        <v>0.875</v>
      </c>
      <c r="AH38" s="107"/>
      <c r="AI38" s="107"/>
      <c r="AJ38" s="107"/>
      <c r="AK38" s="107">
        <f>IFERROR(AK37/AM37,"")</f>
        <v>0.875</v>
      </c>
      <c r="AL38" s="107"/>
      <c r="AM38" s="107"/>
      <c r="AN38" s="107"/>
      <c r="AO38" s="107">
        <f>IFERROR(AO37/AQ37,"")</f>
        <v>0.875</v>
      </c>
      <c r="AP38" s="107"/>
      <c r="AQ38" s="107"/>
      <c r="AR38" s="107"/>
      <c r="AS38" s="107" t="str">
        <f>IFERROR(AS37/AU37,"")</f>
        <v/>
      </c>
      <c r="AT38" s="107"/>
      <c r="AU38" s="107"/>
      <c r="AV38" s="107"/>
      <c r="AW38" s="107" t="str">
        <f>IFERROR(AW37/AY37,"")</f>
        <v/>
      </c>
      <c r="AX38" s="107"/>
      <c r="AY38" s="107"/>
      <c r="AZ38" s="107"/>
      <c r="BA38" s="107" t="str">
        <f>IFERROR(BA37/BC37,"")</f>
        <v/>
      </c>
      <c r="BB38" s="107"/>
      <c r="BC38" s="107"/>
      <c r="BD38" s="107"/>
      <c r="BE38" s="107" t="str">
        <f>IFERROR(BE37/BG37,"")</f>
        <v/>
      </c>
      <c r="BF38" s="107"/>
      <c r="BG38" s="107"/>
      <c r="BH38" s="107"/>
      <c r="BI38" s="107" t="str">
        <f>IFERROR(BI37/BK37,"")</f>
        <v/>
      </c>
      <c r="BJ38" s="107"/>
      <c r="BK38" s="107"/>
      <c r="BL38" s="107"/>
      <c r="BM38" s="107" t="str">
        <f>IFERROR(BM37/BO37,"")</f>
        <v/>
      </c>
      <c r="BN38" s="107"/>
      <c r="BO38" s="107"/>
      <c r="BP38" s="107"/>
      <c r="BQ38" s="107" t="str">
        <f>IFERROR(BQ37/BS37,"")</f>
        <v/>
      </c>
      <c r="BR38" s="107"/>
      <c r="BS38" s="107"/>
      <c r="BT38" s="107"/>
      <c r="BU38" s="107" t="str">
        <f>IFERROR(BU37/BW37,"")</f>
        <v/>
      </c>
      <c r="BV38" s="107"/>
      <c r="BW38" s="107"/>
      <c r="BX38" s="107"/>
      <c r="BY38" s="107" t="str">
        <f>IFERROR(BY37/CA37,"")</f>
        <v/>
      </c>
      <c r="BZ38" s="107"/>
      <c r="CA38" s="107"/>
      <c r="CB38" s="107"/>
      <c r="CC38" s="107" t="str">
        <f>IFERROR(CC37/CE37,"")</f>
        <v/>
      </c>
      <c r="CD38" s="107"/>
      <c r="CE38" s="107"/>
      <c r="CF38" s="107"/>
      <c r="CG38" s="40"/>
      <c r="CH38" s="111" t="s">
        <v>38</v>
      </c>
      <c r="CI38" s="112"/>
      <c r="CJ38" s="109">
        <f>IFERROR(AVERAGE(E38:CF39),"")</f>
        <v>0.89583333333333337</v>
      </c>
      <c r="CN38"/>
      <c r="CO38"/>
      <c r="CP38"/>
      <c r="CQ38"/>
      <c r="CR38"/>
      <c r="CS38"/>
      <c r="CT38"/>
      <c r="CU38"/>
      <c r="CV38"/>
      <c r="CW38"/>
      <c r="CX38"/>
      <c r="CY38"/>
      <c r="CZ38"/>
      <c r="DA38"/>
      <c r="DL38"/>
      <c r="DM38"/>
    </row>
    <row r="39" spans="2:117" ht="15.75" x14ac:dyDescent="0.25">
      <c r="B39" s="90"/>
      <c r="C39" s="90"/>
      <c r="D39" s="41"/>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42"/>
      <c r="CH39" s="113"/>
      <c r="CI39" s="114"/>
      <c r="CJ39" s="110"/>
      <c r="CK39" s="20"/>
      <c r="CN39"/>
      <c r="CO39"/>
      <c r="CP39"/>
      <c r="CQ39"/>
      <c r="CR39"/>
      <c r="CS39"/>
      <c r="CT39"/>
      <c r="CU39"/>
      <c r="CV39"/>
      <c r="CW39"/>
      <c r="CX39"/>
      <c r="CY39"/>
      <c r="CZ39"/>
      <c r="DA39"/>
      <c r="DL39"/>
      <c r="DM39"/>
    </row>
    <row r="40" spans="2:117" x14ac:dyDescent="0.25">
      <c r="CH40"/>
      <c r="CI40"/>
    </row>
    <row r="41" spans="2:117" x14ac:dyDescent="0.25">
      <c r="CH41"/>
      <c r="CI41"/>
    </row>
  </sheetData>
  <mergeCells count="253">
    <mergeCell ref="BU38:BX39"/>
    <mergeCell ref="BY38:CB39"/>
    <mergeCell ref="CC38:CF39"/>
    <mergeCell ref="CH38:CI39"/>
    <mergeCell ref="CJ38:CJ39"/>
    <mergeCell ref="AW38:AZ39"/>
    <mergeCell ref="BA38:BD39"/>
    <mergeCell ref="BE38:BH39"/>
    <mergeCell ref="BI38:BL39"/>
    <mergeCell ref="BM38:BP39"/>
    <mergeCell ref="BQ38:BT39"/>
    <mergeCell ref="Y38:AB39"/>
    <mergeCell ref="AC38:AF39"/>
    <mergeCell ref="AG38:AJ39"/>
    <mergeCell ref="AK38:AN39"/>
    <mergeCell ref="AO38:AR39"/>
    <mergeCell ref="AS38:AV39"/>
    <mergeCell ref="BY37:BZ37"/>
    <mergeCell ref="CA37:CB37"/>
    <mergeCell ref="CC37:CD37"/>
    <mergeCell ref="CE37:CF37"/>
    <mergeCell ref="B38:C39"/>
    <mergeCell ref="E38:H39"/>
    <mergeCell ref="I38:L39"/>
    <mergeCell ref="M38:P39"/>
    <mergeCell ref="Q38:T39"/>
    <mergeCell ref="U38:X39"/>
    <mergeCell ref="BM37:BN37"/>
    <mergeCell ref="BO37:BP37"/>
    <mergeCell ref="BQ37:BR37"/>
    <mergeCell ref="BS37:BT37"/>
    <mergeCell ref="BU37:BV37"/>
    <mergeCell ref="BW37:BX37"/>
    <mergeCell ref="BA37:BB37"/>
    <mergeCell ref="BC37:BD37"/>
    <mergeCell ref="BE37:BF37"/>
    <mergeCell ref="BG37:BH37"/>
    <mergeCell ref="BI37:BJ37"/>
    <mergeCell ref="BK37:BL37"/>
    <mergeCell ref="AO37:AP37"/>
    <mergeCell ref="AQ37:AR37"/>
    <mergeCell ref="AS37:AT37"/>
    <mergeCell ref="AU37:AV37"/>
    <mergeCell ref="AW37:AX37"/>
    <mergeCell ref="AY37:AZ37"/>
    <mergeCell ref="AC37:AD37"/>
    <mergeCell ref="AE37:AF37"/>
    <mergeCell ref="AG37:AH37"/>
    <mergeCell ref="AI37:AJ37"/>
    <mergeCell ref="AK37:AL37"/>
    <mergeCell ref="AM37:AN37"/>
    <mergeCell ref="Q37:R37"/>
    <mergeCell ref="S37:T37"/>
    <mergeCell ref="U37:V37"/>
    <mergeCell ref="W37:X37"/>
    <mergeCell ref="Y37:Z37"/>
    <mergeCell ref="AA37:AB37"/>
    <mergeCell ref="BQ36:BT36"/>
    <mergeCell ref="BU36:BX36"/>
    <mergeCell ref="BY36:CB36"/>
    <mergeCell ref="CC36:CF36"/>
    <mergeCell ref="E37:F37"/>
    <mergeCell ref="G37:H37"/>
    <mergeCell ref="I37:J37"/>
    <mergeCell ref="K37:L37"/>
    <mergeCell ref="M37:N37"/>
    <mergeCell ref="O37:P37"/>
    <mergeCell ref="AS36:AV36"/>
    <mergeCell ref="AW36:AZ36"/>
    <mergeCell ref="BA36:BD36"/>
    <mergeCell ref="BE36:BH36"/>
    <mergeCell ref="BI36:BL36"/>
    <mergeCell ref="BM36:BP36"/>
    <mergeCell ref="U36:X36"/>
    <mergeCell ref="Y36:AB36"/>
    <mergeCell ref="AC36:AF36"/>
    <mergeCell ref="AG36:AJ36"/>
    <mergeCell ref="AK36:AN36"/>
    <mergeCell ref="AO36:AR36"/>
    <mergeCell ref="BY32:CB32"/>
    <mergeCell ref="CC32:CF32"/>
    <mergeCell ref="B33:C36"/>
    <mergeCell ref="CJ33:CJ36"/>
    <mergeCell ref="CH35:CH36"/>
    <mergeCell ref="CI35:CI36"/>
    <mergeCell ref="E36:H36"/>
    <mergeCell ref="I36:L36"/>
    <mergeCell ref="M36:P36"/>
    <mergeCell ref="Q36:T36"/>
    <mergeCell ref="BA32:BD32"/>
    <mergeCell ref="BE32:BH32"/>
    <mergeCell ref="BI32:BL32"/>
    <mergeCell ref="BM32:BP32"/>
    <mergeCell ref="BQ32:BT32"/>
    <mergeCell ref="BU32:BX32"/>
    <mergeCell ref="AC32:AF32"/>
    <mergeCell ref="AG32:AJ32"/>
    <mergeCell ref="AK32:AN32"/>
    <mergeCell ref="AO32:AR32"/>
    <mergeCell ref="AS32:AV32"/>
    <mergeCell ref="AW32:AZ32"/>
    <mergeCell ref="B29:C32"/>
    <mergeCell ref="CJ29:CJ32"/>
    <mergeCell ref="CH31:CH32"/>
    <mergeCell ref="CI31:CI32"/>
    <mergeCell ref="E32:H32"/>
    <mergeCell ref="I32:L32"/>
    <mergeCell ref="M32:P32"/>
    <mergeCell ref="Q32:T32"/>
    <mergeCell ref="U32:X32"/>
    <mergeCell ref="Y32:AB32"/>
    <mergeCell ref="BI28:BL28"/>
    <mergeCell ref="BM28:BP28"/>
    <mergeCell ref="BQ28:BT28"/>
    <mergeCell ref="BU28:BX28"/>
    <mergeCell ref="BY28:CB28"/>
    <mergeCell ref="CC28:CF28"/>
    <mergeCell ref="AK28:AN28"/>
    <mergeCell ref="AO28:AR28"/>
    <mergeCell ref="AS28:AV28"/>
    <mergeCell ref="AW28:AZ28"/>
    <mergeCell ref="BA28:BD28"/>
    <mergeCell ref="BE28:BH28"/>
    <mergeCell ref="M28:P28"/>
    <mergeCell ref="Q28:T28"/>
    <mergeCell ref="U28:X28"/>
    <mergeCell ref="Y28:AB28"/>
    <mergeCell ref="AC28:AF28"/>
    <mergeCell ref="AG28:AJ28"/>
    <mergeCell ref="BQ24:BT24"/>
    <mergeCell ref="BU24:BX24"/>
    <mergeCell ref="BY24:CB24"/>
    <mergeCell ref="CC24:CF24"/>
    <mergeCell ref="B25:C28"/>
    <mergeCell ref="CJ25:CJ28"/>
    <mergeCell ref="CH27:CH28"/>
    <mergeCell ref="CI27:CI28"/>
    <mergeCell ref="E28:H28"/>
    <mergeCell ref="I28:L28"/>
    <mergeCell ref="AS24:AV24"/>
    <mergeCell ref="AW24:AZ24"/>
    <mergeCell ref="BA24:BD24"/>
    <mergeCell ref="BE24:BH24"/>
    <mergeCell ref="BI24:BL24"/>
    <mergeCell ref="BM24:BP24"/>
    <mergeCell ref="U24:X24"/>
    <mergeCell ref="Y24:AB24"/>
    <mergeCell ref="AC24:AF24"/>
    <mergeCell ref="AG24:AJ24"/>
    <mergeCell ref="AK24:AN24"/>
    <mergeCell ref="AO24:AR24"/>
    <mergeCell ref="BY20:CB20"/>
    <mergeCell ref="CC20:CF20"/>
    <mergeCell ref="B21:C24"/>
    <mergeCell ref="CJ21:CJ24"/>
    <mergeCell ref="CH23:CH24"/>
    <mergeCell ref="CI23:CI24"/>
    <mergeCell ref="E24:H24"/>
    <mergeCell ref="I24:L24"/>
    <mergeCell ref="M24:P24"/>
    <mergeCell ref="Q24:T24"/>
    <mergeCell ref="BA20:BD20"/>
    <mergeCell ref="BE20:BH20"/>
    <mergeCell ref="BI20:BL20"/>
    <mergeCell ref="BM20:BP20"/>
    <mergeCell ref="BQ20:BT20"/>
    <mergeCell ref="BU20:BX20"/>
    <mergeCell ref="AC20:AF20"/>
    <mergeCell ref="AG20:AJ20"/>
    <mergeCell ref="AK20:AN20"/>
    <mergeCell ref="AO20:AR20"/>
    <mergeCell ref="AS20:AV20"/>
    <mergeCell ref="AW20:AZ20"/>
    <mergeCell ref="B17:C20"/>
    <mergeCell ref="CJ17:CJ20"/>
    <mergeCell ref="CH19:CH20"/>
    <mergeCell ref="CI19:CI20"/>
    <mergeCell ref="E20:H20"/>
    <mergeCell ref="I20:L20"/>
    <mergeCell ref="M20:P20"/>
    <mergeCell ref="Q20:T20"/>
    <mergeCell ref="U20:X20"/>
    <mergeCell ref="Y20:AB20"/>
    <mergeCell ref="BI16:BL16"/>
    <mergeCell ref="BM16:BP16"/>
    <mergeCell ref="BQ16:BT16"/>
    <mergeCell ref="BU16:BX16"/>
    <mergeCell ref="BY16:CB16"/>
    <mergeCell ref="CC16:CF16"/>
    <mergeCell ref="AK16:AN16"/>
    <mergeCell ref="AO16:AR16"/>
    <mergeCell ref="AS16:AV16"/>
    <mergeCell ref="AW16:AZ16"/>
    <mergeCell ref="BA16:BD16"/>
    <mergeCell ref="BE16:BH16"/>
    <mergeCell ref="M16:P16"/>
    <mergeCell ref="Q16:T16"/>
    <mergeCell ref="U16:X16"/>
    <mergeCell ref="Y16:AB16"/>
    <mergeCell ref="AC16:AF16"/>
    <mergeCell ref="AG16:AJ16"/>
    <mergeCell ref="BQ11:BT12"/>
    <mergeCell ref="BU11:BX12"/>
    <mergeCell ref="BY11:CB12"/>
    <mergeCell ref="CC11:CF12"/>
    <mergeCell ref="B13:C16"/>
    <mergeCell ref="CJ13:CJ16"/>
    <mergeCell ref="CH15:CH16"/>
    <mergeCell ref="CI15:CI16"/>
    <mergeCell ref="E16:H16"/>
    <mergeCell ref="I16:L16"/>
    <mergeCell ref="AS11:AV12"/>
    <mergeCell ref="AW11:AZ12"/>
    <mergeCell ref="BA11:BD12"/>
    <mergeCell ref="BE11:BH12"/>
    <mergeCell ref="BI11:BL12"/>
    <mergeCell ref="BM11:BP12"/>
    <mergeCell ref="U11:X12"/>
    <mergeCell ref="Y11:AB12"/>
    <mergeCell ref="AC11:AF12"/>
    <mergeCell ref="AG11:AJ12"/>
    <mergeCell ref="AK11:AN12"/>
    <mergeCell ref="AO11:AR12"/>
    <mergeCell ref="BQ8:BT8"/>
    <mergeCell ref="B10:C12"/>
    <mergeCell ref="E10:CF10"/>
    <mergeCell ref="CH10:CH12"/>
    <mergeCell ref="CI10:CI12"/>
    <mergeCell ref="CJ10:CJ12"/>
    <mergeCell ref="E11:H12"/>
    <mergeCell ref="I11:L12"/>
    <mergeCell ref="M11:P12"/>
    <mergeCell ref="Q11:T12"/>
    <mergeCell ref="BU5:CF8"/>
    <mergeCell ref="CH5:CH8"/>
    <mergeCell ref="CI5:CI8"/>
    <mergeCell ref="CJ5:CJ8"/>
    <mergeCell ref="B7:B8"/>
    <mergeCell ref="C7:C8"/>
    <mergeCell ref="E8:H8"/>
    <mergeCell ref="U8:X8"/>
    <mergeCell ref="AK8:AN8"/>
    <mergeCell ref="BA8:BD8"/>
    <mergeCell ref="B3:B4"/>
    <mergeCell ref="C3:C4"/>
    <mergeCell ref="E3:CF4"/>
    <mergeCell ref="CH3:CJ4"/>
    <mergeCell ref="B5:B6"/>
    <mergeCell ref="C5:C6"/>
    <mergeCell ref="I5:T8"/>
    <mergeCell ref="Y5:AJ8"/>
    <mergeCell ref="AO5:AZ8"/>
    <mergeCell ref="BE5:BP8"/>
  </mergeCells>
  <conditionalFormatting sqref="C3:C6">
    <cfRule type="containsBlanks" dxfId="35" priority="33">
      <formula>LEN(TRIM(C3))=0</formula>
    </cfRule>
  </conditionalFormatting>
  <conditionalFormatting sqref="F6">
    <cfRule type="expression" dxfId="34" priority="20" stopIfTrue="1">
      <formula>AND(E8&gt;0)</formula>
    </cfRule>
  </conditionalFormatting>
  <conditionalFormatting sqref="F7">
    <cfRule type="expression" dxfId="33" priority="18" stopIfTrue="1">
      <formula>AND(E8&gt;2)</formula>
    </cfRule>
  </conditionalFormatting>
  <conditionalFormatting sqref="F14">
    <cfRule type="expression" dxfId="32" priority="32" stopIfTrue="1">
      <formula>AND(E16&gt;0)</formula>
    </cfRule>
  </conditionalFormatting>
  <conditionalFormatting sqref="F15">
    <cfRule type="expression" dxfId="31" priority="30" stopIfTrue="1">
      <formula>AND(E16&gt;2)</formula>
    </cfRule>
  </conditionalFormatting>
  <conditionalFormatting sqref="F18 F22 F26 F30 F34">
    <cfRule type="expression" dxfId="30" priority="24" stopIfTrue="1">
      <formula>AND(E20&gt;0)</formula>
    </cfRule>
  </conditionalFormatting>
  <conditionalFormatting sqref="F19 F23 F27 F31 F35">
    <cfRule type="expression" dxfId="29" priority="22" stopIfTrue="1">
      <formula>AND(E20&gt;2)</formula>
    </cfRule>
  </conditionalFormatting>
  <conditionalFormatting sqref="G6">
    <cfRule type="expression" dxfId="28" priority="19" stopIfTrue="1">
      <formula>AND(E8&gt;1)</formula>
    </cfRule>
  </conditionalFormatting>
  <conditionalFormatting sqref="G7">
    <cfRule type="expression" dxfId="27" priority="17" stopIfTrue="1">
      <formula>AND(E8&gt;3)</formula>
    </cfRule>
  </conditionalFormatting>
  <conditionalFormatting sqref="G14">
    <cfRule type="expression" dxfId="26" priority="31" stopIfTrue="1">
      <formula>AND(E16&gt;1)</formula>
    </cfRule>
  </conditionalFormatting>
  <conditionalFormatting sqref="G15">
    <cfRule type="expression" dxfId="25" priority="29" stopIfTrue="1">
      <formula>AND(E16&gt;3)</formula>
    </cfRule>
  </conditionalFormatting>
  <conditionalFormatting sqref="G18 G22 G26 G30 G34">
    <cfRule type="expression" dxfId="24" priority="23" stopIfTrue="1">
      <formula>AND(E20&gt;1)</formula>
    </cfRule>
  </conditionalFormatting>
  <conditionalFormatting sqref="G19 G23 G27 G31 G35">
    <cfRule type="expression" dxfId="23" priority="21" stopIfTrue="1">
      <formula>AND(E20&gt;3)</formula>
    </cfRule>
  </conditionalFormatting>
  <conditionalFormatting sqref="J14 N14 R14 V14 Z14 AD14 AH14 AL14 AP14 AT14 AX14 BB14 BF14 BJ14 BN14 BR14 BV14 BZ14 CD14 J18 N18 R18 V18 Z18 AD18 AH18 AL18 AP18 AT18 AX18 BB18 BF18 BJ18 BN18 BR18 BV18 BZ18 CD18 J22 N22 R22 V22 Z22 AD22 AH22 AL22 AP22 AT22 AX22 BB22 BF22 BJ22 BN22 BR22 BV22 BZ22 CD22 J26 N26 R26 V26 Z26 AD26 AH26 AL26 AP26 AT26 AX26 BB26 BF26 BJ26 BN26 BR26 BV26 BZ26 CD26 J30 N30 R30 V30 Z30 AD30 AH30 AL30 AP30 AT30 AX30 BB30 BF30 BJ30 BN30 BR30 BV30 BZ30 CD30 J34 N34 R34 V34 Z34 AD34 AH34 AL34 AP34 AT34 AX34 BB34 BF34 BJ34 BN34 BR34 BV34 BZ34 CD34">
    <cfRule type="expression" dxfId="22" priority="28" stopIfTrue="1">
      <formula>AND(I16&gt;0)</formula>
    </cfRule>
  </conditionalFormatting>
  <conditionalFormatting sqref="J15 N15 R15 V15 Z15 AD15 AH15 AL15 AP15 AT15 AX15 BB15 BF15 BJ15 BN15 BR15 BV15 BZ15 CD15 J19 N19 R19 V19 Z19 AD19 AH19 AL19 AP19 AT19 AX19 BB19 BF19 BJ19 BN19 BR19 BV19 BZ19 CD19 J23 N23 R23 V23 Z23 AD23 AH23 AL23 AP23 AT23 AX23 BB23 BF23 BJ23 BN23 BR23 BV23 BZ23 CD23 J27 N27 R27 V27 Z27 AD27 AH27 AL27 AP27 AT27 AX27 BB27 BF27 BJ27 BN27 BR27 BV27 BZ27 CD27 J31 N31 R31 V31 Z31 AD31 AH31 AL31 AP31 AT31 AX31 BB31 BF31 BJ31 BN31 BR31 BV31 BZ31 CD31 J35 N35 R35 V35 Z35 AD35 AH35 AL35 AP35 AT35 AX35 BB35 BF35 BJ35 BN35 BR35 BV35 BZ35 CD35">
    <cfRule type="expression" dxfId="21" priority="26" stopIfTrue="1">
      <formula>AND(I16&gt;2)</formula>
    </cfRule>
  </conditionalFormatting>
  <conditionalFormatting sqref="K14 O14 S14 W14 AA14 AE14 AI14 AM14 AQ14 AU14 AY14 BC14 BG14 BK14 BO14 BS14 BW14 CA14 CE14 K18 O18 S18 W18 AA18 AE18 AI18 AM18 AQ18 AU18 AY18 BC18 BG18 BK18 BO18 BS18 BW18 CA18 CE18 K22 O22 S22 W22 AA22 AE22 AI22 AM22 AQ22 AU22 AY22 BC22 BG22 BK22 BO22 BS22 BW22 CA22 CE22 K26 O26 S26 W26 AA26 AE26 AI26 AM26 AQ26 AU26 AY26 BC26 BG26 BK26 BO26 BS26 BW26 CA26 CE26 K30 O30 S30 W30 AA30 AE30 AI30 AM30 AQ30 AU30 AY30 BC30 BG30 BK30 BO30 BS30 BW30 CA30 CE30 K34 O34 S34 W34 AA34 AE34 AI34 AM34 AQ34 AU34 AY34 BC34 BG34 BK34 BO34 BS34 BW34 CA34 CE34">
    <cfRule type="expression" dxfId="20" priority="27" stopIfTrue="1">
      <formula>AND(I16&gt;1)</formula>
    </cfRule>
  </conditionalFormatting>
  <conditionalFormatting sqref="K15 O15 S15 W15 AA15 AE15 AI15 AM15 AQ15 AU15 AY15 BC15 BG15 BK15 BO15 BS15 BW15 CA15 CE15 K19 O19 S19 W19 AA19 AE19 AI19 AM19 AQ19 AU19 AY19 BC19 BG19 BK19 BO19 BS19 BW19 CA19 CE19 K23 O23 S23 W23 AA23 AE23 AI23 AM23 AQ23 AU23 AY23 BC23 BG23 BK23 BO23 BS23 BW23 CA23 CE23 K27 O27 S27 W27 AA27 AE27 AI27 AM27 AQ27 AU27 AY27 BC27 BG27 BK27 BO27 BS27 BW27 CA27 CE27 K31 O31 S31 W31 AA31 AE31 AI31 AM31 AQ31 AU31 AY31 BC31 BG31 BK31 BO31 BS31 BW31 CA31 CE31 K35 O35 S35 W35 AA35 AE35 AI35 AM35 AQ35 AU35 AY35 BC35 BG35 BK35 BO35 BS35 BW35 CA35 CE35">
    <cfRule type="expression" dxfId="19" priority="25" stopIfTrue="1">
      <formula>AND(I16&gt;3)</formula>
    </cfRule>
  </conditionalFormatting>
  <conditionalFormatting sqref="V6">
    <cfRule type="expression" dxfId="18" priority="16" stopIfTrue="1">
      <formula>AND(U8&gt;0)</formula>
    </cfRule>
  </conditionalFormatting>
  <conditionalFormatting sqref="V7">
    <cfRule type="expression" dxfId="17" priority="14" stopIfTrue="1">
      <formula>AND(U8&gt;2)</formula>
    </cfRule>
  </conditionalFormatting>
  <conditionalFormatting sqref="W6">
    <cfRule type="expression" dxfId="16" priority="15" stopIfTrue="1">
      <formula>AND(U8&gt;1)</formula>
    </cfRule>
  </conditionalFormatting>
  <conditionalFormatting sqref="W7">
    <cfRule type="expression" dxfId="15" priority="13" stopIfTrue="1">
      <formula>AND(U8&gt;3)</formula>
    </cfRule>
  </conditionalFormatting>
  <conditionalFormatting sqref="AL6">
    <cfRule type="expression" dxfId="14" priority="12" stopIfTrue="1">
      <formula>AND(AK8&gt;0)</formula>
    </cfRule>
  </conditionalFormatting>
  <conditionalFormatting sqref="AL7">
    <cfRule type="expression" dxfId="13" priority="10" stopIfTrue="1">
      <formula>AND(AK8&gt;2)</formula>
    </cfRule>
  </conditionalFormatting>
  <conditionalFormatting sqref="AM6">
    <cfRule type="expression" dxfId="12" priority="11" stopIfTrue="1">
      <formula>AND(AK8&gt;1)</formula>
    </cfRule>
  </conditionalFormatting>
  <conditionalFormatting sqref="AM7">
    <cfRule type="expression" dxfId="11" priority="9" stopIfTrue="1">
      <formula>AND(AK8&gt;3)</formula>
    </cfRule>
  </conditionalFormatting>
  <conditionalFormatting sqref="BB6">
    <cfRule type="expression" dxfId="10" priority="8" stopIfTrue="1">
      <formula>AND(BA8&gt;0)</formula>
    </cfRule>
  </conditionalFormatting>
  <conditionalFormatting sqref="BB7">
    <cfRule type="expression" dxfId="9" priority="6" stopIfTrue="1">
      <formula>AND(BA8&gt;2)</formula>
    </cfRule>
  </conditionalFormatting>
  <conditionalFormatting sqref="BC6">
    <cfRule type="expression" dxfId="8" priority="7" stopIfTrue="1">
      <formula>AND(BA8&gt;1)</formula>
    </cfRule>
  </conditionalFormatting>
  <conditionalFormatting sqref="BC7">
    <cfRule type="expression" dxfId="7" priority="5" stopIfTrue="1">
      <formula>AND(BA8&gt;3)</formula>
    </cfRule>
  </conditionalFormatting>
  <conditionalFormatting sqref="BR6">
    <cfRule type="expression" dxfId="6" priority="4" stopIfTrue="1">
      <formula>AND(BQ8&gt;0)</formula>
    </cfRule>
  </conditionalFormatting>
  <conditionalFormatting sqref="BR7">
    <cfRule type="expression" dxfId="5" priority="2" stopIfTrue="1">
      <formula>AND(BQ8&gt;2)</formula>
    </cfRule>
  </conditionalFormatting>
  <conditionalFormatting sqref="BS6">
    <cfRule type="expression" dxfId="4" priority="3" stopIfTrue="1">
      <formula>AND(BQ8&gt;1)</formula>
    </cfRule>
  </conditionalFormatting>
  <conditionalFormatting sqref="BS7">
    <cfRule type="expression" dxfId="3" priority="1" stopIfTrue="1">
      <formula>AND(BQ8&gt;3)</formula>
    </cfRule>
  </conditionalFormatting>
  <conditionalFormatting sqref="CJ13:CJ36">
    <cfRule type="cellIs" dxfId="2" priority="34" operator="equal">
      <formula>1</formula>
    </cfRule>
    <cfRule type="cellIs" dxfId="1" priority="35" operator="equal">
      <formula>2</formula>
    </cfRule>
    <cfRule type="cellIs" dxfId="0" priority="36"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3538-682B-41A4-A08A-FC74469BF8F6}">
  <sheetPr>
    <pageSetUpPr fitToPage="1"/>
  </sheetPr>
  <dimension ref="B1:EE41"/>
  <sheetViews>
    <sheetView showGridLines="0" zoomScale="55" zoomScaleNormal="55" workbookViewId="0">
      <pane xSplit="4" ySplit="12" topLeftCell="E13" activePane="bottomRight" state="frozen"/>
      <selection pane="topRight" activeCell="E1" sqref="E1"/>
      <selection pane="bottomLeft" activeCell="A13" sqref="A13"/>
      <selection pane="bottomRight" activeCell="CF47" sqref="CF47"/>
    </sheetView>
  </sheetViews>
  <sheetFormatPr baseColWidth="10" defaultColWidth="10" defaultRowHeight="15" x14ac:dyDescent="0.25"/>
  <cols>
    <col min="1" max="1" width="2.42578125" customWidth="1"/>
    <col min="2" max="2" width="32.140625" customWidth="1"/>
    <col min="3" max="3" width="22.42578125" customWidth="1"/>
    <col min="4" max="4" width="0.7109375" style="1" customWidth="1"/>
    <col min="5" max="84" width="3.42578125" customWidth="1"/>
    <col min="85" max="85" width="0.7109375" style="1" customWidth="1"/>
    <col min="86" max="86" width="15.42578125" style="2" customWidth="1"/>
    <col min="87" max="87" width="23.28515625" style="2" customWidth="1"/>
    <col min="88" max="88" width="13.7109375" customWidth="1"/>
    <col min="89" max="89" width="2.42578125" customWidth="1"/>
    <col min="90" max="91" width="8.140625" customWidth="1"/>
    <col min="92" max="105" width="8.140625" style="5" customWidth="1"/>
    <col min="106" max="110" width="8.140625" customWidth="1"/>
    <col min="111" max="115" width="9.42578125" customWidth="1"/>
    <col min="116" max="117" width="9.42578125" style="5" customWidth="1"/>
    <col min="118" max="130" width="9.42578125" customWidth="1"/>
    <col min="131" max="132" width="1.28515625" customWidth="1"/>
    <col min="133" max="134" width="2.42578125" customWidth="1"/>
    <col min="135" max="135" width="1.28515625" customWidth="1"/>
  </cols>
  <sheetData>
    <row r="1" spans="2:135" ht="40.15" customHeight="1" x14ac:dyDescent="0.3">
      <c r="CI1" s="3" t="s">
        <v>0</v>
      </c>
      <c r="CJ1" s="4">
        <v>45717</v>
      </c>
    </row>
    <row r="2" spans="2:135" ht="40.15" customHeight="1" x14ac:dyDescent="0.25">
      <c r="CI2" s="6" t="s">
        <v>1</v>
      </c>
      <c r="CJ2" s="7">
        <v>45901</v>
      </c>
    </row>
    <row r="3" spans="2:135" ht="15" customHeight="1" x14ac:dyDescent="0.25">
      <c r="B3" s="46" t="s">
        <v>2</v>
      </c>
      <c r="C3" s="47" t="s">
        <v>3</v>
      </c>
      <c r="D3" s="8"/>
      <c r="E3" s="49" t="s">
        <v>4</v>
      </c>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1"/>
      <c r="CG3" s="45"/>
      <c r="CH3" s="46" t="s">
        <v>5</v>
      </c>
      <c r="CI3" s="46"/>
      <c r="CJ3" s="46"/>
      <c r="DC3" s="9"/>
      <c r="DG3" s="9"/>
      <c r="DK3" s="9"/>
      <c r="DO3" s="9"/>
      <c r="DS3" s="9"/>
      <c r="DW3" s="9"/>
      <c r="EA3" s="9"/>
      <c r="EE3" s="9"/>
    </row>
    <row r="4" spans="2:135" ht="15" customHeight="1" x14ac:dyDescent="0.25">
      <c r="B4" s="46"/>
      <c r="C4" s="47"/>
      <c r="D4" s="10"/>
      <c r="E4" s="52"/>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4"/>
      <c r="CG4" s="45"/>
      <c r="CH4" s="46"/>
      <c r="CI4" s="46"/>
      <c r="CJ4" s="46"/>
    </row>
    <row r="5" spans="2:135" ht="15" customHeight="1" x14ac:dyDescent="0.25">
      <c r="B5" s="46" t="s">
        <v>6</v>
      </c>
      <c r="C5" s="48">
        <v>45746</v>
      </c>
      <c r="D5" s="11"/>
      <c r="E5" s="12"/>
      <c r="F5" s="13"/>
      <c r="G5" s="13"/>
      <c r="H5" s="14"/>
      <c r="I5" s="61" t="s">
        <v>7</v>
      </c>
      <c r="J5" s="62"/>
      <c r="K5" s="62"/>
      <c r="L5" s="62"/>
      <c r="M5" s="62"/>
      <c r="N5" s="62"/>
      <c r="O5" s="62"/>
      <c r="P5" s="62"/>
      <c r="Q5" s="62"/>
      <c r="R5" s="62"/>
      <c r="S5" s="62"/>
      <c r="T5" s="63"/>
      <c r="U5" s="12"/>
      <c r="V5" s="13"/>
      <c r="W5" s="13"/>
      <c r="X5" s="14"/>
      <c r="Y5" s="70" t="s">
        <v>8</v>
      </c>
      <c r="Z5" s="71"/>
      <c r="AA5" s="71"/>
      <c r="AB5" s="71"/>
      <c r="AC5" s="71"/>
      <c r="AD5" s="71"/>
      <c r="AE5" s="71"/>
      <c r="AF5" s="71"/>
      <c r="AG5" s="71"/>
      <c r="AH5" s="71"/>
      <c r="AI5" s="71"/>
      <c r="AJ5" s="72"/>
      <c r="AK5" s="12"/>
      <c r="AL5" s="13"/>
      <c r="AM5" s="13"/>
      <c r="AN5" s="14"/>
      <c r="AO5" s="70" t="s">
        <v>9</v>
      </c>
      <c r="AP5" s="71"/>
      <c r="AQ5" s="71"/>
      <c r="AR5" s="71"/>
      <c r="AS5" s="71"/>
      <c r="AT5" s="71"/>
      <c r="AU5" s="71"/>
      <c r="AV5" s="71"/>
      <c r="AW5" s="71"/>
      <c r="AX5" s="71"/>
      <c r="AY5" s="71"/>
      <c r="AZ5" s="72"/>
      <c r="BA5" s="12"/>
      <c r="BB5" s="13"/>
      <c r="BC5" s="13"/>
      <c r="BD5" s="14"/>
      <c r="BE5" s="61" t="s">
        <v>10</v>
      </c>
      <c r="BF5" s="62"/>
      <c r="BG5" s="62"/>
      <c r="BH5" s="62"/>
      <c r="BI5" s="62"/>
      <c r="BJ5" s="62"/>
      <c r="BK5" s="62"/>
      <c r="BL5" s="62"/>
      <c r="BM5" s="62"/>
      <c r="BN5" s="62"/>
      <c r="BO5" s="62"/>
      <c r="BP5" s="63"/>
      <c r="BQ5" s="12"/>
      <c r="BR5" s="13"/>
      <c r="BS5" s="13"/>
      <c r="BT5" s="14"/>
      <c r="BU5" s="70" t="s">
        <v>11</v>
      </c>
      <c r="BV5" s="71"/>
      <c r="BW5" s="71"/>
      <c r="BX5" s="71"/>
      <c r="BY5" s="71"/>
      <c r="BZ5" s="71"/>
      <c r="CA5" s="71"/>
      <c r="CB5" s="71"/>
      <c r="CC5" s="71"/>
      <c r="CD5" s="71"/>
      <c r="CE5" s="71"/>
      <c r="CF5" s="72"/>
      <c r="CG5" s="15"/>
      <c r="CH5" s="92" t="s">
        <v>12</v>
      </c>
      <c r="CI5" s="93" t="s">
        <v>13</v>
      </c>
      <c r="CJ5" s="94" t="s">
        <v>14</v>
      </c>
      <c r="CK5" s="5"/>
      <c r="CN5"/>
      <c r="CO5"/>
      <c r="CP5"/>
      <c r="CQ5"/>
      <c r="CR5"/>
      <c r="CS5"/>
      <c r="CT5"/>
      <c r="CU5"/>
      <c r="CV5"/>
      <c r="CW5"/>
      <c r="CX5"/>
      <c r="CY5"/>
      <c r="CZ5"/>
      <c r="DA5"/>
      <c r="DL5"/>
      <c r="DM5"/>
    </row>
    <row r="6" spans="2:135" ht="15" customHeight="1" x14ac:dyDescent="0.25">
      <c r="B6" s="46"/>
      <c r="C6" s="48"/>
      <c r="D6" s="11"/>
      <c r="E6" s="16"/>
      <c r="F6" s="17"/>
      <c r="G6" s="17"/>
      <c r="H6" s="18"/>
      <c r="I6" s="64"/>
      <c r="J6" s="65"/>
      <c r="K6" s="65"/>
      <c r="L6" s="65"/>
      <c r="M6" s="65"/>
      <c r="N6" s="65"/>
      <c r="O6" s="65"/>
      <c r="P6" s="65"/>
      <c r="Q6" s="65"/>
      <c r="R6" s="65"/>
      <c r="S6" s="65"/>
      <c r="T6" s="66"/>
      <c r="U6" s="16"/>
      <c r="V6" s="17"/>
      <c r="W6" s="17"/>
      <c r="X6" s="18"/>
      <c r="Y6" s="73"/>
      <c r="Z6" s="74"/>
      <c r="AA6" s="74"/>
      <c r="AB6" s="74"/>
      <c r="AC6" s="74"/>
      <c r="AD6" s="74"/>
      <c r="AE6" s="74"/>
      <c r="AF6" s="74"/>
      <c r="AG6" s="74"/>
      <c r="AH6" s="74"/>
      <c r="AI6" s="74"/>
      <c r="AJ6" s="75"/>
      <c r="AK6" s="16"/>
      <c r="AL6" s="17"/>
      <c r="AM6" s="17"/>
      <c r="AN6" s="18"/>
      <c r="AO6" s="73"/>
      <c r="AP6" s="74"/>
      <c r="AQ6" s="74"/>
      <c r="AR6" s="74"/>
      <c r="AS6" s="74"/>
      <c r="AT6" s="74"/>
      <c r="AU6" s="74"/>
      <c r="AV6" s="74"/>
      <c r="AW6" s="74"/>
      <c r="AX6" s="74"/>
      <c r="AY6" s="74"/>
      <c r="AZ6" s="75"/>
      <c r="BA6" s="16"/>
      <c r="BB6" s="17"/>
      <c r="BC6" s="17"/>
      <c r="BD6" s="18"/>
      <c r="BE6" s="64"/>
      <c r="BF6" s="65"/>
      <c r="BG6" s="65"/>
      <c r="BH6" s="65"/>
      <c r="BI6" s="65"/>
      <c r="BJ6" s="65"/>
      <c r="BK6" s="65"/>
      <c r="BL6" s="65"/>
      <c r="BM6" s="65"/>
      <c r="BN6" s="65"/>
      <c r="BO6" s="65"/>
      <c r="BP6" s="66"/>
      <c r="BQ6" s="16"/>
      <c r="BR6" s="19"/>
      <c r="BS6" s="19"/>
      <c r="BT6" s="18"/>
      <c r="BU6" s="73"/>
      <c r="BV6" s="74"/>
      <c r="BW6" s="74"/>
      <c r="BX6" s="74"/>
      <c r="BY6" s="74"/>
      <c r="BZ6" s="74"/>
      <c r="CA6" s="74"/>
      <c r="CB6" s="74"/>
      <c r="CC6" s="74"/>
      <c r="CD6" s="74"/>
      <c r="CE6" s="74"/>
      <c r="CF6" s="75"/>
      <c r="CG6" s="15"/>
      <c r="CH6" s="92"/>
      <c r="CI6" s="93"/>
      <c r="CJ6" s="94"/>
      <c r="CK6" s="20"/>
      <c r="CN6"/>
      <c r="CO6"/>
      <c r="CP6"/>
      <c r="CQ6"/>
      <c r="CR6"/>
      <c r="CS6"/>
      <c r="CT6"/>
      <c r="CU6"/>
      <c r="CV6"/>
      <c r="CW6"/>
      <c r="CX6"/>
      <c r="CY6"/>
      <c r="CZ6"/>
      <c r="DA6"/>
      <c r="DL6"/>
      <c r="DM6"/>
    </row>
    <row r="7" spans="2:135" ht="15" customHeight="1" x14ac:dyDescent="0.25">
      <c r="B7" s="90" t="s">
        <v>15</v>
      </c>
      <c r="C7" s="91">
        <v>10</v>
      </c>
      <c r="E7" s="16"/>
      <c r="F7" s="17"/>
      <c r="G7" s="17"/>
      <c r="H7" s="18"/>
      <c r="I7" s="64"/>
      <c r="J7" s="65"/>
      <c r="K7" s="65"/>
      <c r="L7" s="65"/>
      <c r="M7" s="65"/>
      <c r="N7" s="65"/>
      <c r="O7" s="65"/>
      <c r="P7" s="65"/>
      <c r="Q7" s="65"/>
      <c r="R7" s="65"/>
      <c r="S7" s="65"/>
      <c r="T7" s="66"/>
      <c r="U7" s="16"/>
      <c r="V7" s="17"/>
      <c r="W7" s="17"/>
      <c r="X7" s="18"/>
      <c r="Y7" s="73"/>
      <c r="Z7" s="74"/>
      <c r="AA7" s="74"/>
      <c r="AB7" s="74"/>
      <c r="AC7" s="74"/>
      <c r="AD7" s="74"/>
      <c r="AE7" s="74"/>
      <c r="AF7" s="74"/>
      <c r="AG7" s="74"/>
      <c r="AH7" s="74"/>
      <c r="AI7" s="74"/>
      <c r="AJ7" s="75"/>
      <c r="AK7" s="16"/>
      <c r="AL7" s="17"/>
      <c r="AM7" s="17"/>
      <c r="AN7" s="18"/>
      <c r="AO7" s="73"/>
      <c r="AP7" s="74"/>
      <c r="AQ7" s="74"/>
      <c r="AR7" s="74"/>
      <c r="AS7" s="74"/>
      <c r="AT7" s="74"/>
      <c r="AU7" s="74"/>
      <c r="AV7" s="74"/>
      <c r="AW7" s="74"/>
      <c r="AX7" s="74"/>
      <c r="AY7" s="74"/>
      <c r="AZ7" s="75"/>
      <c r="BA7" s="21"/>
      <c r="BB7" s="17"/>
      <c r="BC7" s="17"/>
      <c r="BD7" s="18"/>
      <c r="BE7" s="64"/>
      <c r="BF7" s="65"/>
      <c r="BG7" s="65"/>
      <c r="BH7" s="65"/>
      <c r="BI7" s="65"/>
      <c r="BJ7" s="65"/>
      <c r="BK7" s="65"/>
      <c r="BL7" s="65"/>
      <c r="BM7" s="65"/>
      <c r="BN7" s="65"/>
      <c r="BO7" s="65"/>
      <c r="BP7" s="66"/>
      <c r="BQ7" s="16"/>
      <c r="BR7" s="19"/>
      <c r="BS7" s="19"/>
      <c r="BT7" s="18"/>
      <c r="BU7" s="73"/>
      <c r="BV7" s="74"/>
      <c r="BW7" s="74"/>
      <c r="BX7" s="74"/>
      <c r="BY7" s="74"/>
      <c r="BZ7" s="74"/>
      <c r="CA7" s="74"/>
      <c r="CB7" s="74"/>
      <c r="CC7" s="74"/>
      <c r="CD7" s="74"/>
      <c r="CE7" s="74"/>
      <c r="CF7" s="75"/>
      <c r="CG7" s="15"/>
      <c r="CH7" s="92"/>
      <c r="CI7" s="93"/>
      <c r="CJ7" s="94"/>
      <c r="CK7" s="20"/>
      <c r="CN7"/>
      <c r="CO7"/>
      <c r="CP7"/>
      <c r="CQ7"/>
      <c r="CR7"/>
      <c r="CS7"/>
      <c r="CT7"/>
      <c r="CU7"/>
      <c r="CV7"/>
      <c r="CW7"/>
      <c r="CX7"/>
      <c r="CY7"/>
      <c r="CZ7"/>
      <c r="DA7"/>
      <c r="DL7"/>
      <c r="DM7"/>
    </row>
    <row r="8" spans="2:135" ht="15" customHeight="1" x14ac:dyDescent="0.25">
      <c r="B8" s="90"/>
      <c r="C8" s="91"/>
      <c r="E8" s="79">
        <v>0</v>
      </c>
      <c r="F8" s="80"/>
      <c r="G8" s="80"/>
      <c r="H8" s="81"/>
      <c r="I8" s="67"/>
      <c r="J8" s="68"/>
      <c r="K8" s="68"/>
      <c r="L8" s="68"/>
      <c r="M8" s="68"/>
      <c r="N8" s="68"/>
      <c r="O8" s="68"/>
      <c r="P8" s="68"/>
      <c r="Q8" s="68"/>
      <c r="R8" s="68"/>
      <c r="S8" s="68"/>
      <c r="T8" s="69"/>
      <c r="U8" s="79">
        <v>1</v>
      </c>
      <c r="V8" s="80"/>
      <c r="W8" s="80"/>
      <c r="X8" s="81"/>
      <c r="Y8" s="76"/>
      <c r="Z8" s="77"/>
      <c r="AA8" s="77"/>
      <c r="AB8" s="77"/>
      <c r="AC8" s="77"/>
      <c r="AD8" s="77"/>
      <c r="AE8" s="77"/>
      <c r="AF8" s="77"/>
      <c r="AG8" s="77"/>
      <c r="AH8" s="77"/>
      <c r="AI8" s="77"/>
      <c r="AJ8" s="78"/>
      <c r="AK8" s="79">
        <v>2</v>
      </c>
      <c r="AL8" s="80"/>
      <c r="AM8" s="80"/>
      <c r="AN8" s="81"/>
      <c r="AO8" s="76"/>
      <c r="AP8" s="77"/>
      <c r="AQ8" s="77"/>
      <c r="AR8" s="77"/>
      <c r="AS8" s="77"/>
      <c r="AT8" s="77"/>
      <c r="AU8" s="77"/>
      <c r="AV8" s="77"/>
      <c r="AW8" s="77"/>
      <c r="AX8" s="77"/>
      <c r="AY8" s="77"/>
      <c r="AZ8" s="78"/>
      <c r="BA8" s="79">
        <v>3</v>
      </c>
      <c r="BB8" s="80"/>
      <c r="BC8" s="80"/>
      <c r="BD8" s="81"/>
      <c r="BE8" s="67"/>
      <c r="BF8" s="68"/>
      <c r="BG8" s="68"/>
      <c r="BH8" s="68"/>
      <c r="BI8" s="68"/>
      <c r="BJ8" s="68"/>
      <c r="BK8" s="68"/>
      <c r="BL8" s="68"/>
      <c r="BM8" s="68"/>
      <c r="BN8" s="68"/>
      <c r="BO8" s="68"/>
      <c r="BP8" s="69"/>
      <c r="BQ8" s="79">
        <v>4</v>
      </c>
      <c r="BR8" s="80"/>
      <c r="BS8" s="80"/>
      <c r="BT8" s="81"/>
      <c r="BU8" s="76"/>
      <c r="BV8" s="77"/>
      <c r="BW8" s="77"/>
      <c r="BX8" s="77"/>
      <c r="BY8" s="77"/>
      <c r="BZ8" s="77"/>
      <c r="CA8" s="77"/>
      <c r="CB8" s="77"/>
      <c r="CC8" s="77"/>
      <c r="CD8" s="77"/>
      <c r="CE8" s="77"/>
      <c r="CF8" s="78"/>
      <c r="CG8" s="15"/>
      <c r="CH8" s="92"/>
      <c r="CI8" s="93"/>
      <c r="CJ8" s="94"/>
      <c r="CK8" s="20"/>
      <c r="CN8"/>
      <c r="CO8"/>
      <c r="CP8"/>
      <c r="CQ8"/>
      <c r="CR8"/>
      <c r="CS8"/>
      <c r="CT8"/>
      <c r="CU8"/>
      <c r="CV8"/>
      <c r="CW8"/>
      <c r="CX8"/>
      <c r="CY8"/>
      <c r="CZ8"/>
      <c r="DA8"/>
      <c r="DL8"/>
      <c r="DM8"/>
    </row>
    <row r="9" spans="2:135" ht="5.0999999999999996" customHeight="1" x14ac:dyDescent="0.25">
      <c r="D9" s="23"/>
      <c r="J9" s="5"/>
      <c r="CJ9" s="24"/>
      <c r="CN9"/>
      <c r="CO9"/>
      <c r="CP9"/>
      <c r="CQ9"/>
      <c r="CR9"/>
      <c r="CS9"/>
      <c r="CT9"/>
      <c r="CU9"/>
      <c r="CV9"/>
      <c r="CW9"/>
      <c r="CX9"/>
      <c r="CY9"/>
      <c r="CZ9"/>
      <c r="DA9"/>
    </row>
    <row r="10" spans="2:135" ht="20.100000000000001" customHeight="1" x14ac:dyDescent="0.25">
      <c r="B10" s="101" t="s">
        <v>16</v>
      </c>
      <c r="C10" s="101"/>
      <c r="E10" s="55" t="s">
        <v>17</v>
      </c>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7"/>
      <c r="CG10" s="8"/>
      <c r="CH10" s="82" t="s">
        <v>18</v>
      </c>
      <c r="CI10" s="82" t="s">
        <v>19</v>
      </c>
      <c r="CJ10" s="85" t="s">
        <v>20</v>
      </c>
      <c r="CK10" s="25"/>
      <c r="CN10"/>
      <c r="CO10"/>
      <c r="CP10"/>
      <c r="CQ10"/>
      <c r="CR10"/>
      <c r="CS10"/>
      <c r="CT10"/>
      <c r="CU10"/>
      <c r="CV10"/>
      <c r="CW10"/>
      <c r="CX10"/>
      <c r="CY10"/>
      <c r="CZ10"/>
      <c r="DA10"/>
      <c r="DL10"/>
      <c r="DM10"/>
    </row>
    <row r="11" spans="2:135" ht="27.6" customHeight="1" x14ac:dyDescent="0.25">
      <c r="B11" s="101"/>
      <c r="C11" s="101"/>
      <c r="D11" s="8"/>
      <c r="E11" s="88" t="s">
        <v>21</v>
      </c>
      <c r="F11" s="88"/>
      <c r="G11" s="88"/>
      <c r="H11" s="88"/>
      <c r="I11" s="88" t="s">
        <v>22</v>
      </c>
      <c r="J11" s="88"/>
      <c r="K11" s="88"/>
      <c r="L11" s="88"/>
      <c r="M11" s="88" t="s">
        <v>23</v>
      </c>
      <c r="N11" s="88"/>
      <c r="O11" s="88"/>
      <c r="P11" s="88"/>
      <c r="Q11" s="88" t="s">
        <v>24</v>
      </c>
      <c r="R11" s="88"/>
      <c r="S11" s="88"/>
      <c r="T11" s="88"/>
      <c r="U11" s="88" t="s">
        <v>25</v>
      </c>
      <c r="V11" s="88"/>
      <c r="W11" s="88"/>
      <c r="X11" s="88"/>
      <c r="Y11" s="88" t="s">
        <v>26</v>
      </c>
      <c r="Z11" s="88"/>
      <c r="AA11" s="88"/>
      <c r="AB11" s="88"/>
      <c r="AC11" s="95" t="s">
        <v>27</v>
      </c>
      <c r="AD11" s="96"/>
      <c r="AE11" s="96"/>
      <c r="AF11" s="97"/>
      <c r="AG11" s="95" t="s">
        <v>28</v>
      </c>
      <c r="AH11" s="96"/>
      <c r="AI11" s="96"/>
      <c r="AJ11" s="97"/>
      <c r="AK11" s="95" t="s">
        <v>29</v>
      </c>
      <c r="AL11" s="96"/>
      <c r="AM11" s="96"/>
      <c r="AN11" s="97"/>
      <c r="AO11" s="95" t="s">
        <v>30</v>
      </c>
      <c r="AP11" s="96"/>
      <c r="AQ11" s="96"/>
      <c r="AR11" s="97"/>
      <c r="AS11" s="95"/>
      <c r="AT11" s="96"/>
      <c r="AU11" s="96"/>
      <c r="AV11" s="97"/>
      <c r="AW11" s="95"/>
      <c r="AX11" s="96"/>
      <c r="AY11" s="96"/>
      <c r="AZ11" s="97"/>
      <c r="BA11" s="95"/>
      <c r="BB11" s="96"/>
      <c r="BC11" s="96"/>
      <c r="BD11" s="97"/>
      <c r="BE11" s="95"/>
      <c r="BF11" s="96"/>
      <c r="BG11" s="96"/>
      <c r="BH11" s="97"/>
      <c r="BI11" s="95"/>
      <c r="BJ11" s="96"/>
      <c r="BK11" s="96"/>
      <c r="BL11" s="97"/>
      <c r="BM11" s="95"/>
      <c r="BN11" s="96"/>
      <c r="BO11" s="96"/>
      <c r="BP11" s="97"/>
      <c r="BQ11" s="95"/>
      <c r="BR11" s="96"/>
      <c r="BS11" s="96"/>
      <c r="BT11" s="97"/>
      <c r="BU11" s="95"/>
      <c r="BV11" s="96"/>
      <c r="BW11" s="96"/>
      <c r="BX11" s="97"/>
      <c r="BY11" s="95"/>
      <c r="BZ11" s="96"/>
      <c r="CA11" s="96"/>
      <c r="CB11" s="97"/>
      <c r="CC11" s="95"/>
      <c r="CD11" s="96"/>
      <c r="CE11" s="96"/>
      <c r="CF11" s="97"/>
      <c r="CG11" s="26"/>
      <c r="CH11" s="83"/>
      <c r="CI11" s="83"/>
      <c r="CJ11" s="86"/>
      <c r="CK11" s="27"/>
      <c r="CO11"/>
      <c r="CP11"/>
      <c r="CQ11"/>
      <c r="CR11"/>
      <c r="CS11"/>
      <c r="CT11"/>
      <c r="CU11"/>
      <c r="CV11"/>
      <c r="CW11"/>
      <c r="CX11"/>
      <c r="CY11"/>
      <c r="CZ11"/>
      <c r="DA11"/>
      <c r="DL11"/>
      <c r="DM11"/>
    </row>
    <row r="12" spans="2:135" ht="27.6" customHeight="1" x14ac:dyDescent="0.25">
      <c r="B12" s="101"/>
      <c r="C12" s="101"/>
      <c r="D12" s="8"/>
      <c r="E12" s="89"/>
      <c r="F12" s="89"/>
      <c r="G12" s="89"/>
      <c r="H12" s="89"/>
      <c r="I12" s="89"/>
      <c r="J12" s="89"/>
      <c r="K12" s="89"/>
      <c r="L12" s="89"/>
      <c r="M12" s="89"/>
      <c r="N12" s="89"/>
      <c r="O12" s="89"/>
      <c r="P12" s="89"/>
      <c r="Q12" s="89"/>
      <c r="R12" s="89"/>
      <c r="S12" s="89"/>
      <c r="T12" s="89"/>
      <c r="U12" s="89"/>
      <c r="V12" s="89"/>
      <c r="W12" s="89"/>
      <c r="X12" s="89"/>
      <c r="Y12" s="89"/>
      <c r="Z12" s="89"/>
      <c r="AA12" s="89"/>
      <c r="AB12" s="89"/>
      <c r="AC12" s="98"/>
      <c r="AD12" s="99"/>
      <c r="AE12" s="99"/>
      <c r="AF12" s="100"/>
      <c r="AG12" s="98"/>
      <c r="AH12" s="99"/>
      <c r="AI12" s="99"/>
      <c r="AJ12" s="100"/>
      <c r="AK12" s="98"/>
      <c r="AL12" s="99"/>
      <c r="AM12" s="99"/>
      <c r="AN12" s="100"/>
      <c r="AO12" s="98"/>
      <c r="AP12" s="99"/>
      <c r="AQ12" s="99"/>
      <c r="AR12" s="100"/>
      <c r="AS12" s="98"/>
      <c r="AT12" s="99"/>
      <c r="AU12" s="99"/>
      <c r="AV12" s="100"/>
      <c r="AW12" s="98"/>
      <c r="AX12" s="99"/>
      <c r="AY12" s="99"/>
      <c r="AZ12" s="100"/>
      <c r="BA12" s="98"/>
      <c r="BB12" s="99"/>
      <c r="BC12" s="99"/>
      <c r="BD12" s="100"/>
      <c r="BE12" s="98"/>
      <c r="BF12" s="99"/>
      <c r="BG12" s="99"/>
      <c r="BH12" s="100"/>
      <c r="BI12" s="98"/>
      <c r="BJ12" s="99"/>
      <c r="BK12" s="99"/>
      <c r="BL12" s="100"/>
      <c r="BM12" s="98"/>
      <c r="BN12" s="99"/>
      <c r="BO12" s="99"/>
      <c r="BP12" s="100"/>
      <c r="BQ12" s="98"/>
      <c r="BR12" s="99"/>
      <c r="BS12" s="99"/>
      <c r="BT12" s="100"/>
      <c r="BU12" s="98"/>
      <c r="BV12" s="99"/>
      <c r="BW12" s="99"/>
      <c r="BX12" s="100"/>
      <c r="BY12" s="98"/>
      <c r="BZ12" s="99"/>
      <c r="CA12" s="99"/>
      <c r="CB12" s="100"/>
      <c r="CC12" s="98"/>
      <c r="CD12" s="99"/>
      <c r="CE12" s="99"/>
      <c r="CF12" s="100"/>
      <c r="CG12" s="26"/>
      <c r="CH12" s="84"/>
      <c r="CI12" s="84"/>
      <c r="CJ12" s="87"/>
      <c r="CK12" s="5"/>
      <c r="CO12"/>
      <c r="CP12"/>
      <c r="CQ12"/>
      <c r="CR12"/>
      <c r="CS12"/>
      <c r="CT12"/>
      <c r="CU12"/>
      <c r="CV12"/>
      <c r="CW12"/>
      <c r="CX12"/>
      <c r="CY12"/>
      <c r="CZ12"/>
      <c r="DA12"/>
      <c r="DL12"/>
      <c r="DM12"/>
    </row>
    <row r="13" spans="2:135" ht="6" customHeight="1" x14ac:dyDescent="0.25">
      <c r="B13" s="102" t="s">
        <v>31</v>
      </c>
      <c r="C13" s="102"/>
      <c r="D13" s="28"/>
      <c r="E13" s="31"/>
      <c r="F13" s="43"/>
      <c r="G13" s="43"/>
      <c r="H13" s="33"/>
      <c r="I13" s="31"/>
      <c r="J13" s="43"/>
      <c r="K13" s="43"/>
      <c r="L13" s="33"/>
      <c r="M13" s="31"/>
      <c r="N13" s="43"/>
      <c r="O13" s="43"/>
      <c r="P13" s="33"/>
      <c r="Q13" s="31"/>
      <c r="R13" s="43"/>
      <c r="S13" s="43"/>
      <c r="T13" s="33"/>
      <c r="U13" s="31"/>
      <c r="V13" s="43"/>
      <c r="W13" s="43"/>
      <c r="X13" s="33"/>
      <c r="Y13" s="31"/>
      <c r="Z13" s="43"/>
      <c r="AA13" s="43"/>
      <c r="AB13" s="33"/>
      <c r="AC13" s="31"/>
      <c r="AD13" s="43"/>
      <c r="AE13" s="43"/>
      <c r="AF13" s="33"/>
      <c r="AG13" s="31"/>
      <c r="AH13" s="43"/>
      <c r="AI13" s="43"/>
      <c r="AJ13" s="33"/>
      <c r="AK13" s="31"/>
      <c r="AL13" s="43"/>
      <c r="AM13" s="43"/>
      <c r="AN13" s="33"/>
      <c r="AO13" s="31"/>
      <c r="AP13" s="43"/>
      <c r="AQ13" s="43"/>
      <c r="AR13" s="33"/>
      <c r="AS13" s="31"/>
      <c r="AT13" s="43"/>
      <c r="AU13" s="43"/>
      <c r="AV13" s="33"/>
      <c r="AW13" s="31"/>
      <c r="AX13" s="43"/>
      <c r="AY13" s="43"/>
      <c r="AZ13" s="33"/>
      <c r="BA13" s="31"/>
      <c r="BB13" s="43"/>
      <c r="BC13" s="43"/>
      <c r="BD13" s="33"/>
      <c r="BE13" s="31"/>
      <c r="BF13" s="43"/>
      <c r="BG13" s="43"/>
      <c r="BH13" s="33"/>
      <c r="BI13" s="31"/>
      <c r="BJ13" s="43"/>
      <c r="BK13" s="43"/>
      <c r="BL13" s="33"/>
      <c r="BM13" s="31"/>
      <c r="BN13" s="43"/>
      <c r="BO13" s="43"/>
      <c r="BP13" s="33"/>
      <c r="BQ13" s="31"/>
      <c r="BR13" s="43"/>
      <c r="BS13" s="43"/>
      <c r="BT13" s="33"/>
      <c r="BU13" s="31"/>
      <c r="BV13" s="43"/>
      <c r="BW13" s="43"/>
      <c r="BX13" s="33"/>
      <c r="BY13" s="31"/>
      <c r="BZ13" s="43"/>
      <c r="CA13" s="43"/>
      <c r="CB13" s="33"/>
      <c r="CC13" s="31"/>
      <c r="CD13" s="43"/>
      <c r="CE13" s="43"/>
      <c r="CF13" s="33"/>
      <c r="CH13" s="29"/>
      <c r="CI13" s="30"/>
      <c r="CJ13" s="103">
        <f>IF(ISBLANK(B13),"",IF(CI14&gt;=CH14,3,IF(CI14=(CH14-1),2,1)))</f>
        <v>2</v>
      </c>
      <c r="CK13" s="5"/>
      <c r="CO13"/>
      <c r="CP13"/>
      <c r="CQ13"/>
      <c r="CR13"/>
      <c r="CS13"/>
      <c r="CT13"/>
      <c r="CU13"/>
      <c r="CV13"/>
      <c r="CW13"/>
      <c r="CX13"/>
      <c r="CY13"/>
      <c r="CZ13"/>
      <c r="DA13"/>
      <c r="DL13"/>
      <c r="DM13"/>
    </row>
    <row r="14" spans="2:135" ht="15" customHeight="1" x14ac:dyDescent="0.25">
      <c r="B14" s="102"/>
      <c r="C14" s="102"/>
      <c r="D14" s="28"/>
      <c r="E14" s="31"/>
      <c r="F14" s="32"/>
      <c r="G14" s="32"/>
      <c r="H14" s="33"/>
      <c r="I14" s="31"/>
      <c r="J14" s="32"/>
      <c r="K14" s="32"/>
      <c r="L14" s="33"/>
      <c r="M14" s="31"/>
      <c r="N14" s="32"/>
      <c r="O14" s="32"/>
      <c r="P14" s="33"/>
      <c r="Q14" s="31"/>
      <c r="R14" s="32"/>
      <c r="S14" s="32"/>
      <c r="T14" s="33"/>
      <c r="U14" s="31"/>
      <c r="V14" s="32"/>
      <c r="W14" s="32"/>
      <c r="X14" s="33"/>
      <c r="Y14" s="31"/>
      <c r="Z14" s="32"/>
      <c r="AA14" s="32"/>
      <c r="AB14" s="33"/>
      <c r="AC14" s="31"/>
      <c r="AD14" s="32"/>
      <c r="AE14" s="32"/>
      <c r="AF14" s="33"/>
      <c r="AG14" s="31"/>
      <c r="AH14" s="32"/>
      <c r="AI14" s="32"/>
      <c r="AJ14" s="33"/>
      <c r="AK14" s="31"/>
      <c r="AL14" s="32"/>
      <c r="AM14" s="32"/>
      <c r="AN14" s="33"/>
      <c r="AO14" s="31"/>
      <c r="AP14" s="32"/>
      <c r="AQ14" s="32"/>
      <c r="AR14" s="33"/>
      <c r="AS14" s="31"/>
      <c r="AT14" s="32"/>
      <c r="AU14" s="32"/>
      <c r="AV14" s="33"/>
      <c r="AW14" s="31"/>
      <c r="AX14" s="32"/>
      <c r="AY14" s="32"/>
      <c r="AZ14" s="33"/>
      <c r="BA14" s="31"/>
      <c r="BB14" s="32"/>
      <c r="BC14" s="32"/>
      <c r="BD14" s="33"/>
      <c r="BE14" s="31"/>
      <c r="BF14" s="32"/>
      <c r="BG14" s="32"/>
      <c r="BH14" s="33"/>
      <c r="BI14" s="31"/>
      <c r="BJ14" s="32"/>
      <c r="BK14" s="32"/>
      <c r="BL14" s="33"/>
      <c r="BM14" s="31"/>
      <c r="BN14" s="32"/>
      <c r="BO14" s="32"/>
      <c r="BP14" s="33"/>
      <c r="BQ14" s="31"/>
      <c r="BR14" s="32"/>
      <c r="BS14" s="32"/>
      <c r="BT14" s="33"/>
      <c r="BU14" s="31"/>
      <c r="BV14" s="32"/>
      <c r="BW14" s="32"/>
      <c r="BX14" s="33"/>
      <c r="BY14" s="31"/>
      <c r="BZ14" s="32"/>
      <c r="CA14" s="32"/>
      <c r="CB14" s="33"/>
      <c r="CC14" s="31"/>
      <c r="CD14" s="32"/>
      <c r="CE14" s="32"/>
      <c r="CF14" s="33"/>
      <c r="CH14" s="34">
        <v>3</v>
      </c>
      <c r="CI14" s="35">
        <f>IF(ISBLANK(B13),"",COUNTIF(B16:CF16,"&gt;=3"))</f>
        <v>2</v>
      </c>
      <c r="CJ14" s="103"/>
      <c r="CK14" s="20"/>
      <c r="CO14"/>
      <c r="CP14"/>
      <c r="CQ14"/>
      <c r="CR14"/>
      <c r="CS14"/>
      <c r="CT14"/>
      <c r="CU14"/>
      <c r="CV14"/>
      <c r="CW14"/>
      <c r="CX14"/>
      <c r="CY14"/>
      <c r="CZ14"/>
      <c r="DA14"/>
      <c r="DL14"/>
      <c r="DM14"/>
    </row>
    <row r="15" spans="2:135" ht="15" customHeight="1" x14ac:dyDescent="0.25">
      <c r="B15" s="102"/>
      <c r="C15" s="102"/>
      <c r="D15" s="28"/>
      <c r="E15" s="31"/>
      <c r="F15" s="32"/>
      <c r="G15" s="32"/>
      <c r="H15" s="33"/>
      <c r="I15" s="31"/>
      <c r="J15" s="32"/>
      <c r="K15" s="32"/>
      <c r="L15" s="33"/>
      <c r="M15" s="31"/>
      <c r="N15" s="32"/>
      <c r="O15" s="32"/>
      <c r="P15" s="33"/>
      <c r="Q15" s="31"/>
      <c r="R15" s="32"/>
      <c r="S15" s="32"/>
      <c r="T15" s="33"/>
      <c r="U15" s="31"/>
      <c r="V15" s="32"/>
      <c r="W15" s="32"/>
      <c r="X15" s="33"/>
      <c r="Y15" s="31"/>
      <c r="Z15" s="32"/>
      <c r="AA15" s="32"/>
      <c r="AB15" s="33"/>
      <c r="AC15" s="31"/>
      <c r="AD15" s="32"/>
      <c r="AE15" s="32"/>
      <c r="AF15" s="33"/>
      <c r="AG15" s="31"/>
      <c r="AH15" s="32"/>
      <c r="AI15" s="32"/>
      <c r="AJ15" s="33"/>
      <c r="AK15" s="31"/>
      <c r="AL15" s="32"/>
      <c r="AM15" s="32"/>
      <c r="AN15" s="33"/>
      <c r="AO15" s="31"/>
      <c r="AP15" s="32"/>
      <c r="AQ15" s="32"/>
      <c r="AR15" s="33"/>
      <c r="AS15" s="31"/>
      <c r="AT15" s="32"/>
      <c r="AU15" s="32"/>
      <c r="AV15" s="33"/>
      <c r="AW15" s="31"/>
      <c r="AX15" s="32"/>
      <c r="AY15" s="32"/>
      <c r="AZ15" s="33"/>
      <c r="BA15" s="31"/>
      <c r="BB15" s="32"/>
      <c r="BC15" s="32"/>
      <c r="BD15" s="33"/>
      <c r="BE15" s="31"/>
      <c r="BF15" s="32"/>
      <c r="BG15" s="32"/>
      <c r="BH15" s="33"/>
      <c r="BI15" s="31"/>
      <c r="BJ15" s="32"/>
      <c r="BK15" s="32"/>
      <c r="BL15" s="33"/>
      <c r="BM15" s="31"/>
      <c r="BN15" s="32"/>
      <c r="BO15" s="32"/>
      <c r="BP15" s="33"/>
      <c r="BQ15" s="31"/>
      <c r="BR15" s="32"/>
      <c r="BS15" s="32"/>
      <c r="BT15" s="33"/>
      <c r="BU15" s="31"/>
      <c r="BV15" s="32"/>
      <c r="BW15" s="32"/>
      <c r="BX15" s="33"/>
      <c r="BY15" s="31"/>
      <c r="BZ15" s="32"/>
      <c r="CA15" s="32"/>
      <c r="CB15" s="33"/>
      <c r="CC15" s="31"/>
      <c r="CD15" s="32"/>
      <c r="CE15" s="32"/>
      <c r="CF15" s="33"/>
      <c r="CH15" s="104" t="str">
        <f>IF(ISBLANK(B13),"","personas cualificadas")</f>
        <v>personas cualificadas</v>
      </c>
      <c r="CI15" s="104" t="str">
        <f>IF(ISBLANK(B13),"","personas cualificadas")</f>
        <v>personas cualificadas</v>
      </c>
      <c r="CJ15" s="103"/>
      <c r="CK15" s="20"/>
      <c r="CO15"/>
      <c r="CP15"/>
      <c r="CS15"/>
      <c r="CT15"/>
      <c r="CU15"/>
      <c r="CV15"/>
      <c r="CW15"/>
      <c r="CX15"/>
      <c r="CY15"/>
      <c r="CZ15"/>
      <c r="DA15"/>
      <c r="DL15"/>
      <c r="DM15"/>
    </row>
    <row r="16" spans="2:135" x14ac:dyDescent="0.25">
      <c r="B16" s="102"/>
      <c r="C16" s="102"/>
      <c r="D16" s="28"/>
      <c r="E16" s="58"/>
      <c r="F16" s="59"/>
      <c r="G16" s="59"/>
      <c r="H16" s="60"/>
      <c r="I16" s="58">
        <v>4</v>
      </c>
      <c r="J16" s="59"/>
      <c r="K16" s="59"/>
      <c r="L16" s="60"/>
      <c r="M16" s="58"/>
      <c r="N16" s="59"/>
      <c r="O16" s="59"/>
      <c r="P16" s="60"/>
      <c r="Q16" s="58"/>
      <c r="R16" s="59"/>
      <c r="S16" s="59"/>
      <c r="T16" s="60"/>
      <c r="U16" s="58"/>
      <c r="V16" s="59"/>
      <c r="W16" s="59"/>
      <c r="X16" s="60"/>
      <c r="Y16" s="58"/>
      <c r="Z16" s="59"/>
      <c r="AA16" s="59"/>
      <c r="AB16" s="60"/>
      <c r="AC16" s="58">
        <v>4</v>
      </c>
      <c r="AD16" s="59"/>
      <c r="AE16" s="59"/>
      <c r="AF16" s="60"/>
      <c r="AG16" s="58"/>
      <c r="AH16" s="59"/>
      <c r="AI16" s="59"/>
      <c r="AJ16" s="60"/>
      <c r="AK16" s="58"/>
      <c r="AL16" s="59"/>
      <c r="AM16" s="59"/>
      <c r="AN16" s="60"/>
      <c r="AO16" s="58"/>
      <c r="AP16" s="59"/>
      <c r="AQ16" s="59"/>
      <c r="AR16" s="60"/>
      <c r="AS16" s="58"/>
      <c r="AT16" s="59"/>
      <c r="AU16" s="59"/>
      <c r="AV16" s="60"/>
      <c r="AW16" s="58"/>
      <c r="AX16" s="59"/>
      <c r="AY16" s="59"/>
      <c r="AZ16" s="60"/>
      <c r="BA16" s="58"/>
      <c r="BB16" s="59"/>
      <c r="BC16" s="59"/>
      <c r="BD16" s="60"/>
      <c r="BE16" s="58"/>
      <c r="BF16" s="59"/>
      <c r="BG16" s="59"/>
      <c r="BH16" s="60"/>
      <c r="BI16" s="58"/>
      <c r="BJ16" s="59"/>
      <c r="BK16" s="59"/>
      <c r="BL16" s="60"/>
      <c r="BM16" s="58"/>
      <c r="BN16" s="59"/>
      <c r="BO16" s="59"/>
      <c r="BP16" s="60"/>
      <c r="BQ16" s="58"/>
      <c r="BR16" s="59"/>
      <c r="BS16" s="59"/>
      <c r="BT16" s="60"/>
      <c r="BU16" s="58"/>
      <c r="BV16" s="59"/>
      <c r="BW16" s="59"/>
      <c r="BX16" s="60"/>
      <c r="BY16" s="58"/>
      <c r="BZ16" s="59"/>
      <c r="CA16" s="59"/>
      <c r="CB16" s="60"/>
      <c r="CC16" s="58"/>
      <c r="CD16" s="59"/>
      <c r="CE16" s="59"/>
      <c r="CF16" s="60"/>
      <c r="CG16" s="36"/>
      <c r="CH16" s="105"/>
      <c r="CI16" s="105"/>
      <c r="CJ16" s="103"/>
      <c r="CK16" s="20"/>
      <c r="CO16"/>
      <c r="CP16"/>
      <c r="CS16"/>
      <c r="CT16"/>
      <c r="CU16"/>
      <c r="CV16"/>
      <c r="CW16"/>
      <c r="CX16"/>
      <c r="CY16"/>
      <c r="CZ16"/>
      <c r="DA16"/>
      <c r="DL16"/>
      <c r="DM16"/>
    </row>
    <row r="17" spans="2:117" ht="6" customHeight="1" x14ac:dyDescent="0.25">
      <c r="B17" s="102" t="s">
        <v>32</v>
      </c>
      <c r="C17" s="102"/>
      <c r="D17" s="28"/>
      <c r="E17" s="31"/>
      <c r="F17" s="43"/>
      <c r="G17" s="43"/>
      <c r="H17" s="33"/>
      <c r="I17" s="31"/>
      <c r="J17" s="43"/>
      <c r="K17" s="43"/>
      <c r="L17" s="33"/>
      <c r="M17" s="31"/>
      <c r="N17" s="43"/>
      <c r="O17" s="43"/>
      <c r="P17" s="33"/>
      <c r="Q17" s="31"/>
      <c r="R17" s="43"/>
      <c r="S17" s="43"/>
      <c r="T17" s="33"/>
      <c r="U17" s="31"/>
      <c r="V17" s="43"/>
      <c r="W17" s="43"/>
      <c r="X17" s="33"/>
      <c r="Y17" s="31"/>
      <c r="Z17" s="43"/>
      <c r="AA17" s="43"/>
      <c r="AB17" s="33"/>
      <c r="AC17" s="31"/>
      <c r="AD17" s="43"/>
      <c r="AE17" s="43"/>
      <c r="AF17" s="33"/>
      <c r="AG17" s="31"/>
      <c r="AH17" s="43"/>
      <c r="AI17" s="43"/>
      <c r="AJ17" s="33"/>
      <c r="AK17" s="31"/>
      <c r="AL17" s="43"/>
      <c r="AM17" s="43"/>
      <c r="AN17" s="33"/>
      <c r="AO17" s="31"/>
      <c r="AP17" s="43"/>
      <c r="AQ17" s="43"/>
      <c r="AR17" s="33"/>
      <c r="AS17" s="31"/>
      <c r="AT17" s="43"/>
      <c r="AU17" s="43"/>
      <c r="AV17" s="33"/>
      <c r="AW17" s="31"/>
      <c r="AX17" s="43"/>
      <c r="AY17" s="43"/>
      <c r="AZ17" s="33"/>
      <c r="BA17" s="31"/>
      <c r="BB17" s="43"/>
      <c r="BC17" s="43"/>
      <c r="BD17" s="33"/>
      <c r="BE17" s="31"/>
      <c r="BF17" s="43"/>
      <c r="BG17" s="43"/>
      <c r="BH17" s="33"/>
      <c r="BI17" s="31"/>
      <c r="BJ17" s="43"/>
      <c r="BK17" s="43"/>
      <c r="BL17" s="33"/>
      <c r="BM17" s="31"/>
      <c r="BN17" s="43"/>
      <c r="BO17" s="43"/>
      <c r="BP17" s="33"/>
      <c r="BQ17" s="31"/>
      <c r="BR17" s="43"/>
      <c r="BS17" s="43"/>
      <c r="BT17" s="33"/>
      <c r="BU17" s="31"/>
      <c r="BV17" s="43"/>
      <c r="BW17" s="43"/>
      <c r="BX17" s="33"/>
      <c r="BY17" s="31"/>
      <c r="BZ17" s="43"/>
      <c r="CA17" s="43"/>
      <c r="CB17" s="33"/>
      <c r="CC17" s="31"/>
      <c r="CD17" s="43"/>
      <c r="CE17" s="43"/>
      <c r="CF17" s="33"/>
      <c r="CH17" s="29"/>
      <c r="CI17" s="30"/>
      <c r="CJ17" s="103">
        <f>IF(ISBLANK(B17),"",IF(CI18&gt;=CH18,3,IF(CI18=(CH18-1),2,1)))</f>
        <v>3</v>
      </c>
      <c r="CK17" s="20"/>
      <c r="CN17"/>
      <c r="CO17"/>
      <c r="CP17"/>
      <c r="CQ17"/>
      <c r="CR17"/>
      <c r="CS17"/>
      <c r="CT17"/>
      <c r="CU17"/>
      <c r="CV17"/>
      <c r="CW17"/>
      <c r="CX17"/>
      <c r="CY17"/>
      <c r="CZ17"/>
      <c r="DA17"/>
      <c r="DL17"/>
      <c r="DM17"/>
    </row>
    <row r="18" spans="2:117" ht="15" customHeight="1" x14ac:dyDescent="0.25">
      <c r="B18" s="102"/>
      <c r="C18" s="102"/>
      <c r="D18" s="28"/>
      <c r="E18" s="31"/>
      <c r="F18" s="32"/>
      <c r="G18" s="32"/>
      <c r="H18" s="33"/>
      <c r="I18" s="31"/>
      <c r="J18" s="32"/>
      <c r="K18" s="32"/>
      <c r="L18" s="33"/>
      <c r="M18" s="31"/>
      <c r="N18" s="32"/>
      <c r="O18" s="32"/>
      <c r="P18" s="33"/>
      <c r="Q18" s="31"/>
      <c r="R18" s="32"/>
      <c r="S18" s="32"/>
      <c r="T18" s="33"/>
      <c r="U18" s="31"/>
      <c r="V18" s="32"/>
      <c r="W18" s="32"/>
      <c r="X18" s="33"/>
      <c r="Y18" s="31"/>
      <c r="Z18" s="32"/>
      <c r="AA18" s="32"/>
      <c r="AB18" s="33"/>
      <c r="AC18" s="31"/>
      <c r="AD18" s="32"/>
      <c r="AE18" s="32"/>
      <c r="AF18" s="33"/>
      <c r="AG18" s="31"/>
      <c r="AH18" s="32"/>
      <c r="AI18" s="32"/>
      <c r="AJ18" s="33"/>
      <c r="AK18" s="31"/>
      <c r="AL18" s="32"/>
      <c r="AM18" s="32"/>
      <c r="AN18" s="33"/>
      <c r="AO18" s="31"/>
      <c r="AP18" s="32"/>
      <c r="AQ18" s="32"/>
      <c r="AR18" s="33"/>
      <c r="AS18" s="31"/>
      <c r="AT18" s="32"/>
      <c r="AU18" s="32"/>
      <c r="AV18" s="33"/>
      <c r="AW18" s="31"/>
      <c r="AX18" s="32"/>
      <c r="AY18" s="32"/>
      <c r="AZ18" s="33"/>
      <c r="BA18" s="31"/>
      <c r="BB18" s="32"/>
      <c r="BC18" s="32"/>
      <c r="BD18" s="33"/>
      <c r="BE18" s="31"/>
      <c r="BF18" s="32"/>
      <c r="BG18" s="32"/>
      <c r="BH18" s="33"/>
      <c r="BI18" s="31"/>
      <c r="BJ18" s="32"/>
      <c r="BK18" s="32"/>
      <c r="BL18" s="33"/>
      <c r="BM18" s="31"/>
      <c r="BN18" s="32"/>
      <c r="BO18" s="32"/>
      <c r="BP18" s="33"/>
      <c r="BQ18" s="31"/>
      <c r="BR18" s="32"/>
      <c r="BS18" s="32"/>
      <c r="BT18" s="33"/>
      <c r="BU18" s="31"/>
      <c r="BV18" s="32"/>
      <c r="BW18" s="32"/>
      <c r="BX18" s="33"/>
      <c r="BY18" s="31"/>
      <c r="BZ18" s="32"/>
      <c r="CA18" s="32"/>
      <c r="CB18" s="33"/>
      <c r="CC18" s="31"/>
      <c r="CD18" s="32"/>
      <c r="CE18" s="32"/>
      <c r="CF18" s="33"/>
      <c r="CH18" s="34">
        <v>3</v>
      </c>
      <c r="CI18" s="35">
        <f>IF(ISBLANK(B17),"",COUNTIF(B20:CF20,"&gt;=3"))</f>
        <v>4</v>
      </c>
      <c r="CJ18" s="103"/>
      <c r="CK18" s="20"/>
      <c r="CN18"/>
      <c r="CO18"/>
      <c r="CP18"/>
      <c r="CQ18"/>
      <c r="CR18"/>
      <c r="CS18"/>
      <c r="CT18"/>
      <c r="CU18"/>
      <c r="CV18"/>
      <c r="CW18"/>
      <c r="CX18"/>
      <c r="CY18"/>
      <c r="CZ18"/>
      <c r="DA18"/>
      <c r="DL18"/>
      <c r="DM18"/>
    </row>
    <row r="19" spans="2:117" ht="15" customHeight="1" x14ac:dyDescent="0.25">
      <c r="B19" s="102"/>
      <c r="C19" s="102"/>
      <c r="D19" s="28"/>
      <c r="E19" s="31"/>
      <c r="F19" s="32"/>
      <c r="G19" s="32"/>
      <c r="H19" s="33"/>
      <c r="I19" s="31"/>
      <c r="J19" s="32"/>
      <c r="K19" s="32"/>
      <c r="L19" s="33"/>
      <c r="M19" s="31"/>
      <c r="N19" s="32"/>
      <c r="O19" s="32"/>
      <c r="P19" s="33"/>
      <c r="Q19" s="31"/>
      <c r="R19" s="32"/>
      <c r="S19" s="32"/>
      <c r="T19" s="33"/>
      <c r="U19" s="31"/>
      <c r="V19" s="32"/>
      <c r="W19" s="32"/>
      <c r="X19" s="33"/>
      <c r="Y19" s="31"/>
      <c r="Z19" s="32"/>
      <c r="AA19" s="32"/>
      <c r="AB19" s="33"/>
      <c r="AC19" s="31"/>
      <c r="AD19" s="32"/>
      <c r="AE19" s="32"/>
      <c r="AF19" s="33"/>
      <c r="AG19" s="31"/>
      <c r="AH19" s="32"/>
      <c r="AI19" s="32"/>
      <c r="AJ19" s="33"/>
      <c r="AK19" s="31"/>
      <c r="AL19" s="32"/>
      <c r="AM19" s="32"/>
      <c r="AN19" s="33"/>
      <c r="AO19" s="31"/>
      <c r="AP19" s="32"/>
      <c r="AQ19" s="32"/>
      <c r="AR19" s="33"/>
      <c r="AS19" s="31"/>
      <c r="AT19" s="32"/>
      <c r="AU19" s="32"/>
      <c r="AV19" s="33"/>
      <c r="AW19" s="31"/>
      <c r="AX19" s="32"/>
      <c r="AY19" s="32"/>
      <c r="AZ19" s="33"/>
      <c r="BA19" s="31"/>
      <c r="BB19" s="32"/>
      <c r="BC19" s="32"/>
      <c r="BD19" s="33"/>
      <c r="BE19" s="31"/>
      <c r="BF19" s="32"/>
      <c r="BG19" s="32"/>
      <c r="BH19" s="33"/>
      <c r="BI19" s="31"/>
      <c r="BJ19" s="32"/>
      <c r="BK19" s="32"/>
      <c r="BL19" s="33"/>
      <c r="BM19" s="31"/>
      <c r="BN19" s="32"/>
      <c r="BO19" s="32"/>
      <c r="BP19" s="33"/>
      <c r="BQ19" s="31"/>
      <c r="BR19" s="32"/>
      <c r="BS19" s="32"/>
      <c r="BT19" s="33"/>
      <c r="BU19" s="31"/>
      <c r="BV19" s="32"/>
      <c r="BW19" s="32"/>
      <c r="BX19" s="33"/>
      <c r="BY19" s="31"/>
      <c r="BZ19" s="32"/>
      <c r="CA19" s="32"/>
      <c r="CB19" s="33"/>
      <c r="CC19" s="31"/>
      <c r="CD19" s="32"/>
      <c r="CE19" s="32"/>
      <c r="CF19" s="33"/>
      <c r="CH19" s="104" t="str">
        <f>IF(ISBLANK(B17),"","personas cualificadas")</f>
        <v>personas cualificadas</v>
      </c>
      <c r="CI19" s="104" t="str">
        <f>IF(ISBLANK(B17),"","personas cualificadas")</f>
        <v>personas cualificadas</v>
      </c>
      <c r="CJ19" s="103"/>
      <c r="CK19" s="20"/>
      <c r="CN19"/>
      <c r="CO19"/>
      <c r="CP19"/>
      <c r="CQ19"/>
      <c r="CR19"/>
      <c r="CS19"/>
      <c r="CT19"/>
      <c r="CU19"/>
      <c r="CV19"/>
      <c r="CW19"/>
      <c r="CX19"/>
      <c r="CY19"/>
      <c r="CZ19"/>
      <c r="DA19"/>
      <c r="DL19"/>
      <c r="DM19"/>
    </row>
    <row r="20" spans="2:117" x14ac:dyDescent="0.25">
      <c r="B20" s="102"/>
      <c r="C20" s="102"/>
      <c r="D20" s="28"/>
      <c r="E20" s="58">
        <v>4</v>
      </c>
      <c r="F20" s="59"/>
      <c r="G20" s="59"/>
      <c r="H20" s="60"/>
      <c r="I20" s="58">
        <v>4</v>
      </c>
      <c r="J20" s="59"/>
      <c r="K20" s="59"/>
      <c r="L20" s="60"/>
      <c r="M20" s="58">
        <v>4</v>
      </c>
      <c r="N20" s="59"/>
      <c r="O20" s="59"/>
      <c r="P20" s="60"/>
      <c r="Q20" s="58"/>
      <c r="R20" s="59"/>
      <c r="S20" s="59"/>
      <c r="T20" s="60"/>
      <c r="U20" s="58"/>
      <c r="V20" s="59"/>
      <c r="W20" s="59"/>
      <c r="X20" s="60"/>
      <c r="Y20" s="58"/>
      <c r="Z20" s="59"/>
      <c r="AA20" s="59"/>
      <c r="AB20" s="60"/>
      <c r="AC20" s="58">
        <v>4</v>
      </c>
      <c r="AD20" s="59"/>
      <c r="AE20" s="59"/>
      <c r="AF20" s="60"/>
      <c r="AG20" s="58"/>
      <c r="AH20" s="59"/>
      <c r="AI20" s="59"/>
      <c r="AJ20" s="60"/>
      <c r="AK20" s="58"/>
      <c r="AL20" s="59"/>
      <c r="AM20" s="59"/>
      <c r="AN20" s="60"/>
      <c r="AO20" s="58"/>
      <c r="AP20" s="59"/>
      <c r="AQ20" s="59"/>
      <c r="AR20" s="60"/>
      <c r="AS20" s="58"/>
      <c r="AT20" s="59"/>
      <c r="AU20" s="59"/>
      <c r="AV20" s="60"/>
      <c r="AW20" s="58"/>
      <c r="AX20" s="59"/>
      <c r="AY20" s="59"/>
      <c r="AZ20" s="60"/>
      <c r="BA20" s="58"/>
      <c r="BB20" s="59"/>
      <c r="BC20" s="59"/>
      <c r="BD20" s="60"/>
      <c r="BE20" s="58"/>
      <c r="BF20" s="59"/>
      <c r="BG20" s="59"/>
      <c r="BH20" s="60"/>
      <c r="BI20" s="58"/>
      <c r="BJ20" s="59"/>
      <c r="BK20" s="59"/>
      <c r="BL20" s="60"/>
      <c r="BM20" s="58"/>
      <c r="BN20" s="59"/>
      <c r="BO20" s="59"/>
      <c r="BP20" s="60"/>
      <c r="BQ20" s="58"/>
      <c r="BR20" s="59"/>
      <c r="BS20" s="59"/>
      <c r="BT20" s="60"/>
      <c r="BU20" s="58"/>
      <c r="BV20" s="59"/>
      <c r="BW20" s="59"/>
      <c r="BX20" s="60"/>
      <c r="BY20" s="58"/>
      <c r="BZ20" s="59"/>
      <c r="CA20" s="59"/>
      <c r="CB20" s="60"/>
      <c r="CC20" s="58"/>
      <c r="CD20" s="59"/>
      <c r="CE20" s="59"/>
      <c r="CF20" s="60"/>
      <c r="CG20" s="36"/>
      <c r="CH20" s="105"/>
      <c r="CI20" s="105"/>
      <c r="CJ20" s="103"/>
      <c r="CK20" s="20"/>
      <c r="CN20"/>
      <c r="CO20"/>
      <c r="CP20"/>
      <c r="CQ20"/>
      <c r="CR20"/>
      <c r="CS20"/>
      <c r="CT20"/>
      <c r="CU20"/>
      <c r="CV20"/>
      <c r="CW20"/>
      <c r="CX20"/>
      <c r="CY20"/>
      <c r="CZ20"/>
      <c r="DA20"/>
      <c r="DL20"/>
      <c r="DM20"/>
    </row>
    <row r="21" spans="2:117" ht="6" customHeight="1" x14ac:dyDescent="0.25">
      <c r="B21" s="102" t="s">
        <v>33</v>
      </c>
      <c r="C21" s="102"/>
      <c r="D21" s="28"/>
      <c r="E21" s="31"/>
      <c r="F21" s="43"/>
      <c r="G21" s="43"/>
      <c r="H21" s="33"/>
      <c r="I21" s="31"/>
      <c r="J21" s="43"/>
      <c r="K21" s="43"/>
      <c r="L21" s="33"/>
      <c r="M21" s="31"/>
      <c r="N21" s="43"/>
      <c r="O21" s="43"/>
      <c r="P21" s="33"/>
      <c r="Q21" s="31"/>
      <c r="R21" s="43"/>
      <c r="S21" s="43"/>
      <c r="T21" s="33"/>
      <c r="U21" s="31"/>
      <c r="V21" s="43"/>
      <c r="W21" s="43"/>
      <c r="X21" s="33"/>
      <c r="Y21" s="31"/>
      <c r="Z21" s="43"/>
      <c r="AA21" s="43"/>
      <c r="AB21" s="33"/>
      <c r="AC21" s="31"/>
      <c r="AD21" s="43"/>
      <c r="AE21" s="43"/>
      <c r="AF21" s="33"/>
      <c r="AG21" s="31"/>
      <c r="AH21" s="43"/>
      <c r="AI21" s="43"/>
      <c r="AJ21" s="33"/>
      <c r="AK21" s="31"/>
      <c r="AL21" s="43"/>
      <c r="AM21" s="43"/>
      <c r="AN21" s="33"/>
      <c r="AO21" s="31"/>
      <c r="AP21" s="43"/>
      <c r="AQ21" s="43"/>
      <c r="AR21" s="33"/>
      <c r="AS21" s="31"/>
      <c r="AT21" s="43"/>
      <c r="AU21" s="43"/>
      <c r="AV21" s="33"/>
      <c r="AW21" s="31"/>
      <c r="AX21" s="43"/>
      <c r="AY21" s="43"/>
      <c r="AZ21" s="33"/>
      <c r="BA21" s="31"/>
      <c r="BB21" s="43"/>
      <c r="BC21" s="43"/>
      <c r="BD21" s="33"/>
      <c r="BE21" s="31"/>
      <c r="BF21" s="43"/>
      <c r="BG21" s="43"/>
      <c r="BH21" s="33"/>
      <c r="BI21" s="31"/>
      <c r="BJ21" s="43"/>
      <c r="BK21" s="43"/>
      <c r="BL21" s="33"/>
      <c r="BM21" s="31"/>
      <c r="BN21" s="43"/>
      <c r="BO21" s="43"/>
      <c r="BP21" s="33"/>
      <c r="BQ21" s="31"/>
      <c r="BR21" s="43"/>
      <c r="BS21" s="43"/>
      <c r="BT21" s="33"/>
      <c r="BU21" s="31"/>
      <c r="BV21" s="43"/>
      <c r="BW21" s="43"/>
      <c r="BX21" s="33"/>
      <c r="BY21" s="31"/>
      <c r="BZ21" s="43"/>
      <c r="CA21" s="43"/>
      <c r="CB21" s="33"/>
      <c r="CC21" s="31"/>
      <c r="CD21" s="43"/>
      <c r="CE21" s="43"/>
      <c r="CF21" s="33"/>
      <c r="CH21" s="29"/>
      <c r="CI21" s="30"/>
      <c r="CJ21" s="103">
        <f>IF(ISBLANK(B21),"",IF(CI22&gt;=CH22,3,IF(CI22=(CH22-1),2,1)))</f>
        <v>2</v>
      </c>
      <c r="CK21" s="20"/>
      <c r="CN21"/>
      <c r="CO21"/>
      <c r="CP21"/>
      <c r="CQ21"/>
      <c r="CR21"/>
      <c r="CS21"/>
      <c r="CT21"/>
      <c r="CU21"/>
      <c r="CV21"/>
      <c r="CW21"/>
      <c r="CX21"/>
      <c r="CY21"/>
      <c r="CZ21"/>
      <c r="DA21"/>
      <c r="DL21"/>
      <c r="DM21"/>
    </row>
    <row r="22" spans="2:117" ht="15" customHeight="1" x14ac:dyDescent="0.25">
      <c r="B22" s="102"/>
      <c r="C22" s="102"/>
      <c r="D22" s="28"/>
      <c r="E22" s="31"/>
      <c r="F22" s="32"/>
      <c r="G22" s="32"/>
      <c r="H22" s="33"/>
      <c r="I22" s="31"/>
      <c r="J22" s="32"/>
      <c r="K22" s="32"/>
      <c r="L22" s="33"/>
      <c r="M22" s="31"/>
      <c r="N22" s="32"/>
      <c r="O22" s="32"/>
      <c r="P22" s="33"/>
      <c r="Q22" s="31"/>
      <c r="R22" s="32"/>
      <c r="S22" s="32"/>
      <c r="T22" s="33"/>
      <c r="U22" s="31"/>
      <c r="V22" s="32"/>
      <c r="W22" s="32"/>
      <c r="X22" s="33"/>
      <c r="Y22" s="31"/>
      <c r="Z22" s="32"/>
      <c r="AA22" s="32"/>
      <c r="AB22" s="33"/>
      <c r="AC22" s="31"/>
      <c r="AD22" s="32"/>
      <c r="AE22" s="32"/>
      <c r="AF22" s="33"/>
      <c r="AG22" s="31"/>
      <c r="AH22" s="32"/>
      <c r="AI22" s="32"/>
      <c r="AJ22" s="33"/>
      <c r="AK22" s="31"/>
      <c r="AL22" s="32"/>
      <c r="AM22" s="32"/>
      <c r="AN22" s="33"/>
      <c r="AO22" s="31"/>
      <c r="AP22" s="32"/>
      <c r="AQ22" s="32"/>
      <c r="AR22" s="33"/>
      <c r="AS22" s="31"/>
      <c r="AT22" s="32"/>
      <c r="AU22" s="32"/>
      <c r="AV22" s="33"/>
      <c r="AW22" s="31"/>
      <c r="AX22" s="32"/>
      <c r="AY22" s="32"/>
      <c r="AZ22" s="33"/>
      <c r="BA22" s="31"/>
      <c r="BB22" s="32"/>
      <c r="BC22" s="32"/>
      <c r="BD22" s="33"/>
      <c r="BE22" s="31"/>
      <c r="BF22" s="32"/>
      <c r="BG22" s="32"/>
      <c r="BH22" s="33"/>
      <c r="BI22" s="31"/>
      <c r="BJ22" s="32"/>
      <c r="BK22" s="32"/>
      <c r="BL22" s="33"/>
      <c r="BM22" s="31"/>
      <c r="BN22" s="32"/>
      <c r="BO22" s="32"/>
      <c r="BP22" s="33"/>
      <c r="BQ22" s="31"/>
      <c r="BR22" s="32"/>
      <c r="BS22" s="32"/>
      <c r="BT22" s="33"/>
      <c r="BU22" s="31"/>
      <c r="BV22" s="32"/>
      <c r="BW22" s="32"/>
      <c r="BX22" s="33"/>
      <c r="BY22" s="31"/>
      <c r="BZ22" s="32"/>
      <c r="CA22" s="32"/>
      <c r="CB22" s="33"/>
      <c r="CC22" s="31"/>
      <c r="CD22" s="32"/>
      <c r="CE22" s="32"/>
      <c r="CF22" s="33"/>
      <c r="CH22" s="34">
        <v>3</v>
      </c>
      <c r="CI22" s="35">
        <f>IF(ISBLANK(B21),"",COUNTIF(B24:CF24,"&gt;=3"))</f>
        <v>2</v>
      </c>
      <c r="CJ22" s="103"/>
      <c r="CK22" s="20"/>
      <c r="CN22"/>
      <c r="CO22"/>
      <c r="CP22"/>
      <c r="CQ22"/>
      <c r="CR22"/>
      <c r="CS22"/>
      <c r="CT22"/>
      <c r="CU22"/>
      <c r="CV22"/>
      <c r="CW22"/>
      <c r="CX22"/>
      <c r="CY22"/>
      <c r="CZ22"/>
      <c r="DA22"/>
      <c r="DL22"/>
      <c r="DM22"/>
    </row>
    <row r="23" spans="2:117" ht="15" customHeight="1" x14ac:dyDescent="0.25">
      <c r="B23" s="102"/>
      <c r="C23" s="102"/>
      <c r="D23" s="28"/>
      <c r="E23" s="31"/>
      <c r="F23" s="32"/>
      <c r="G23" s="32"/>
      <c r="H23" s="33"/>
      <c r="I23" s="31"/>
      <c r="J23" s="32"/>
      <c r="K23" s="32"/>
      <c r="L23" s="33"/>
      <c r="M23" s="31"/>
      <c r="N23" s="32"/>
      <c r="O23" s="32"/>
      <c r="P23" s="33"/>
      <c r="Q23" s="31"/>
      <c r="R23" s="32"/>
      <c r="S23" s="32"/>
      <c r="T23" s="33"/>
      <c r="U23" s="31"/>
      <c r="V23" s="32"/>
      <c r="W23" s="32"/>
      <c r="X23" s="33"/>
      <c r="Y23" s="31"/>
      <c r="Z23" s="32"/>
      <c r="AA23" s="32"/>
      <c r="AB23" s="33"/>
      <c r="AC23" s="31"/>
      <c r="AD23" s="32"/>
      <c r="AE23" s="32"/>
      <c r="AF23" s="33"/>
      <c r="AG23" s="31"/>
      <c r="AH23" s="32"/>
      <c r="AI23" s="32"/>
      <c r="AJ23" s="33"/>
      <c r="AK23" s="31"/>
      <c r="AL23" s="32"/>
      <c r="AM23" s="32"/>
      <c r="AN23" s="33"/>
      <c r="AO23" s="31"/>
      <c r="AP23" s="32"/>
      <c r="AQ23" s="32"/>
      <c r="AR23" s="33"/>
      <c r="AS23" s="31"/>
      <c r="AT23" s="32"/>
      <c r="AU23" s="32"/>
      <c r="AV23" s="33"/>
      <c r="AW23" s="31"/>
      <c r="AX23" s="32"/>
      <c r="AY23" s="32"/>
      <c r="AZ23" s="33"/>
      <c r="BA23" s="31"/>
      <c r="BB23" s="32"/>
      <c r="BC23" s="32"/>
      <c r="BD23" s="33"/>
      <c r="BE23" s="31"/>
      <c r="BF23" s="32"/>
      <c r="BG23" s="32"/>
      <c r="BH23" s="33"/>
      <c r="BI23" s="31"/>
      <c r="BJ23" s="32"/>
      <c r="BK23" s="32"/>
      <c r="BL23" s="33"/>
      <c r="BM23" s="31"/>
      <c r="BN23" s="32"/>
      <c r="BO23" s="32"/>
      <c r="BP23" s="33"/>
      <c r="BQ23" s="31"/>
      <c r="BR23" s="32"/>
      <c r="BS23" s="32"/>
      <c r="BT23" s="33"/>
      <c r="BU23" s="31"/>
      <c r="BV23" s="32"/>
      <c r="BW23" s="32"/>
      <c r="BX23" s="33"/>
      <c r="BY23" s="31"/>
      <c r="BZ23" s="32"/>
      <c r="CA23" s="32"/>
      <c r="CB23" s="33"/>
      <c r="CC23" s="31"/>
      <c r="CD23" s="32"/>
      <c r="CE23" s="32"/>
      <c r="CF23" s="33"/>
      <c r="CH23" s="104" t="str">
        <f>IF(ISBLANK(B21),"","personas cualificadas")</f>
        <v>personas cualificadas</v>
      </c>
      <c r="CI23" s="104" t="str">
        <f>IF(ISBLANK(B21),"","personas cualificadas")</f>
        <v>personas cualificadas</v>
      </c>
      <c r="CJ23" s="103"/>
      <c r="CK23" s="20"/>
      <c r="CN23"/>
      <c r="CO23"/>
      <c r="CP23"/>
      <c r="CQ23"/>
      <c r="CR23"/>
      <c r="CS23"/>
      <c r="CT23"/>
      <c r="CU23"/>
      <c r="CV23"/>
      <c r="CW23"/>
      <c r="CX23"/>
      <c r="CY23"/>
      <c r="CZ23"/>
      <c r="DA23"/>
      <c r="DL23"/>
      <c r="DM23"/>
    </row>
    <row r="24" spans="2:117" x14ac:dyDescent="0.25">
      <c r="B24" s="102"/>
      <c r="C24" s="102"/>
      <c r="D24" s="28"/>
      <c r="E24" s="58">
        <v>2</v>
      </c>
      <c r="F24" s="59"/>
      <c r="G24" s="59"/>
      <c r="H24" s="60"/>
      <c r="I24" s="58">
        <v>4</v>
      </c>
      <c r="J24" s="59"/>
      <c r="K24" s="59"/>
      <c r="L24" s="60"/>
      <c r="M24" s="58"/>
      <c r="N24" s="59"/>
      <c r="O24" s="59"/>
      <c r="P24" s="60"/>
      <c r="Q24" s="58"/>
      <c r="R24" s="59"/>
      <c r="S24" s="59"/>
      <c r="T24" s="60"/>
      <c r="U24" s="58"/>
      <c r="V24" s="59"/>
      <c r="W24" s="59"/>
      <c r="X24" s="60"/>
      <c r="Y24" s="58"/>
      <c r="Z24" s="59"/>
      <c r="AA24" s="59"/>
      <c r="AB24" s="60"/>
      <c r="AC24" s="58">
        <v>4</v>
      </c>
      <c r="AD24" s="59"/>
      <c r="AE24" s="59"/>
      <c r="AF24" s="60"/>
      <c r="AG24" s="58"/>
      <c r="AH24" s="59"/>
      <c r="AI24" s="59"/>
      <c r="AJ24" s="60"/>
      <c r="AK24" s="58"/>
      <c r="AL24" s="59"/>
      <c r="AM24" s="59"/>
      <c r="AN24" s="60"/>
      <c r="AO24" s="58"/>
      <c r="AP24" s="59"/>
      <c r="AQ24" s="59"/>
      <c r="AR24" s="60"/>
      <c r="AS24" s="58"/>
      <c r="AT24" s="59"/>
      <c r="AU24" s="59"/>
      <c r="AV24" s="60"/>
      <c r="AW24" s="58"/>
      <c r="AX24" s="59"/>
      <c r="AY24" s="59"/>
      <c r="AZ24" s="60"/>
      <c r="BA24" s="58"/>
      <c r="BB24" s="59"/>
      <c r="BC24" s="59"/>
      <c r="BD24" s="60"/>
      <c r="BE24" s="58"/>
      <c r="BF24" s="59"/>
      <c r="BG24" s="59"/>
      <c r="BH24" s="60"/>
      <c r="BI24" s="58"/>
      <c r="BJ24" s="59"/>
      <c r="BK24" s="59"/>
      <c r="BL24" s="60"/>
      <c r="BM24" s="58"/>
      <c r="BN24" s="59"/>
      <c r="BO24" s="59"/>
      <c r="BP24" s="60"/>
      <c r="BQ24" s="58"/>
      <c r="BR24" s="59"/>
      <c r="BS24" s="59"/>
      <c r="BT24" s="60"/>
      <c r="BU24" s="58"/>
      <c r="BV24" s="59"/>
      <c r="BW24" s="59"/>
      <c r="BX24" s="60"/>
      <c r="BY24" s="58"/>
      <c r="BZ24" s="59"/>
      <c r="CA24" s="59"/>
      <c r="CB24" s="60"/>
      <c r="CC24" s="58"/>
      <c r="CD24" s="59"/>
      <c r="CE24" s="59"/>
      <c r="CF24" s="60"/>
      <c r="CG24" s="36"/>
      <c r="CH24" s="105"/>
      <c r="CI24" s="105"/>
      <c r="CJ24" s="103"/>
      <c r="CK24" s="20"/>
      <c r="CN24"/>
      <c r="CO24"/>
      <c r="CP24"/>
      <c r="CQ24"/>
      <c r="CR24"/>
      <c r="CS24"/>
      <c r="CT24"/>
      <c r="CU24"/>
      <c r="CV24"/>
      <c r="CW24"/>
      <c r="CX24"/>
      <c r="CY24"/>
      <c r="CZ24"/>
      <c r="DA24"/>
      <c r="DL24"/>
      <c r="DM24"/>
    </row>
    <row r="25" spans="2:117" ht="6" customHeight="1" x14ac:dyDescent="0.25">
      <c r="B25" s="102" t="s">
        <v>34</v>
      </c>
      <c r="C25" s="102"/>
      <c r="D25" s="28"/>
      <c r="E25" s="31"/>
      <c r="F25" s="43"/>
      <c r="G25" s="43"/>
      <c r="H25" s="33"/>
      <c r="I25" s="31"/>
      <c r="J25" s="43"/>
      <c r="K25" s="43"/>
      <c r="L25" s="33"/>
      <c r="M25" s="31"/>
      <c r="N25" s="43"/>
      <c r="O25" s="43"/>
      <c r="P25" s="33"/>
      <c r="Q25" s="31"/>
      <c r="R25" s="43"/>
      <c r="S25" s="43"/>
      <c r="T25" s="33"/>
      <c r="U25" s="31"/>
      <c r="V25" s="43"/>
      <c r="W25" s="43"/>
      <c r="X25" s="33"/>
      <c r="Y25" s="31"/>
      <c r="Z25" s="43"/>
      <c r="AA25" s="43"/>
      <c r="AB25" s="33"/>
      <c r="AC25" s="31"/>
      <c r="AD25" s="43"/>
      <c r="AE25" s="43"/>
      <c r="AF25" s="33"/>
      <c r="AG25" s="31"/>
      <c r="AH25" s="43"/>
      <c r="AI25" s="43"/>
      <c r="AJ25" s="33"/>
      <c r="AK25" s="31"/>
      <c r="AL25" s="43"/>
      <c r="AM25" s="43"/>
      <c r="AN25" s="33"/>
      <c r="AO25" s="31"/>
      <c r="AP25" s="43"/>
      <c r="AQ25" s="43"/>
      <c r="AR25" s="33"/>
      <c r="AS25" s="31"/>
      <c r="AT25" s="43"/>
      <c r="AU25" s="43"/>
      <c r="AV25" s="33"/>
      <c r="AW25" s="31"/>
      <c r="AX25" s="43"/>
      <c r="AY25" s="43"/>
      <c r="AZ25" s="33"/>
      <c r="BA25" s="31"/>
      <c r="BB25" s="43"/>
      <c r="BC25" s="43"/>
      <c r="BD25" s="33"/>
      <c r="BE25" s="31"/>
      <c r="BF25" s="43"/>
      <c r="BG25" s="43"/>
      <c r="BH25" s="33"/>
      <c r="BI25" s="31"/>
      <c r="BJ25" s="43"/>
      <c r="BK25" s="43"/>
      <c r="BL25" s="33"/>
      <c r="BM25" s="31"/>
      <c r="BN25" s="43"/>
      <c r="BO25" s="43"/>
      <c r="BP25" s="33"/>
      <c r="BQ25" s="31"/>
      <c r="BR25" s="43"/>
      <c r="BS25" s="43"/>
      <c r="BT25" s="33"/>
      <c r="BU25" s="31"/>
      <c r="BV25" s="43"/>
      <c r="BW25" s="43"/>
      <c r="BX25" s="33"/>
      <c r="BY25" s="31"/>
      <c r="BZ25" s="43"/>
      <c r="CA25" s="43"/>
      <c r="CB25" s="33"/>
      <c r="CC25" s="31"/>
      <c r="CD25" s="43"/>
      <c r="CE25" s="43"/>
      <c r="CF25" s="33"/>
      <c r="CH25" s="29"/>
      <c r="CI25" s="30"/>
      <c r="CJ25" s="103">
        <f t="shared" ref="CJ25" si="0">IF(ISBLANK(B25),"",IF(CI26&gt;=CH26,3,IF(CI26=(CH26-1),2,1)))</f>
        <v>3</v>
      </c>
      <c r="CK25" s="20"/>
      <c r="CN25"/>
      <c r="CO25"/>
      <c r="CP25"/>
      <c r="CQ25"/>
      <c r="CR25"/>
      <c r="CS25"/>
      <c r="CT25"/>
      <c r="CU25"/>
      <c r="CV25"/>
      <c r="CW25"/>
      <c r="CX25"/>
      <c r="CY25"/>
      <c r="CZ25"/>
      <c r="DA25"/>
      <c r="DL25"/>
      <c r="DM25"/>
    </row>
    <row r="26" spans="2:117" ht="15" customHeight="1" x14ac:dyDescent="0.25">
      <c r="B26" s="102"/>
      <c r="C26" s="102"/>
      <c r="D26" s="28"/>
      <c r="E26" s="31"/>
      <c r="F26" s="32"/>
      <c r="G26" s="32"/>
      <c r="H26" s="33"/>
      <c r="I26" s="31"/>
      <c r="J26" s="32"/>
      <c r="K26" s="32"/>
      <c r="L26" s="33"/>
      <c r="M26" s="31"/>
      <c r="N26" s="32"/>
      <c r="O26" s="32"/>
      <c r="P26" s="33"/>
      <c r="Q26" s="31"/>
      <c r="R26" s="32"/>
      <c r="S26" s="32"/>
      <c r="T26" s="33"/>
      <c r="U26" s="31"/>
      <c r="V26" s="32"/>
      <c r="W26" s="32"/>
      <c r="X26" s="33"/>
      <c r="Y26" s="31"/>
      <c r="Z26" s="32"/>
      <c r="AA26" s="32"/>
      <c r="AB26" s="33"/>
      <c r="AC26" s="31"/>
      <c r="AD26" s="32"/>
      <c r="AE26" s="32"/>
      <c r="AF26" s="33"/>
      <c r="AG26" s="31"/>
      <c r="AH26" s="32"/>
      <c r="AI26" s="32"/>
      <c r="AJ26" s="33"/>
      <c r="AK26" s="31"/>
      <c r="AL26" s="32"/>
      <c r="AM26" s="32"/>
      <c r="AN26" s="33"/>
      <c r="AO26" s="31"/>
      <c r="AP26" s="32"/>
      <c r="AQ26" s="32"/>
      <c r="AR26" s="33"/>
      <c r="AS26" s="31"/>
      <c r="AT26" s="32"/>
      <c r="AU26" s="32"/>
      <c r="AV26" s="33"/>
      <c r="AW26" s="31"/>
      <c r="AX26" s="32"/>
      <c r="AY26" s="32"/>
      <c r="AZ26" s="33"/>
      <c r="BA26" s="31"/>
      <c r="BB26" s="32"/>
      <c r="BC26" s="32"/>
      <c r="BD26" s="33"/>
      <c r="BE26" s="31"/>
      <c r="BF26" s="32"/>
      <c r="BG26" s="32"/>
      <c r="BH26" s="33"/>
      <c r="BI26" s="31"/>
      <c r="BJ26" s="32"/>
      <c r="BK26" s="32"/>
      <c r="BL26" s="33"/>
      <c r="BM26" s="31"/>
      <c r="BN26" s="32"/>
      <c r="BO26" s="32"/>
      <c r="BP26" s="33"/>
      <c r="BQ26" s="31"/>
      <c r="BR26" s="32"/>
      <c r="BS26" s="32"/>
      <c r="BT26" s="33"/>
      <c r="BU26" s="31"/>
      <c r="BV26" s="32"/>
      <c r="BW26" s="32"/>
      <c r="BX26" s="33"/>
      <c r="BY26" s="31"/>
      <c r="BZ26" s="32"/>
      <c r="CA26" s="32"/>
      <c r="CB26" s="33"/>
      <c r="CC26" s="31"/>
      <c r="CD26" s="32"/>
      <c r="CE26" s="32"/>
      <c r="CF26" s="33"/>
      <c r="CH26" s="34">
        <v>3</v>
      </c>
      <c r="CI26" s="35">
        <f>IF(ISBLANK(B25),"",COUNTIF(B28:CF28,"&gt;=3"))</f>
        <v>4</v>
      </c>
      <c r="CJ26" s="103"/>
      <c r="CK26" s="20"/>
      <c r="CN26"/>
      <c r="CO26"/>
      <c r="CP26"/>
      <c r="CQ26"/>
      <c r="CR26"/>
      <c r="CS26"/>
      <c r="CT26"/>
      <c r="CU26"/>
      <c r="CV26"/>
      <c r="CW26"/>
      <c r="CX26"/>
      <c r="CY26"/>
      <c r="CZ26"/>
      <c r="DA26"/>
      <c r="DL26"/>
      <c r="DM26"/>
    </row>
    <row r="27" spans="2:117" ht="15" customHeight="1" x14ac:dyDescent="0.25">
      <c r="B27" s="102"/>
      <c r="C27" s="102"/>
      <c r="D27" s="28"/>
      <c r="E27" s="31"/>
      <c r="F27" s="32"/>
      <c r="G27" s="32"/>
      <c r="H27" s="33"/>
      <c r="I27" s="31"/>
      <c r="J27" s="32"/>
      <c r="K27" s="32"/>
      <c r="L27" s="33"/>
      <c r="M27" s="31"/>
      <c r="N27" s="32"/>
      <c r="O27" s="32"/>
      <c r="P27" s="33"/>
      <c r="Q27" s="31"/>
      <c r="R27" s="32"/>
      <c r="S27" s="32"/>
      <c r="T27" s="33"/>
      <c r="U27" s="31"/>
      <c r="V27" s="32"/>
      <c r="W27" s="32"/>
      <c r="X27" s="33"/>
      <c r="Y27" s="31"/>
      <c r="Z27" s="32"/>
      <c r="AA27" s="32"/>
      <c r="AB27" s="33"/>
      <c r="AC27" s="31"/>
      <c r="AD27" s="32"/>
      <c r="AE27" s="32"/>
      <c r="AF27" s="33"/>
      <c r="AG27" s="31"/>
      <c r="AH27" s="32"/>
      <c r="AI27" s="32"/>
      <c r="AJ27" s="33"/>
      <c r="AK27" s="31"/>
      <c r="AL27" s="32"/>
      <c r="AM27" s="32"/>
      <c r="AN27" s="33"/>
      <c r="AO27" s="31"/>
      <c r="AP27" s="32"/>
      <c r="AQ27" s="32"/>
      <c r="AR27" s="33"/>
      <c r="AS27" s="31"/>
      <c r="AT27" s="32"/>
      <c r="AU27" s="32"/>
      <c r="AV27" s="33"/>
      <c r="AW27" s="31"/>
      <c r="AX27" s="32"/>
      <c r="AY27" s="32"/>
      <c r="AZ27" s="33"/>
      <c r="BA27" s="31"/>
      <c r="BB27" s="32"/>
      <c r="BC27" s="32"/>
      <c r="BD27" s="33"/>
      <c r="BE27" s="31"/>
      <c r="BF27" s="32"/>
      <c r="BG27" s="32"/>
      <c r="BH27" s="33"/>
      <c r="BI27" s="31"/>
      <c r="BJ27" s="32"/>
      <c r="BK27" s="32"/>
      <c r="BL27" s="33"/>
      <c r="BM27" s="31"/>
      <c r="BN27" s="32"/>
      <c r="BO27" s="32"/>
      <c r="BP27" s="33"/>
      <c r="BQ27" s="31"/>
      <c r="BR27" s="32"/>
      <c r="BS27" s="32"/>
      <c r="BT27" s="33"/>
      <c r="BU27" s="31"/>
      <c r="BV27" s="32"/>
      <c r="BW27" s="32"/>
      <c r="BX27" s="33"/>
      <c r="BY27" s="31"/>
      <c r="BZ27" s="32"/>
      <c r="CA27" s="32"/>
      <c r="CB27" s="33"/>
      <c r="CC27" s="31"/>
      <c r="CD27" s="32"/>
      <c r="CE27" s="32"/>
      <c r="CF27" s="33"/>
      <c r="CH27" s="104" t="str">
        <f>IF(ISBLANK(B25),"","personas cualificadas")</f>
        <v>personas cualificadas</v>
      </c>
      <c r="CI27" s="104" t="str">
        <f>IF(ISBLANK(B25),"","personas cualificadas")</f>
        <v>personas cualificadas</v>
      </c>
      <c r="CJ27" s="103"/>
      <c r="CK27" s="20"/>
      <c r="CN27"/>
      <c r="CO27"/>
      <c r="CP27"/>
      <c r="CQ27"/>
      <c r="CR27"/>
      <c r="CS27"/>
      <c r="CT27"/>
      <c r="CU27"/>
      <c r="CV27"/>
      <c r="CW27"/>
      <c r="CX27"/>
      <c r="CY27"/>
      <c r="CZ27"/>
      <c r="DA27"/>
      <c r="DL27"/>
      <c r="DM27"/>
    </row>
    <row r="28" spans="2:117" x14ac:dyDescent="0.25">
      <c r="B28" s="102"/>
      <c r="C28" s="102"/>
      <c r="D28" s="28"/>
      <c r="E28" s="58">
        <v>4</v>
      </c>
      <c r="F28" s="59"/>
      <c r="G28" s="59"/>
      <c r="H28" s="60"/>
      <c r="I28" s="58">
        <v>4</v>
      </c>
      <c r="J28" s="59"/>
      <c r="K28" s="59"/>
      <c r="L28" s="60"/>
      <c r="M28" s="58">
        <v>4</v>
      </c>
      <c r="N28" s="59"/>
      <c r="O28" s="59"/>
      <c r="P28" s="60"/>
      <c r="Q28" s="58"/>
      <c r="R28" s="59"/>
      <c r="S28" s="59"/>
      <c r="T28" s="60"/>
      <c r="U28" s="58"/>
      <c r="V28" s="59"/>
      <c r="W28" s="59"/>
      <c r="X28" s="60"/>
      <c r="Y28" s="58"/>
      <c r="Z28" s="59"/>
      <c r="AA28" s="59"/>
      <c r="AB28" s="60"/>
      <c r="AC28" s="58">
        <v>4</v>
      </c>
      <c r="AD28" s="59"/>
      <c r="AE28" s="59"/>
      <c r="AF28" s="60"/>
      <c r="AG28" s="58"/>
      <c r="AH28" s="59"/>
      <c r="AI28" s="59"/>
      <c r="AJ28" s="60"/>
      <c r="AK28" s="58"/>
      <c r="AL28" s="59"/>
      <c r="AM28" s="59"/>
      <c r="AN28" s="60"/>
      <c r="AO28" s="58"/>
      <c r="AP28" s="59"/>
      <c r="AQ28" s="59"/>
      <c r="AR28" s="60"/>
      <c r="AS28" s="58"/>
      <c r="AT28" s="59"/>
      <c r="AU28" s="59"/>
      <c r="AV28" s="60"/>
      <c r="AW28" s="58"/>
      <c r="AX28" s="59"/>
      <c r="AY28" s="59"/>
      <c r="AZ28" s="60"/>
      <c r="BA28" s="58"/>
      <c r="BB28" s="59"/>
      <c r="BC28" s="59"/>
      <c r="BD28" s="60"/>
      <c r="BE28" s="58"/>
      <c r="BF28" s="59"/>
      <c r="BG28" s="59"/>
      <c r="BH28" s="60"/>
      <c r="BI28" s="58"/>
      <c r="BJ28" s="59"/>
      <c r="BK28" s="59"/>
      <c r="BL28" s="60"/>
      <c r="BM28" s="58"/>
      <c r="BN28" s="59"/>
      <c r="BO28" s="59"/>
      <c r="BP28" s="60"/>
      <c r="BQ28" s="58"/>
      <c r="BR28" s="59"/>
      <c r="BS28" s="59"/>
      <c r="BT28" s="60"/>
      <c r="BU28" s="58"/>
      <c r="BV28" s="59"/>
      <c r="BW28" s="59"/>
      <c r="BX28" s="60"/>
      <c r="BY28" s="58"/>
      <c r="BZ28" s="59"/>
      <c r="CA28" s="59"/>
      <c r="CB28" s="60"/>
      <c r="CC28" s="58"/>
      <c r="CD28" s="59"/>
      <c r="CE28" s="59"/>
      <c r="CF28" s="60"/>
      <c r="CG28" s="36"/>
      <c r="CH28" s="105"/>
      <c r="CI28" s="105"/>
      <c r="CJ28" s="103"/>
      <c r="CK28" s="20"/>
      <c r="CN28"/>
      <c r="CO28"/>
      <c r="CP28"/>
      <c r="CQ28"/>
      <c r="CR28"/>
      <c r="CS28"/>
      <c r="CT28"/>
      <c r="CU28"/>
      <c r="CV28"/>
      <c r="CW28"/>
      <c r="CX28"/>
      <c r="CY28"/>
      <c r="CZ28"/>
      <c r="DA28"/>
      <c r="DL28"/>
      <c r="DM28"/>
    </row>
    <row r="29" spans="2:117" ht="6" customHeight="1" x14ac:dyDescent="0.25">
      <c r="B29" s="102" t="s">
        <v>35</v>
      </c>
      <c r="C29" s="102"/>
      <c r="D29" s="28"/>
      <c r="E29" s="31"/>
      <c r="F29" s="43"/>
      <c r="G29" s="43"/>
      <c r="H29" s="33"/>
      <c r="I29" s="31"/>
      <c r="J29" s="43"/>
      <c r="K29" s="43"/>
      <c r="L29" s="33"/>
      <c r="M29" s="31"/>
      <c r="N29" s="43"/>
      <c r="O29" s="43"/>
      <c r="P29" s="33"/>
      <c r="Q29" s="31"/>
      <c r="R29" s="43"/>
      <c r="S29" s="43"/>
      <c r="T29" s="33"/>
      <c r="U29" s="31"/>
      <c r="V29" s="43"/>
      <c r="W29" s="43"/>
      <c r="X29" s="33"/>
      <c r="Y29" s="31"/>
      <c r="Z29" s="43"/>
      <c r="AA29" s="43"/>
      <c r="AB29" s="33"/>
      <c r="AC29" s="31"/>
      <c r="AD29" s="43"/>
      <c r="AE29" s="43"/>
      <c r="AF29" s="33"/>
      <c r="AG29" s="31"/>
      <c r="AH29" s="43"/>
      <c r="AI29" s="43"/>
      <c r="AJ29" s="33"/>
      <c r="AK29" s="31"/>
      <c r="AL29" s="43"/>
      <c r="AM29" s="43"/>
      <c r="AN29" s="33"/>
      <c r="AO29" s="31"/>
      <c r="AP29" s="43"/>
      <c r="AQ29" s="43"/>
      <c r="AR29" s="33"/>
      <c r="AS29" s="31"/>
      <c r="AT29" s="43"/>
      <c r="AU29" s="43"/>
      <c r="AV29" s="33"/>
      <c r="AW29" s="31"/>
      <c r="AX29" s="43"/>
      <c r="AY29" s="43"/>
      <c r="AZ29" s="33"/>
      <c r="BA29" s="31"/>
      <c r="BB29" s="43"/>
      <c r="BC29" s="43"/>
      <c r="BD29" s="33"/>
      <c r="BE29" s="31"/>
      <c r="BF29" s="43"/>
      <c r="BG29" s="43"/>
      <c r="BH29" s="33"/>
      <c r="BI29" s="31"/>
      <c r="BJ29" s="43"/>
      <c r="BK29" s="43"/>
      <c r="BL29" s="33"/>
      <c r="BM29" s="31"/>
      <c r="BN29" s="43"/>
      <c r="BO29" s="43"/>
      <c r="BP29" s="33"/>
      <c r="BQ29" s="31"/>
      <c r="BR29" s="43"/>
      <c r="BS29" s="43"/>
      <c r="BT29" s="33"/>
      <c r="BU29" s="31"/>
      <c r="BV29" s="43"/>
      <c r="BW29" s="43"/>
      <c r="BX29" s="33"/>
      <c r="BY29" s="31"/>
      <c r="BZ29" s="43"/>
      <c r="CA29" s="43"/>
      <c r="CB29" s="33"/>
      <c r="CC29" s="31"/>
      <c r="CD29" s="43"/>
      <c r="CE29" s="43"/>
      <c r="CF29" s="33"/>
      <c r="CH29" s="29"/>
      <c r="CI29" s="30"/>
      <c r="CJ29" s="103">
        <f t="shared" ref="CJ29" si="1">IF(ISBLANK(B29),"",IF(CI30&gt;=CH30,3,IF(CI30=(CH30-1),2,1)))</f>
        <v>3</v>
      </c>
      <c r="CK29" s="20"/>
      <c r="CN29"/>
      <c r="CO29"/>
      <c r="CP29"/>
      <c r="CQ29"/>
      <c r="CR29"/>
      <c r="CS29"/>
      <c r="CT29"/>
      <c r="CU29"/>
      <c r="CV29"/>
      <c r="CW29"/>
      <c r="CX29"/>
      <c r="CY29"/>
      <c r="CZ29"/>
      <c r="DA29"/>
      <c r="DL29"/>
      <c r="DM29"/>
    </row>
    <row r="30" spans="2:117" ht="15" customHeight="1" x14ac:dyDescent="0.25">
      <c r="B30" s="102"/>
      <c r="C30" s="102"/>
      <c r="D30" s="28"/>
      <c r="E30" s="31"/>
      <c r="F30" s="32"/>
      <c r="G30" s="32"/>
      <c r="H30" s="33"/>
      <c r="I30" s="31"/>
      <c r="J30" s="32"/>
      <c r="K30" s="32"/>
      <c r="L30" s="33"/>
      <c r="M30" s="31"/>
      <c r="N30" s="32"/>
      <c r="O30" s="32"/>
      <c r="P30" s="33"/>
      <c r="Q30" s="31"/>
      <c r="R30" s="32"/>
      <c r="S30" s="32"/>
      <c r="T30" s="33"/>
      <c r="U30" s="31"/>
      <c r="V30" s="32"/>
      <c r="W30" s="32"/>
      <c r="X30" s="33"/>
      <c r="Y30" s="31"/>
      <c r="Z30" s="32"/>
      <c r="AA30" s="32"/>
      <c r="AB30" s="33"/>
      <c r="AC30" s="31"/>
      <c r="AD30" s="32"/>
      <c r="AE30" s="32"/>
      <c r="AF30" s="33"/>
      <c r="AG30" s="31"/>
      <c r="AH30" s="32"/>
      <c r="AI30" s="32"/>
      <c r="AJ30" s="33"/>
      <c r="AK30" s="31"/>
      <c r="AL30" s="32"/>
      <c r="AM30" s="32"/>
      <c r="AN30" s="33"/>
      <c r="AO30" s="31"/>
      <c r="AP30" s="32"/>
      <c r="AQ30" s="32"/>
      <c r="AR30" s="33"/>
      <c r="AS30" s="31"/>
      <c r="AT30" s="32"/>
      <c r="AU30" s="32"/>
      <c r="AV30" s="33"/>
      <c r="AW30" s="31"/>
      <c r="AX30" s="32"/>
      <c r="AY30" s="32"/>
      <c r="AZ30" s="33"/>
      <c r="BA30" s="31"/>
      <c r="BB30" s="32"/>
      <c r="BC30" s="32"/>
      <c r="BD30" s="33"/>
      <c r="BE30" s="31"/>
      <c r="BF30" s="32"/>
      <c r="BG30" s="32"/>
      <c r="BH30" s="33"/>
      <c r="BI30" s="31"/>
      <c r="BJ30" s="32"/>
      <c r="BK30" s="32"/>
      <c r="BL30" s="33"/>
      <c r="BM30" s="31"/>
      <c r="BN30" s="32"/>
      <c r="BO30" s="32"/>
      <c r="BP30" s="33"/>
      <c r="BQ30" s="31"/>
      <c r="BR30" s="32"/>
      <c r="BS30" s="32"/>
      <c r="BT30" s="33"/>
      <c r="BU30" s="31"/>
      <c r="BV30" s="32"/>
      <c r="BW30" s="32"/>
      <c r="BX30" s="33"/>
      <c r="BY30" s="31"/>
      <c r="BZ30" s="32"/>
      <c r="CA30" s="32"/>
      <c r="CB30" s="33"/>
      <c r="CC30" s="31"/>
      <c r="CD30" s="32"/>
      <c r="CE30" s="32"/>
      <c r="CF30" s="33"/>
      <c r="CH30" s="34">
        <v>3</v>
      </c>
      <c r="CI30" s="35">
        <f>IF(ISBLANK(B29),"",COUNTIF(B32:CF32,"&gt;=3"))</f>
        <v>5</v>
      </c>
      <c r="CJ30" s="103"/>
      <c r="CK30" s="20"/>
      <c r="CN30"/>
      <c r="CO30"/>
      <c r="CP30"/>
      <c r="CQ30"/>
      <c r="CR30"/>
      <c r="CS30"/>
      <c r="CT30"/>
      <c r="CU30"/>
      <c r="CV30"/>
      <c r="CW30"/>
      <c r="CX30"/>
      <c r="CY30"/>
      <c r="CZ30"/>
      <c r="DA30"/>
      <c r="DL30"/>
      <c r="DM30"/>
    </row>
    <row r="31" spans="2:117" ht="15" customHeight="1" x14ac:dyDescent="0.25">
      <c r="B31" s="102"/>
      <c r="C31" s="102"/>
      <c r="D31" s="28"/>
      <c r="E31" s="31"/>
      <c r="F31" s="32"/>
      <c r="G31" s="32"/>
      <c r="H31" s="33"/>
      <c r="I31" s="31"/>
      <c r="J31" s="32"/>
      <c r="K31" s="32"/>
      <c r="L31" s="33"/>
      <c r="M31" s="31"/>
      <c r="N31" s="32"/>
      <c r="O31" s="32"/>
      <c r="P31" s="33"/>
      <c r="Q31" s="31"/>
      <c r="R31" s="32"/>
      <c r="S31" s="32"/>
      <c r="T31" s="33"/>
      <c r="U31" s="31"/>
      <c r="V31" s="32"/>
      <c r="W31" s="32"/>
      <c r="X31" s="33"/>
      <c r="Y31" s="31"/>
      <c r="Z31" s="32"/>
      <c r="AA31" s="32"/>
      <c r="AB31" s="33"/>
      <c r="AC31" s="31"/>
      <c r="AD31" s="32"/>
      <c r="AE31" s="32"/>
      <c r="AF31" s="33"/>
      <c r="AG31" s="31"/>
      <c r="AH31" s="32"/>
      <c r="AI31" s="32"/>
      <c r="AJ31" s="33"/>
      <c r="AK31" s="31"/>
      <c r="AL31" s="32"/>
      <c r="AM31" s="32"/>
      <c r="AN31" s="33"/>
      <c r="AO31" s="31"/>
      <c r="AP31" s="32"/>
      <c r="AQ31" s="32"/>
      <c r="AR31" s="33"/>
      <c r="AS31" s="31"/>
      <c r="AT31" s="32"/>
      <c r="AU31" s="32"/>
      <c r="AV31" s="33"/>
      <c r="AW31" s="31"/>
      <c r="AX31" s="32"/>
      <c r="AY31" s="32"/>
      <c r="AZ31" s="33"/>
      <c r="BA31" s="31"/>
      <c r="BB31" s="32"/>
      <c r="BC31" s="32"/>
      <c r="BD31" s="33"/>
      <c r="BE31" s="31"/>
      <c r="BF31" s="32"/>
      <c r="BG31" s="32"/>
      <c r="BH31" s="33"/>
      <c r="BI31" s="31"/>
      <c r="BJ31" s="32"/>
      <c r="BK31" s="32"/>
      <c r="BL31" s="33"/>
      <c r="BM31" s="31"/>
      <c r="BN31" s="32"/>
      <c r="BO31" s="32"/>
      <c r="BP31" s="33"/>
      <c r="BQ31" s="31"/>
      <c r="BR31" s="32"/>
      <c r="BS31" s="32"/>
      <c r="BT31" s="33"/>
      <c r="BU31" s="31"/>
      <c r="BV31" s="32"/>
      <c r="BW31" s="32"/>
      <c r="BX31" s="33"/>
      <c r="BY31" s="31"/>
      <c r="BZ31" s="32"/>
      <c r="CA31" s="32"/>
      <c r="CB31" s="33"/>
      <c r="CC31" s="31"/>
      <c r="CD31" s="32"/>
      <c r="CE31" s="32"/>
      <c r="CF31" s="33"/>
      <c r="CH31" s="104" t="str">
        <f>IF(ISBLANK(B29),"","personas cualificadas")</f>
        <v>personas cualificadas</v>
      </c>
      <c r="CI31" s="104" t="str">
        <f>IF(ISBLANK(B29),"","personas cualificadas")</f>
        <v>personas cualificadas</v>
      </c>
      <c r="CJ31" s="103"/>
      <c r="CK31" s="20"/>
      <c r="CN31"/>
      <c r="CO31"/>
      <c r="CP31"/>
      <c r="CQ31"/>
      <c r="CR31"/>
      <c r="CS31"/>
      <c r="CT31"/>
      <c r="CU31"/>
      <c r="CV31"/>
      <c r="CW31"/>
      <c r="CX31"/>
      <c r="CY31"/>
      <c r="CZ31"/>
      <c r="DA31"/>
      <c r="DL31"/>
      <c r="DM31"/>
    </row>
    <row r="32" spans="2:117" x14ac:dyDescent="0.25">
      <c r="B32" s="102"/>
      <c r="C32" s="102"/>
      <c r="D32" s="28"/>
      <c r="E32" s="58"/>
      <c r="F32" s="59"/>
      <c r="G32" s="59"/>
      <c r="H32" s="60"/>
      <c r="I32" s="58"/>
      <c r="J32" s="59"/>
      <c r="K32" s="59"/>
      <c r="L32" s="60"/>
      <c r="M32" s="58"/>
      <c r="N32" s="59"/>
      <c r="O32" s="59"/>
      <c r="P32" s="60"/>
      <c r="Q32" s="58">
        <v>2</v>
      </c>
      <c r="R32" s="59"/>
      <c r="S32" s="59"/>
      <c r="T32" s="60"/>
      <c r="U32" s="58">
        <v>4</v>
      </c>
      <c r="V32" s="59"/>
      <c r="W32" s="59"/>
      <c r="X32" s="60"/>
      <c r="Y32" s="58">
        <v>4</v>
      </c>
      <c r="Z32" s="59"/>
      <c r="AA32" s="59"/>
      <c r="AB32" s="60"/>
      <c r="AC32" s="58"/>
      <c r="AD32" s="59"/>
      <c r="AE32" s="59"/>
      <c r="AF32" s="60"/>
      <c r="AG32" s="58">
        <v>4</v>
      </c>
      <c r="AH32" s="59"/>
      <c r="AI32" s="59"/>
      <c r="AJ32" s="60"/>
      <c r="AK32" s="58">
        <v>4</v>
      </c>
      <c r="AL32" s="59"/>
      <c r="AM32" s="59"/>
      <c r="AN32" s="60"/>
      <c r="AO32" s="58">
        <v>4</v>
      </c>
      <c r="AP32" s="59"/>
      <c r="AQ32" s="59"/>
      <c r="AR32" s="60"/>
      <c r="AS32" s="58"/>
      <c r="AT32" s="59"/>
      <c r="AU32" s="59"/>
      <c r="AV32" s="60"/>
      <c r="AW32" s="58"/>
      <c r="AX32" s="59"/>
      <c r="AY32" s="59"/>
      <c r="AZ32" s="60"/>
      <c r="BA32" s="58"/>
      <c r="BB32" s="59"/>
      <c r="BC32" s="59"/>
      <c r="BD32" s="60"/>
      <c r="BE32" s="58"/>
      <c r="BF32" s="59"/>
      <c r="BG32" s="59"/>
      <c r="BH32" s="60"/>
      <c r="BI32" s="58"/>
      <c r="BJ32" s="59"/>
      <c r="BK32" s="59"/>
      <c r="BL32" s="60"/>
      <c r="BM32" s="58"/>
      <c r="BN32" s="59"/>
      <c r="BO32" s="59"/>
      <c r="BP32" s="60"/>
      <c r="BQ32" s="58"/>
      <c r="BR32" s="59"/>
      <c r="BS32" s="59"/>
      <c r="BT32" s="60"/>
      <c r="BU32" s="58"/>
      <c r="BV32" s="59"/>
      <c r="BW32" s="59"/>
      <c r="BX32" s="60"/>
      <c r="BY32" s="58"/>
      <c r="BZ32" s="59"/>
      <c r="CA32" s="59"/>
      <c r="CB32" s="60"/>
      <c r="CC32" s="58"/>
      <c r="CD32" s="59"/>
      <c r="CE32" s="59"/>
      <c r="CF32" s="60"/>
      <c r="CG32" s="36"/>
      <c r="CH32" s="105"/>
      <c r="CI32" s="105"/>
      <c r="CJ32" s="103"/>
      <c r="CK32" s="20"/>
      <c r="CN32"/>
      <c r="CO32"/>
      <c r="CP32"/>
      <c r="CQ32"/>
      <c r="CR32"/>
      <c r="CS32"/>
      <c r="CT32"/>
      <c r="CU32"/>
      <c r="CV32"/>
      <c r="CW32"/>
      <c r="CX32"/>
      <c r="CY32"/>
      <c r="CZ32"/>
      <c r="DA32"/>
      <c r="DL32"/>
      <c r="DM32"/>
    </row>
    <row r="33" spans="2:117" ht="6" customHeight="1" x14ac:dyDescent="0.25">
      <c r="B33" s="102" t="s">
        <v>36</v>
      </c>
      <c r="C33" s="102"/>
      <c r="D33" s="28"/>
      <c r="E33" s="31"/>
      <c r="F33" s="43"/>
      <c r="G33" s="43"/>
      <c r="H33" s="33"/>
      <c r="I33" s="31"/>
      <c r="J33" s="43"/>
      <c r="K33" s="43"/>
      <c r="L33" s="33"/>
      <c r="M33" s="31"/>
      <c r="N33" s="43"/>
      <c r="O33" s="43"/>
      <c r="P33" s="33"/>
      <c r="Q33" s="31"/>
      <c r="R33" s="43"/>
      <c r="S33" s="43"/>
      <c r="T33" s="33"/>
      <c r="U33" s="31"/>
      <c r="V33" s="43"/>
      <c r="W33" s="43"/>
      <c r="X33" s="33"/>
      <c r="Y33" s="31"/>
      <c r="Z33" s="43"/>
      <c r="AA33" s="43"/>
      <c r="AB33" s="33"/>
      <c r="AC33" s="31"/>
      <c r="AD33" s="43"/>
      <c r="AE33" s="43"/>
      <c r="AF33" s="33"/>
      <c r="AG33" s="31"/>
      <c r="AH33" s="43"/>
      <c r="AI33" s="43"/>
      <c r="AJ33" s="33"/>
      <c r="AK33" s="31"/>
      <c r="AL33" s="43"/>
      <c r="AM33" s="43"/>
      <c r="AN33" s="33"/>
      <c r="AO33" s="31"/>
      <c r="AP33" s="43"/>
      <c r="AQ33" s="43"/>
      <c r="AR33" s="33"/>
      <c r="AS33" s="31"/>
      <c r="AT33" s="43"/>
      <c r="AU33" s="43"/>
      <c r="AV33" s="33"/>
      <c r="AW33" s="31"/>
      <c r="AX33" s="43"/>
      <c r="AY33" s="43"/>
      <c r="AZ33" s="33"/>
      <c r="BA33" s="31"/>
      <c r="BB33" s="43"/>
      <c r="BC33" s="43"/>
      <c r="BD33" s="33"/>
      <c r="BE33" s="31"/>
      <c r="BF33" s="43"/>
      <c r="BG33" s="43"/>
      <c r="BH33" s="33"/>
      <c r="BI33" s="31"/>
      <c r="BJ33" s="43"/>
      <c r="BK33" s="43"/>
      <c r="BL33" s="33"/>
      <c r="BM33" s="31"/>
      <c r="BN33" s="43"/>
      <c r="BO33" s="43"/>
      <c r="BP33" s="33"/>
      <c r="BQ33" s="31"/>
      <c r="BR33" s="43"/>
      <c r="BS33" s="43"/>
      <c r="BT33" s="33"/>
      <c r="BU33" s="31"/>
      <c r="BV33" s="43"/>
      <c r="BW33" s="43"/>
      <c r="BX33" s="33"/>
      <c r="BY33" s="31"/>
      <c r="BZ33" s="43"/>
      <c r="CA33" s="43"/>
      <c r="CB33" s="33"/>
      <c r="CC33" s="31"/>
      <c r="CD33" s="43"/>
      <c r="CE33" s="43"/>
      <c r="CF33" s="33"/>
      <c r="CH33" s="29"/>
      <c r="CI33" s="30"/>
      <c r="CJ33" s="103">
        <f t="shared" ref="CJ33" si="2">IF(ISBLANK(B33),"",IF(CI34&gt;=CH34,3,IF(CI34=(CH34-1),2,1)))</f>
        <v>3</v>
      </c>
      <c r="CK33" s="20"/>
      <c r="CN33"/>
      <c r="CO33"/>
      <c r="CP33"/>
      <c r="CQ33"/>
      <c r="CR33"/>
      <c r="CS33"/>
      <c r="CT33"/>
      <c r="CU33"/>
      <c r="CV33"/>
      <c r="CW33"/>
      <c r="CX33"/>
      <c r="CY33"/>
      <c r="CZ33"/>
      <c r="DA33"/>
      <c r="DL33"/>
      <c r="DM33"/>
    </row>
    <row r="34" spans="2:117" ht="15" customHeight="1" x14ac:dyDescent="0.25">
      <c r="B34" s="102"/>
      <c r="C34" s="102"/>
      <c r="D34" s="28"/>
      <c r="E34" s="31"/>
      <c r="F34" s="32"/>
      <c r="G34" s="32"/>
      <c r="H34" s="33"/>
      <c r="I34" s="31"/>
      <c r="J34" s="32"/>
      <c r="K34" s="32"/>
      <c r="L34" s="33"/>
      <c r="M34" s="31"/>
      <c r="N34" s="32"/>
      <c r="O34" s="32"/>
      <c r="P34" s="33"/>
      <c r="Q34" s="31"/>
      <c r="R34" s="32"/>
      <c r="S34" s="32"/>
      <c r="T34" s="33"/>
      <c r="U34" s="31"/>
      <c r="V34" s="32"/>
      <c r="W34" s="32"/>
      <c r="X34" s="33"/>
      <c r="Y34" s="31"/>
      <c r="Z34" s="32"/>
      <c r="AA34" s="32"/>
      <c r="AB34" s="33"/>
      <c r="AC34" s="31"/>
      <c r="AD34" s="32"/>
      <c r="AE34" s="32"/>
      <c r="AF34" s="33"/>
      <c r="AG34" s="31"/>
      <c r="AH34" s="32"/>
      <c r="AI34" s="32"/>
      <c r="AJ34" s="33"/>
      <c r="AK34" s="31"/>
      <c r="AL34" s="32"/>
      <c r="AM34" s="32"/>
      <c r="AN34" s="33"/>
      <c r="AO34" s="31"/>
      <c r="AP34" s="32"/>
      <c r="AQ34" s="32"/>
      <c r="AR34" s="33"/>
      <c r="AS34" s="31"/>
      <c r="AT34" s="32"/>
      <c r="AU34" s="32"/>
      <c r="AV34" s="33"/>
      <c r="AW34" s="31"/>
      <c r="AX34" s="32"/>
      <c r="AY34" s="32"/>
      <c r="AZ34" s="33"/>
      <c r="BA34" s="31"/>
      <c r="BB34" s="32"/>
      <c r="BC34" s="32"/>
      <c r="BD34" s="33"/>
      <c r="BE34" s="31"/>
      <c r="BF34" s="32"/>
      <c r="BG34" s="32"/>
      <c r="BH34" s="33"/>
      <c r="BI34" s="31"/>
      <c r="BJ34" s="32"/>
      <c r="BK34" s="32"/>
      <c r="BL34" s="33"/>
      <c r="BM34" s="31"/>
      <c r="BN34" s="32"/>
      <c r="BO34" s="32"/>
      <c r="BP34" s="33"/>
      <c r="BQ34" s="31"/>
      <c r="BR34" s="32"/>
      <c r="BS34" s="32"/>
      <c r="BT34" s="33"/>
      <c r="BU34" s="31"/>
      <c r="BV34" s="32"/>
      <c r="BW34" s="32"/>
      <c r="BX34" s="33"/>
      <c r="BY34" s="31"/>
      <c r="BZ34" s="32"/>
      <c r="CA34" s="32"/>
      <c r="CB34" s="33"/>
      <c r="CC34" s="31"/>
      <c r="CD34" s="32"/>
      <c r="CE34" s="32"/>
      <c r="CF34" s="33"/>
      <c r="CH34" s="34">
        <v>3</v>
      </c>
      <c r="CI34" s="35">
        <f>IF(ISBLANK(B33),"",COUNTIF(B36:CF36,"&gt;=3"))</f>
        <v>5</v>
      </c>
      <c r="CJ34" s="103"/>
      <c r="CK34" s="20"/>
      <c r="CN34"/>
      <c r="CO34"/>
      <c r="CP34"/>
      <c r="CQ34"/>
      <c r="CR34"/>
      <c r="CS34"/>
      <c r="CT34"/>
      <c r="CU34"/>
      <c r="CV34"/>
      <c r="CW34"/>
      <c r="CX34"/>
      <c r="CY34"/>
      <c r="CZ34"/>
      <c r="DA34"/>
      <c r="DL34"/>
      <c r="DM34"/>
    </row>
    <row r="35" spans="2:117" ht="15" customHeight="1" x14ac:dyDescent="0.25">
      <c r="B35" s="102"/>
      <c r="C35" s="102"/>
      <c r="D35" s="28"/>
      <c r="E35" s="31"/>
      <c r="F35" s="32"/>
      <c r="G35" s="32"/>
      <c r="H35" s="33"/>
      <c r="I35" s="31"/>
      <c r="J35" s="32"/>
      <c r="K35" s="32"/>
      <c r="L35" s="33"/>
      <c r="M35" s="31"/>
      <c r="N35" s="32"/>
      <c r="O35" s="32"/>
      <c r="P35" s="33"/>
      <c r="Q35" s="31"/>
      <c r="R35" s="32"/>
      <c r="S35" s="32"/>
      <c r="T35" s="33"/>
      <c r="U35" s="31"/>
      <c r="V35" s="32"/>
      <c r="W35" s="32"/>
      <c r="X35" s="33"/>
      <c r="Y35" s="31"/>
      <c r="Z35" s="32"/>
      <c r="AA35" s="32"/>
      <c r="AB35" s="33"/>
      <c r="AC35" s="31"/>
      <c r="AD35" s="32"/>
      <c r="AE35" s="32"/>
      <c r="AF35" s="33"/>
      <c r="AG35" s="31"/>
      <c r="AH35" s="32"/>
      <c r="AI35" s="32"/>
      <c r="AJ35" s="33"/>
      <c r="AK35" s="31"/>
      <c r="AL35" s="32"/>
      <c r="AM35" s="32"/>
      <c r="AN35" s="33"/>
      <c r="AO35" s="31"/>
      <c r="AP35" s="32"/>
      <c r="AQ35" s="32"/>
      <c r="AR35" s="33"/>
      <c r="AS35" s="31"/>
      <c r="AT35" s="32"/>
      <c r="AU35" s="32"/>
      <c r="AV35" s="33"/>
      <c r="AW35" s="31"/>
      <c r="AX35" s="32"/>
      <c r="AY35" s="32"/>
      <c r="AZ35" s="33"/>
      <c r="BA35" s="31"/>
      <c r="BB35" s="32"/>
      <c r="BC35" s="32"/>
      <c r="BD35" s="33"/>
      <c r="BE35" s="31"/>
      <c r="BF35" s="32"/>
      <c r="BG35" s="32"/>
      <c r="BH35" s="33"/>
      <c r="BI35" s="31"/>
      <c r="BJ35" s="32"/>
      <c r="BK35" s="32"/>
      <c r="BL35" s="33"/>
      <c r="BM35" s="31"/>
      <c r="BN35" s="32"/>
      <c r="BO35" s="32"/>
      <c r="BP35" s="33"/>
      <c r="BQ35" s="31"/>
      <c r="BR35" s="32"/>
      <c r="BS35" s="32"/>
      <c r="BT35" s="33"/>
      <c r="BU35" s="31"/>
      <c r="BV35" s="32"/>
      <c r="BW35" s="32"/>
      <c r="BX35" s="33"/>
      <c r="BY35" s="31"/>
      <c r="BZ35" s="32"/>
      <c r="CA35" s="32"/>
      <c r="CB35" s="33"/>
      <c r="CC35" s="31"/>
      <c r="CD35" s="32"/>
      <c r="CE35" s="32"/>
      <c r="CF35" s="33"/>
      <c r="CH35" s="104" t="str">
        <f>IF(ISBLANK(B33),"","personas cualificadas")</f>
        <v>personas cualificadas</v>
      </c>
      <c r="CI35" s="104" t="str">
        <f>IF(ISBLANK(B33),"","personas cualificadas")</f>
        <v>personas cualificadas</v>
      </c>
      <c r="CJ35" s="103"/>
      <c r="CK35" s="20"/>
      <c r="CN35"/>
      <c r="CO35"/>
      <c r="CP35"/>
      <c r="CQ35"/>
      <c r="CR35"/>
      <c r="CS35"/>
      <c r="CT35"/>
      <c r="CU35"/>
      <c r="CV35"/>
      <c r="CW35"/>
      <c r="CX35"/>
      <c r="CY35"/>
      <c r="CZ35"/>
      <c r="DA35"/>
      <c r="DL35"/>
      <c r="DM35"/>
    </row>
    <row r="36" spans="2:117" x14ac:dyDescent="0.25">
      <c r="B36" s="102"/>
      <c r="C36" s="102"/>
      <c r="D36" s="28"/>
      <c r="E36" s="58"/>
      <c r="F36" s="59"/>
      <c r="G36" s="59"/>
      <c r="H36" s="60"/>
      <c r="I36" s="58"/>
      <c r="J36" s="59"/>
      <c r="K36" s="59"/>
      <c r="L36" s="60"/>
      <c r="M36" s="58"/>
      <c r="N36" s="59"/>
      <c r="O36" s="59"/>
      <c r="P36" s="60"/>
      <c r="Q36" s="58">
        <v>2</v>
      </c>
      <c r="R36" s="59"/>
      <c r="S36" s="59"/>
      <c r="T36" s="60"/>
      <c r="U36" s="58">
        <v>4</v>
      </c>
      <c r="V36" s="59"/>
      <c r="W36" s="59"/>
      <c r="X36" s="60"/>
      <c r="Y36" s="58">
        <v>4</v>
      </c>
      <c r="Z36" s="59"/>
      <c r="AA36" s="59"/>
      <c r="AB36" s="60"/>
      <c r="AC36" s="58"/>
      <c r="AD36" s="59"/>
      <c r="AE36" s="59"/>
      <c r="AF36" s="60"/>
      <c r="AG36" s="58">
        <v>3</v>
      </c>
      <c r="AH36" s="59"/>
      <c r="AI36" s="59"/>
      <c r="AJ36" s="60"/>
      <c r="AK36" s="58">
        <v>3</v>
      </c>
      <c r="AL36" s="59"/>
      <c r="AM36" s="59"/>
      <c r="AN36" s="60"/>
      <c r="AO36" s="58">
        <v>3</v>
      </c>
      <c r="AP36" s="59"/>
      <c r="AQ36" s="59"/>
      <c r="AR36" s="60"/>
      <c r="AS36" s="58"/>
      <c r="AT36" s="59"/>
      <c r="AU36" s="59"/>
      <c r="AV36" s="60"/>
      <c r="AW36" s="58"/>
      <c r="AX36" s="59"/>
      <c r="AY36" s="59"/>
      <c r="AZ36" s="60"/>
      <c r="BA36" s="58"/>
      <c r="BB36" s="59"/>
      <c r="BC36" s="59"/>
      <c r="BD36" s="60"/>
      <c r="BE36" s="58"/>
      <c r="BF36" s="59"/>
      <c r="BG36" s="59"/>
      <c r="BH36" s="60"/>
      <c r="BI36" s="58"/>
      <c r="BJ36" s="59"/>
      <c r="BK36" s="59"/>
      <c r="BL36" s="60"/>
      <c r="BM36" s="58"/>
      <c r="BN36" s="59"/>
      <c r="BO36" s="59"/>
      <c r="BP36" s="60"/>
      <c r="BQ36" s="58"/>
      <c r="BR36" s="59"/>
      <c r="BS36" s="59"/>
      <c r="BT36" s="60"/>
      <c r="BU36" s="58"/>
      <c r="BV36" s="59"/>
      <c r="BW36" s="59"/>
      <c r="BX36" s="60"/>
      <c r="BY36" s="58"/>
      <c r="BZ36" s="59"/>
      <c r="CA36" s="59"/>
      <c r="CB36" s="60"/>
      <c r="CC36" s="58"/>
      <c r="CD36" s="59"/>
      <c r="CE36" s="59"/>
      <c r="CF36" s="60"/>
      <c r="CG36" s="36"/>
      <c r="CH36" s="105"/>
      <c r="CI36" s="105"/>
      <c r="CJ36" s="103"/>
      <c r="CK36" s="20"/>
      <c r="CN36"/>
      <c r="CO36"/>
      <c r="CP36"/>
      <c r="CQ36"/>
      <c r="CR36"/>
      <c r="CS36"/>
      <c r="CT36"/>
      <c r="CU36"/>
      <c r="CV36"/>
      <c r="CW36"/>
      <c r="CX36"/>
      <c r="CY36"/>
      <c r="CZ36"/>
      <c r="DA36"/>
      <c r="DL36"/>
      <c r="DM36"/>
    </row>
    <row r="37" spans="2:117" s="37" customFormat="1" ht="6.75" customHeight="1" x14ac:dyDescent="0.2">
      <c r="D37" s="38"/>
      <c r="E37" s="106">
        <f>SUM(E13:H36)</f>
        <v>10</v>
      </c>
      <c r="F37" s="106"/>
      <c r="G37" s="106">
        <f>COUNT(E13:H36)*4</f>
        <v>12</v>
      </c>
      <c r="H37" s="106"/>
      <c r="I37" s="106">
        <f>SUM(I13:L36)</f>
        <v>16</v>
      </c>
      <c r="J37" s="106"/>
      <c r="K37" s="106">
        <f>COUNT(I13:L36)*4</f>
        <v>16</v>
      </c>
      <c r="L37" s="106"/>
      <c r="M37" s="106">
        <f>SUM(M13:P36)</f>
        <v>8</v>
      </c>
      <c r="N37" s="106"/>
      <c r="O37" s="106">
        <f>COUNT(M13:P36)*4</f>
        <v>8</v>
      </c>
      <c r="P37" s="106"/>
      <c r="Q37" s="106">
        <f>SUM(Q13:T36)</f>
        <v>4</v>
      </c>
      <c r="R37" s="106"/>
      <c r="S37" s="106">
        <f>COUNT(Q13:T36)*4</f>
        <v>8</v>
      </c>
      <c r="T37" s="106"/>
      <c r="U37" s="106">
        <f>SUM(U13:X36)</f>
        <v>8</v>
      </c>
      <c r="V37" s="106"/>
      <c r="W37" s="106">
        <f>COUNT(U13:X36)*4</f>
        <v>8</v>
      </c>
      <c r="X37" s="106"/>
      <c r="Y37" s="106">
        <f>SUM(Y13:AB36)</f>
        <v>8</v>
      </c>
      <c r="Z37" s="106"/>
      <c r="AA37" s="106">
        <f>COUNT(Y13:AB36)*4</f>
        <v>8</v>
      </c>
      <c r="AB37" s="106"/>
      <c r="AC37" s="106">
        <f>SUM(AC13:AF36)</f>
        <v>16</v>
      </c>
      <c r="AD37" s="106"/>
      <c r="AE37" s="106">
        <f>COUNT(AC13:AF36)*4</f>
        <v>16</v>
      </c>
      <c r="AF37" s="106"/>
      <c r="AG37" s="106">
        <f>SUM(AG13:AJ36)</f>
        <v>7</v>
      </c>
      <c r="AH37" s="106"/>
      <c r="AI37" s="106">
        <f>COUNT(AG13:AJ36)*4</f>
        <v>8</v>
      </c>
      <c r="AJ37" s="106"/>
      <c r="AK37" s="106">
        <f>SUM(AK13:AN36)</f>
        <v>7</v>
      </c>
      <c r="AL37" s="106"/>
      <c r="AM37" s="106">
        <f>COUNT(AK13:AN36)*4</f>
        <v>8</v>
      </c>
      <c r="AN37" s="106"/>
      <c r="AO37" s="106">
        <f>SUM(AO13:AR36)</f>
        <v>7</v>
      </c>
      <c r="AP37" s="106"/>
      <c r="AQ37" s="106">
        <f>COUNT(AO13:AR36)*4</f>
        <v>8</v>
      </c>
      <c r="AR37" s="106"/>
      <c r="AS37" s="106">
        <f>SUM(AS13:AV36)</f>
        <v>0</v>
      </c>
      <c r="AT37" s="106"/>
      <c r="AU37" s="106">
        <f>COUNT(AS13:AV36)*4</f>
        <v>0</v>
      </c>
      <c r="AV37" s="106"/>
      <c r="AW37" s="106">
        <f>SUM(AW13:AZ36)</f>
        <v>0</v>
      </c>
      <c r="AX37" s="106"/>
      <c r="AY37" s="106">
        <f>COUNT(AW13:AZ36)*4</f>
        <v>0</v>
      </c>
      <c r="AZ37" s="106"/>
      <c r="BA37" s="106">
        <f>SUM(BA13:BD36)</f>
        <v>0</v>
      </c>
      <c r="BB37" s="106"/>
      <c r="BC37" s="106">
        <f>COUNT(BA13:BD36)*4</f>
        <v>0</v>
      </c>
      <c r="BD37" s="106"/>
      <c r="BE37" s="106">
        <f>SUM(BE13:BH36)</f>
        <v>0</v>
      </c>
      <c r="BF37" s="106"/>
      <c r="BG37" s="106">
        <f>COUNT(BE13:BH36)*4</f>
        <v>0</v>
      </c>
      <c r="BH37" s="106"/>
      <c r="BI37" s="106">
        <f>SUM(BI13:BL36)</f>
        <v>0</v>
      </c>
      <c r="BJ37" s="106"/>
      <c r="BK37" s="106">
        <f>COUNT(BI13:BL36)*4</f>
        <v>0</v>
      </c>
      <c r="BL37" s="106"/>
      <c r="BM37" s="106">
        <f>SUM(BM13:BP36)</f>
        <v>0</v>
      </c>
      <c r="BN37" s="106"/>
      <c r="BO37" s="106">
        <f>COUNT(BM13:BP36)*4</f>
        <v>0</v>
      </c>
      <c r="BP37" s="106"/>
      <c r="BQ37" s="106">
        <f>SUM(BQ13:BT36)</f>
        <v>0</v>
      </c>
      <c r="BR37" s="106"/>
      <c r="BS37" s="106">
        <f>COUNT(BQ13:BT36)*4</f>
        <v>0</v>
      </c>
      <c r="BT37" s="106"/>
      <c r="BU37" s="106">
        <f>SUM(BU13:BX36)</f>
        <v>0</v>
      </c>
      <c r="BV37" s="106"/>
      <c r="BW37" s="106">
        <f>COUNT(BU13:BX36)*4</f>
        <v>0</v>
      </c>
      <c r="BX37" s="106"/>
      <c r="BY37" s="106">
        <f>SUM(BY13:CB36)</f>
        <v>0</v>
      </c>
      <c r="BZ37" s="106"/>
      <c r="CA37" s="106">
        <f>COUNT(BY13:CB36)*4</f>
        <v>0</v>
      </c>
      <c r="CB37" s="106"/>
      <c r="CC37" s="106">
        <f>SUM(CC13:CF36)</f>
        <v>0</v>
      </c>
      <c r="CD37" s="106"/>
      <c r="CE37" s="106">
        <f>COUNT(CC13:CF36)*4</f>
        <v>0</v>
      </c>
      <c r="CF37" s="106"/>
      <c r="CG37" s="39"/>
    </row>
    <row r="38" spans="2:117" x14ac:dyDescent="0.25">
      <c r="B38" s="90" t="s">
        <v>37</v>
      </c>
      <c r="C38" s="90"/>
      <c r="E38" s="107">
        <f>IFERROR(E37/G37,"")</f>
        <v>0.83333333333333337</v>
      </c>
      <c r="F38" s="107"/>
      <c r="G38" s="107"/>
      <c r="H38" s="107"/>
      <c r="I38" s="107">
        <f>IFERROR(I37/K37,"")</f>
        <v>1</v>
      </c>
      <c r="J38" s="107"/>
      <c r="K38" s="107"/>
      <c r="L38" s="107"/>
      <c r="M38" s="107">
        <f>IFERROR(M37/O37,"")</f>
        <v>1</v>
      </c>
      <c r="N38" s="107"/>
      <c r="O38" s="107"/>
      <c r="P38" s="107"/>
      <c r="Q38" s="107">
        <f>IFERROR(Q37/S37,"")</f>
        <v>0.5</v>
      </c>
      <c r="R38" s="107"/>
      <c r="S38" s="107"/>
      <c r="T38" s="107"/>
      <c r="U38" s="107">
        <f>IFERROR(U37/W37,"")</f>
        <v>1</v>
      </c>
      <c r="V38" s="107"/>
      <c r="W38" s="107"/>
      <c r="X38" s="107"/>
      <c r="Y38" s="107">
        <f>IFERROR(Y37/AA37,"")</f>
        <v>1</v>
      </c>
      <c r="Z38" s="107"/>
      <c r="AA38" s="107"/>
      <c r="AB38" s="107"/>
      <c r="AC38" s="107">
        <f>IFERROR(AC37/AE37,"")</f>
        <v>1</v>
      </c>
      <c r="AD38" s="107"/>
      <c r="AE38" s="107"/>
      <c r="AF38" s="107"/>
      <c r="AG38" s="107">
        <f>IFERROR(AG37/AI37,"")</f>
        <v>0.875</v>
      </c>
      <c r="AH38" s="107"/>
      <c r="AI38" s="107"/>
      <c r="AJ38" s="107"/>
      <c r="AK38" s="107">
        <f>IFERROR(AK37/AM37,"")</f>
        <v>0.875</v>
      </c>
      <c r="AL38" s="107"/>
      <c r="AM38" s="107"/>
      <c r="AN38" s="107"/>
      <c r="AO38" s="107">
        <f>IFERROR(AO37/AQ37,"")</f>
        <v>0.875</v>
      </c>
      <c r="AP38" s="107"/>
      <c r="AQ38" s="107"/>
      <c r="AR38" s="107"/>
      <c r="AS38" s="107" t="str">
        <f>IFERROR(AS37/AU37,"")</f>
        <v/>
      </c>
      <c r="AT38" s="107"/>
      <c r="AU38" s="107"/>
      <c r="AV38" s="107"/>
      <c r="AW38" s="107" t="str">
        <f>IFERROR(AW37/AY37,"")</f>
        <v/>
      </c>
      <c r="AX38" s="107"/>
      <c r="AY38" s="107"/>
      <c r="AZ38" s="107"/>
      <c r="BA38" s="107" t="str">
        <f>IFERROR(BA37/BC37,"")</f>
        <v/>
      </c>
      <c r="BB38" s="107"/>
      <c r="BC38" s="107"/>
      <c r="BD38" s="107"/>
      <c r="BE38" s="107" t="str">
        <f>IFERROR(BE37/BG37,"")</f>
        <v/>
      </c>
      <c r="BF38" s="107"/>
      <c r="BG38" s="107"/>
      <c r="BH38" s="107"/>
      <c r="BI38" s="107" t="str">
        <f>IFERROR(BI37/BK37,"")</f>
        <v/>
      </c>
      <c r="BJ38" s="107"/>
      <c r="BK38" s="107"/>
      <c r="BL38" s="107"/>
      <c r="BM38" s="107" t="str">
        <f>IFERROR(BM37/BO37,"")</f>
        <v/>
      </c>
      <c r="BN38" s="107"/>
      <c r="BO38" s="107"/>
      <c r="BP38" s="107"/>
      <c r="BQ38" s="107" t="str">
        <f>IFERROR(BQ37/BS37,"")</f>
        <v/>
      </c>
      <c r="BR38" s="107"/>
      <c r="BS38" s="107"/>
      <c r="BT38" s="107"/>
      <c r="BU38" s="107" t="str">
        <f>IFERROR(BU37/BW37,"")</f>
        <v/>
      </c>
      <c r="BV38" s="107"/>
      <c r="BW38" s="107"/>
      <c r="BX38" s="107"/>
      <c r="BY38" s="107" t="str">
        <f>IFERROR(BY37/CA37,"")</f>
        <v/>
      </c>
      <c r="BZ38" s="107"/>
      <c r="CA38" s="107"/>
      <c r="CB38" s="107"/>
      <c r="CC38" s="107" t="str">
        <f>IFERROR(CC37/CE37,"")</f>
        <v/>
      </c>
      <c r="CD38" s="107"/>
      <c r="CE38" s="107"/>
      <c r="CF38" s="107"/>
      <c r="CG38" s="40"/>
      <c r="CH38" s="111" t="s">
        <v>38</v>
      </c>
      <c r="CI38" s="112"/>
      <c r="CJ38" s="109">
        <f>IFERROR(AVERAGE(E38:CF39),"")</f>
        <v>0.89583333333333337</v>
      </c>
      <c r="CN38"/>
      <c r="CO38"/>
      <c r="CP38"/>
      <c r="CQ38"/>
      <c r="CR38"/>
      <c r="CS38"/>
      <c r="CT38"/>
      <c r="CU38"/>
      <c r="CV38"/>
      <c r="CW38"/>
      <c r="CX38"/>
      <c r="CY38"/>
      <c r="CZ38"/>
      <c r="DA38"/>
      <c r="DL38"/>
      <c r="DM38"/>
    </row>
    <row r="39" spans="2:117" ht="15.75" x14ac:dyDescent="0.25">
      <c r="B39" s="90"/>
      <c r="C39" s="90"/>
      <c r="D39" s="41"/>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42"/>
      <c r="CH39" s="113"/>
      <c r="CI39" s="114"/>
      <c r="CJ39" s="110"/>
      <c r="CK39" s="20"/>
      <c r="CN39"/>
      <c r="CO39"/>
      <c r="CP39"/>
      <c r="CQ39"/>
      <c r="CR39"/>
      <c r="CS39"/>
      <c r="CT39"/>
      <c r="CU39"/>
      <c r="CV39"/>
      <c r="CW39"/>
      <c r="CX39"/>
      <c r="CY39"/>
      <c r="CZ39"/>
      <c r="DA39"/>
      <c r="DL39"/>
      <c r="DM39"/>
    </row>
    <row r="40" spans="2:117" x14ac:dyDescent="0.25">
      <c r="CH40"/>
      <c r="CI40"/>
    </row>
    <row r="41" spans="2:117" x14ac:dyDescent="0.25">
      <c r="CH41"/>
      <c r="CI41"/>
    </row>
  </sheetData>
  <mergeCells count="253">
    <mergeCell ref="CJ38:CJ39"/>
    <mergeCell ref="CH38:CI39"/>
    <mergeCell ref="BQ38:BT39"/>
    <mergeCell ref="BU38:BX39"/>
    <mergeCell ref="BY38:CB39"/>
    <mergeCell ref="CC38:CF39"/>
    <mergeCell ref="AK38:AN39"/>
    <mergeCell ref="AO38:AR39"/>
    <mergeCell ref="AS38:AV39"/>
    <mergeCell ref="AW38:AZ39"/>
    <mergeCell ref="BA38:BD39"/>
    <mergeCell ref="BE38:BH39"/>
    <mergeCell ref="BC37:BD37"/>
    <mergeCell ref="BE37:BF37"/>
    <mergeCell ref="BG37:BH37"/>
    <mergeCell ref="BI37:BJ37"/>
    <mergeCell ref="BK37:BL37"/>
    <mergeCell ref="BM37:BN37"/>
    <mergeCell ref="B38:C39"/>
    <mergeCell ref="E38:H39"/>
    <mergeCell ref="I38:L39"/>
    <mergeCell ref="M38:P39"/>
    <mergeCell ref="Q38:T39"/>
    <mergeCell ref="U38:X39"/>
    <mergeCell ref="Y38:AB39"/>
    <mergeCell ref="AC38:AF39"/>
    <mergeCell ref="AG38:AJ39"/>
    <mergeCell ref="BI38:BL39"/>
    <mergeCell ref="BM38:BP39"/>
    <mergeCell ref="AU37:AV37"/>
    <mergeCell ref="AW37:AX37"/>
    <mergeCell ref="AY37:AZ37"/>
    <mergeCell ref="BA37:BB37"/>
    <mergeCell ref="AE37:AF37"/>
    <mergeCell ref="AG37:AH37"/>
    <mergeCell ref="AI37:AJ37"/>
    <mergeCell ref="CA37:CB37"/>
    <mergeCell ref="CC37:CD37"/>
    <mergeCell ref="CE37:CF37"/>
    <mergeCell ref="BO37:BP37"/>
    <mergeCell ref="BQ37:BR37"/>
    <mergeCell ref="BS37:BT37"/>
    <mergeCell ref="BU37:BV37"/>
    <mergeCell ref="BW37:BX37"/>
    <mergeCell ref="BY37:BZ37"/>
    <mergeCell ref="AQ37:AR37"/>
    <mergeCell ref="AS37:AT37"/>
    <mergeCell ref="S37:T37"/>
    <mergeCell ref="U37:V37"/>
    <mergeCell ref="W37:X37"/>
    <mergeCell ref="Y37:Z37"/>
    <mergeCell ref="AA37:AB37"/>
    <mergeCell ref="AC37:AD37"/>
    <mergeCell ref="B33:C36"/>
    <mergeCell ref="AK37:AL37"/>
    <mergeCell ref="AM37:AN37"/>
    <mergeCell ref="AO37:AP37"/>
    <mergeCell ref="E37:F37"/>
    <mergeCell ref="G37:H37"/>
    <mergeCell ref="I37:J37"/>
    <mergeCell ref="K37:L37"/>
    <mergeCell ref="M37:N37"/>
    <mergeCell ref="O37:P37"/>
    <mergeCell ref="Q37:R37"/>
    <mergeCell ref="CJ33:CJ36"/>
    <mergeCell ref="CH35:CH36"/>
    <mergeCell ref="CI35:CI36"/>
    <mergeCell ref="E36:H36"/>
    <mergeCell ref="I36:L36"/>
    <mergeCell ref="BI36:BL36"/>
    <mergeCell ref="BM36:BP36"/>
    <mergeCell ref="BQ36:BT36"/>
    <mergeCell ref="BU36:BX36"/>
    <mergeCell ref="BY36:CB36"/>
    <mergeCell ref="CC36:CF36"/>
    <mergeCell ref="AK36:AN36"/>
    <mergeCell ref="AO36:AR36"/>
    <mergeCell ref="AS36:AV36"/>
    <mergeCell ref="AW36:AZ36"/>
    <mergeCell ref="BA36:BD36"/>
    <mergeCell ref="BE36:BH36"/>
    <mergeCell ref="BE32:BH32"/>
    <mergeCell ref="BI32:BL32"/>
    <mergeCell ref="Q32:T32"/>
    <mergeCell ref="U32:X32"/>
    <mergeCell ref="Y32:AB32"/>
    <mergeCell ref="AC32:AF32"/>
    <mergeCell ref="AG32:AJ32"/>
    <mergeCell ref="AK32:AN32"/>
    <mergeCell ref="M36:P36"/>
    <mergeCell ref="Q36:T36"/>
    <mergeCell ref="U36:X36"/>
    <mergeCell ref="Y36:AB36"/>
    <mergeCell ref="AC36:AF36"/>
    <mergeCell ref="AG36:AJ36"/>
    <mergeCell ref="I28:L28"/>
    <mergeCell ref="M28:P28"/>
    <mergeCell ref="Q28:T28"/>
    <mergeCell ref="E28:H28"/>
    <mergeCell ref="B29:C32"/>
    <mergeCell ref="CJ29:CJ32"/>
    <mergeCell ref="CH31:CH32"/>
    <mergeCell ref="CI31:CI32"/>
    <mergeCell ref="E32:H32"/>
    <mergeCell ref="I32:L32"/>
    <mergeCell ref="M32:P32"/>
    <mergeCell ref="BQ28:BT28"/>
    <mergeCell ref="BU28:BX28"/>
    <mergeCell ref="BY28:CB28"/>
    <mergeCell ref="CC28:CF28"/>
    <mergeCell ref="BM32:BP32"/>
    <mergeCell ref="BQ32:BT32"/>
    <mergeCell ref="BU32:BX32"/>
    <mergeCell ref="BY32:CB32"/>
    <mergeCell ref="CC32:CF32"/>
    <mergeCell ref="AO32:AR32"/>
    <mergeCell ref="AS32:AV32"/>
    <mergeCell ref="AW32:AZ32"/>
    <mergeCell ref="BA32:BD32"/>
    <mergeCell ref="B21:C24"/>
    <mergeCell ref="AG24:AJ24"/>
    <mergeCell ref="AK24:AN24"/>
    <mergeCell ref="AO24:AR24"/>
    <mergeCell ref="AS24:AV24"/>
    <mergeCell ref="CJ25:CJ28"/>
    <mergeCell ref="CH27:CH28"/>
    <mergeCell ref="CI27:CI28"/>
    <mergeCell ref="AS28:AV28"/>
    <mergeCell ref="AW28:AZ28"/>
    <mergeCell ref="BA28:BD28"/>
    <mergeCell ref="BE28:BH28"/>
    <mergeCell ref="BI28:BL28"/>
    <mergeCell ref="BM28:BP28"/>
    <mergeCell ref="U28:X28"/>
    <mergeCell ref="Y28:AB28"/>
    <mergeCell ref="AC28:AF28"/>
    <mergeCell ref="AG28:AJ28"/>
    <mergeCell ref="AK28:AN28"/>
    <mergeCell ref="AO28:AR28"/>
    <mergeCell ref="B25:C28"/>
    <mergeCell ref="BA24:BD24"/>
    <mergeCell ref="BE24:BH24"/>
    <mergeCell ref="BI24:BL24"/>
    <mergeCell ref="CJ21:CJ24"/>
    <mergeCell ref="CH23:CH24"/>
    <mergeCell ref="CI23:CI24"/>
    <mergeCell ref="E24:H24"/>
    <mergeCell ref="I24:L24"/>
    <mergeCell ref="M24:P24"/>
    <mergeCell ref="Q24:T24"/>
    <mergeCell ref="U24:X24"/>
    <mergeCell ref="Y24:AB24"/>
    <mergeCell ref="AC24:AF24"/>
    <mergeCell ref="BM24:BP24"/>
    <mergeCell ref="BQ24:BT24"/>
    <mergeCell ref="B17:C20"/>
    <mergeCell ref="CJ17:CJ20"/>
    <mergeCell ref="CH19:CH20"/>
    <mergeCell ref="CI19:CI20"/>
    <mergeCell ref="E20:H20"/>
    <mergeCell ref="I20:L20"/>
    <mergeCell ref="BI20:BL20"/>
    <mergeCell ref="BM20:BP20"/>
    <mergeCell ref="BQ20:BT20"/>
    <mergeCell ref="BU20:BX20"/>
    <mergeCell ref="BY20:CB20"/>
    <mergeCell ref="CC20:CF20"/>
    <mergeCell ref="AK20:AN20"/>
    <mergeCell ref="AO20:AR20"/>
    <mergeCell ref="AS20:AV20"/>
    <mergeCell ref="AW20:AZ20"/>
    <mergeCell ref="BA20:BD20"/>
    <mergeCell ref="BE20:BH20"/>
    <mergeCell ref="Y16:AB16"/>
    <mergeCell ref="AC16:AF16"/>
    <mergeCell ref="AG16:AJ16"/>
    <mergeCell ref="AK16:AN16"/>
    <mergeCell ref="M20:P20"/>
    <mergeCell ref="Q20:T20"/>
    <mergeCell ref="U20:X20"/>
    <mergeCell ref="Y20:AB20"/>
    <mergeCell ref="AC20:AF20"/>
    <mergeCell ref="AG20:AJ20"/>
    <mergeCell ref="B13:C16"/>
    <mergeCell ref="CJ13:CJ16"/>
    <mergeCell ref="CH15:CH16"/>
    <mergeCell ref="CI15:CI16"/>
    <mergeCell ref="E16:H16"/>
    <mergeCell ref="I16:L16"/>
    <mergeCell ref="M16:P16"/>
    <mergeCell ref="BQ11:BT12"/>
    <mergeCell ref="BU11:BX12"/>
    <mergeCell ref="BY11:CB12"/>
    <mergeCell ref="CC11:CF12"/>
    <mergeCell ref="BM16:BP16"/>
    <mergeCell ref="BQ16:BT16"/>
    <mergeCell ref="BU16:BX16"/>
    <mergeCell ref="BY16:CB16"/>
    <mergeCell ref="CC16:CF16"/>
    <mergeCell ref="AO16:AR16"/>
    <mergeCell ref="AS16:AV16"/>
    <mergeCell ref="AW16:AZ16"/>
    <mergeCell ref="BA16:BD16"/>
    <mergeCell ref="BE16:BH16"/>
    <mergeCell ref="BI16:BL16"/>
    <mergeCell ref="Q16:T16"/>
    <mergeCell ref="U16:X16"/>
    <mergeCell ref="I11:L12"/>
    <mergeCell ref="M11:P12"/>
    <mergeCell ref="Q11:T12"/>
    <mergeCell ref="B7:B8"/>
    <mergeCell ref="C7:C8"/>
    <mergeCell ref="E8:H8"/>
    <mergeCell ref="CH5:CH8"/>
    <mergeCell ref="CI5:CI8"/>
    <mergeCell ref="CJ5:CJ8"/>
    <mergeCell ref="AS11:AV12"/>
    <mergeCell ref="AW11:AZ12"/>
    <mergeCell ref="BA11:BD12"/>
    <mergeCell ref="BE11:BH12"/>
    <mergeCell ref="BI11:BL12"/>
    <mergeCell ref="BM11:BP12"/>
    <mergeCell ref="U11:X12"/>
    <mergeCell ref="Y11:AB12"/>
    <mergeCell ref="AC11:AF12"/>
    <mergeCell ref="AG11:AJ12"/>
    <mergeCell ref="AK11:AN12"/>
    <mergeCell ref="AO11:AR12"/>
    <mergeCell ref="B10:C12"/>
    <mergeCell ref="B3:B4"/>
    <mergeCell ref="C3:C4"/>
    <mergeCell ref="CH3:CJ4"/>
    <mergeCell ref="B5:B6"/>
    <mergeCell ref="C5:C6"/>
    <mergeCell ref="E3:CF4"/>
    <mergeCell ref="E10:CF10"/>
    <mergeCell ref="AW24:AZ24"/>
    <mergeCell ref="BU24:BX24"/>
    <mergeCell ref="BY24:CB24"/>
    <mergeCell ref="CC24:CF24"/>
    <mergeCell ref="I5:T8"/>
    <mergeCell ref="Y5:AJ8"/>
    <mergeCell ref="AO5:AZ8"/>
    <mergeCell ref="BE5:BP8"/>
    <mergeCell ref="BU5:CF8"/>
    <mergeCell ref="U8:X8"/>
    <mergeCell ref="AK8:AN8"/>
    <mergeCell ref="BA8:BD8"/>
    <mergeCell ref="BQ8:BT8"/>
    <mergeCell ref="CH10:CH12"/>
    <mergeCell ref="CI10:CI12"/>
    <mergeCell ref="CJ10:CJ12"/>
    <mergeCell ref="E11:H12"/>
  </mergeCells>
  <conditionalFormatting sqref="C3:C6">
    <cfRule type="containsBlanks" dxfId="103" priority="3153">
      <formula>LEN(TRIM(C3))=0</formula>
    </cfRule>
  </conditionalFormatting>
  <conditionalFormatting sqref="F6">
    <cfRule type="expression" dxfId="102" priority="20" stopIfTrue="1">
      <formula>AND(E8&gt;0)</formula>
    </cfRule>
  </conditionalFormatting>
  <conditionalFormatting sqref="F7">
    <cfRule type="expression" dxfId="101" priority="18" stopIfTrue="1">
      <formula>AND(E8&gt;2)</formula>
    </cfRule>
  </conditionalFormatting>
  <conditionalFormatting sqref="F14">
    <cfRule type="expression" dxfId="100" priority="1664" stopIfTrue="1">
      <formula>AND(E16&gt;0)</formula>
    </cfRule>
  </conditionalFormatting>
  <conditionalFormatting sqref="F15">
    <cfRule type="expression" dxfId="99" priority="1662" stopIfTrue="1">
      <formula>AND(E16&gt;2)</formula>
    </cfRule>
  </conditionalFormatting>
  <conditionalFormatting sqref="F18 F22 F26 F30 F34">
    <cfRule type="expression" dxfId="98" priority="24" stopIfTrue="1">
      <formula>AND(E20&gt;0)</formula>
    </cfRule>
  </conditionalFormatting>
  <conditionalFormatting sqref="F19 F23 F27 F31 F35">
    <cfRule type="expression" dxfId="97" priority="22" stopIfTrue="1">
      <formula>AND(E20&gt;2)</formula>
    </cfRule>
  </conditionalFormatting>
  <conditionalFormatting sqref="G6">
    <cfRule type="expression" dxfId="96" priority="19" stopIfTrue="1">
      <formula>AND(E8&gt;1)</formula>
    </cfRule>
  </conditionalFormatting>
  <conditionalFormatting sqref="G7">
    <cfRule type="expression" dxfId="95" priority="17" stopIfTrue="1">
      <formula>AND(E8&gt;3)</formula>
    </cfRule>
  </conditionalFormatting>
  <conditionalFormatting sqref="G14">
    <cfRule type="expression" dxfId="94" priority="1663" stopIfTrue="1">
      <formula>AND(E16&gt;1)</formula>
    </cfRule>
  </conditionalFormatting>
  <conditionalFormatting sqref="G15">
    <cfRule type="expression" dxfId="93" priority="1661" stopIfTrue="1">
      <formula>AND(E16&gt;3)</formula>
    </cfRule>
  </conditionalFormatting>
  <conditionalFormatting sqref="G18 G22 G26 G30 G34">
    <cfRule type="expression" dxfId="92" priority="23" stopIfTrue="1">
      <formula>AND(E20&gt;1)</formula>
    </cfRule>
  </conditionalFormatting>
  <conditionalFormatting sqref="G19 G23 G27 G31 G35">
    <cfRule type="expression" dxfId="91" priority="21" stopIfTrue="1">
      <formula>AND(E20&gt;3)</formula>
    </cfRule>
  </conditionalFormatting>
  <conditionalFormatting sqref="J14 N14 R14 V14 Z14 AD14 AH14 AL14 AP14 AT14 AX14 BB14 BF14 BJ14 BN14 BR14 BV14 BZ14 CD14 J18 N18 R18 V18 Z18 AD18 AH18 AL18 AP18 AT18 AX18 BB18 BF18 BJ18 BN18 BR18 BV18 BZ18 CD18 J22 N22 R22 V22 Z22 AD22 AH22 AL22 AP22 AT22 AX22 BB22 BF22 BJ22 BN22 BR22 BV22 BZ22 CD22 J26 N26 R26 V26 Z26 AD26 AH26 AL26 AP26 AT26 AX26 BB26 BF26 BJ26 BN26 BR26 BV26 BZ26 CD26 J30 N30 R30 V30 Z30 AD30 AH30 AL30 AP30 AT30 AX30 BB30 BF30 BJ30 BN30 BR30 BV30 BZ30 CD30 J34 N34 R34 V34 Z34 AD34 AH34 AL34 AP34 AT34 AX34 BB34 BF34 BJ34 BN34 BR34 BV34 BZ34 CD34">
    <cfRule type="expression" dxfId="90" priority="28" stopIfTrue="1">
      <formula>AND(I16&gt;0)</formula>
    </cfRule>
  </conditionalFormatting>
  <conditionalFormatting sqref="J15 N15 R15 V15 Z15 AD15 AH15 AL15 AP15 AT15 AX15 BB15 BF15 BJ15 BN15 BR15 BV15 BZ15 CD15 J19 N19 R19 V19 Z19 AD19 AH19 AL19 AP19 AT19 AX19 BB19 BF19 BJ19 BN19 BR19 BV19 BZ19 CD19 J23 N23 R23 V23 Z23 AD23 AH23 AL23 AP23 AT23 AX23 BB23 BF23 BJ23 BN23 BR23 BV23 BZ23 CD23 J27 N27 R27 V27 Z27 AD27 AH27 AL27 AP27 AT27 AX27 BB27 BF27 BJ27 BN27 BR27 BV27 BZ27 CD27 J31 N31 R31 V31 Z31 AD31 AH31 AL31 AP31 AT31 AX31 BB31 BF31 BJ31 BN31 BR31 BV31 BZ31 CD31 J35 N35 R35 V35 Z35 AD35 AH35 AL35 AP35 AT35 AX35 BB35 BF35 BJ35 BN35 BR35 BV35 BZ35 CD35">
    <cfRule type="expression" dxfId="89" priority="26" stopIfTrue="1">
      <formula>AND(I16&gt;2)</formula>
    </cfRule>
  </conditionalFormatting>
  <conditionalFormatting sqref="K14 O14 S14 W14 AA14 AE14 AI14 AM14 AQ14 AU14 AY14 BC14 BG14 BK14 BO14 BS14 BW14 CA14 CE14 K18 O18 S18 W18 AA18 AE18 AI18 AM18 AQ18 AU18 AY18 BC18 BG18 BK18 BO18 BS18 BW18 CA18 CE18 K22 O22 S22 W22 AA22 AE22 AI22 AM22 AQ22 AU22 AY22 BC22 BG22 BK22 BO22 BS22 BW22 CA22 CE22 K26 O26 S26 W26 AA26 AE26 AI26 AM26 AQ26 AU26 AY26 BC26 BG26 BK26 BO26 BS26 BW26 CA26 CE26 K30 O30 S30 W30 AA30 AE30 AI30 AM30 AQ30 AU30 AY30 BC30 BG30 BK30 BO30 BS30 BW30 CA30 CE30 K34 O34 S34 W34 AA34 AE34 AI34 AM34 AQ34 AU34 AY34 BC34 BG34 BK34 BO34 BS34 BW34 CA34 CE34">
    <cfRule type="expression" dxfId="88" priority="27" stopIfTrue="1">
      <formula>AND(I16&gt;1)</formula>
    </cfRule>
  </conditionalFormatting>
  <conditionalFormatting sqref="K15 O15 S15 W15 AA15 AE15 AI15 AM15 AQ15 AU15 AY15 BC15 BG15 BK15 BO15 BS15 BW15 CA15 CE15 K19 O19 S19 W19 AA19 AE19 AI19 AM19 AQ19 AU19 AY19 BC19 BG19 BK19 BO19 BS19 BW19 CA19 CE19 K23 O23 S23 W23 AA23 AE23 AI23 AM23 AQ23 AU23 AY23 BC23 BG23 BK23 BO23 BS23 BW23 CA23 CE23 K27 O27 S27 W27 AA27 AE27 AI27 AM27 AQ27 AU27 AY27 BC27 BG27 BK27 BO27 BS27 BW27 CA27 CE27 K31 O31 S31 W31 AA31 AE31 AI31 AM31 AQ31 AU31 AY31 BC31 BG31 BK31 BO31 BS31 BW31 CA31 CE31 K35 O35 S35 W35 AA35 AE35 AI35 AM35 AQ35 AU35 AY35 BC35 BG35 BK35 BO35 BS35 BW35 CA35 CE35">
    <cfRule type="expression" dxfId="87" priority="25" stopIfTrue="1">
      <formula>AND(I16&gt;3)</formula>
    </cfRule>
  </conditionalFormatting>
  <conditionalFormatting sqref="V6">
    <cfRule type="expression" dxfId="86" priority="16" stopIfTrue="1">
      <formula>AND(U8&gt;0)</formula>
    </cfRule>
  </conditionalFormatting>
  <conditionalFormatting sqref="V7">
    <cfRule type="expression" dxfId="85" priority="14" stopIfTrue="1">
      <formula>AND(U8&gt;2)</formula>
    </cfRule>
  </conditionalFormatting>
  <conditionalFormatting sqref="W6">
    <cfRule type="expression" dxfId="84" priority="15" stopIfTrue="1">
      <formula>AND(U8&gt;1)</formula>
    </cfRule>
  </conditionalFormatting>
  <conditionalFormatting sqref="W7">
    <cfRule type="expression" dxfId="83" priority="13" stopIfTrue="1">
      <formula>AND(U8&gt;3)</formula>
    </cfRule>
  </conditionalFormatting>
  <conditionalFormatting sqref="AL6">
    <cfRule type="expression" dxfId="82" priority="12" stopIfTrue="1">
      <formula>AND(AK8&gt;0)</formula>
    </cfRule>
  </conditionalFormatting>
  <conditionalFormatting sqref="AL7">
    <cfRule type="expression" dxfId="81" priority="10" stopIfTrue="1">
      <formula>AND(AK8&gt;2)</formula>
    </cfRule>
  </conditionalFormatting>
  <conditionalFormatting sqref="AM6">
    <cfRule type="expression" dxfId="80" priority="11" stopIfTrue="1">
      <formula>AND(AK8&gt;1)</formula>
    </cfRule>
  </conditionalFormatting>
  <conditionalFormatting sqref="AM7">
    <cfRule type="expression" dxfId="79" priority="9" stopIfTrue="1">
      <formula>AND(AK8&gt;3)</formula>
    </cfRule>
  </conditionalFormatting>
  <conditionalFormatting sqref="BB6">
    <cfRule type="expression" dxfId="78" priority="8" stopIfTrue="1">
      <formula>AND(BA8&gt;0)</formula>
    </cfRule>
  </conditionalFormatting>
  <conditionalFormatting sqref="BB7">
    <cfRule type="expression" dxfId="77" priority="6" stopIfTrue="1">
      <formula>AND(BA8&gt;2)</formula>
    </cfRule>
  </conditionalFormatting>
  <conditionalFormatting sqref="BC6">
    <cfRule type="expression" dxfId="76" priority="7" stopIfTrue="1">
      <formula>AND(BA8&gt;1)</formula>
    </cfRule>
  </conditionalFormatting>
  <conditionalFormatting sqref="BC7">
    <cfRule type="expression" dxfId="75" priority="5" stopIfTrue="1">
      <formula>AND(BA8&gt;3)</formula>
    </cfRule>
  </conditionalFormatting>
  <conditionalFormatting sqref="BR6">
    <cfRule type="expression" dxfId="74" priority="4" stopIfTrue="1">
      <formula>AND(BQ8&gt;0)</formula>
    </cfRule>
  </conditionalFormatting>
  <conditionalFormatting sqref="BR7">
    <cfRule type="expression" dxfId="73" priority="2" stopIfTrue="1">
      <formula>AND(BQ8&gt;2)</formula>
    </cfRule>
  </conditionalFormatting>
  <conditionalFormatting sqref="BS6">
    <cfRule type="expression" dxfId="72" priority="3" stopIfTrue="1">
      <formula>AND(BQ8&gt;1)</formula>
    </cfRule>
  </conditionalFormatting>
  <conditionalFormatting sqref="BS7">
    <cfRule type="expression" dxfId="71" priority="1" stopIfTrue="1">
      <formula>AND(BQ8&gt;3)</formula>
    </cfRule>
  </conditionalFormatting>
  <conditionalFormatting sqref="CJ13:CJ36">
    <cfRule type="cellIs" dxfId="70" priority="3154" operator="equal">
      <formula>1</formula>
    </cfRule>
    <cfRule type="cellIs" dxfId="69" priority="3155" operator="equal">
      <formula>2</formula>
    </cfRule>
    <cfRule type="cellIs" dxfId="68" priority="3156"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0712-6D9C-4010-9920-7A89840D649F}">
  <sheetPr>
    <pageSetUpPr fitToPage="1"/>
  </sheetPr>
  <dimension ref="B1:EE41"/>
  <sheetViews>
    <sheetView showGridLines="0" zoomScale="70" zoomScaleNormal="70" workbookViewId="0">
      <pane xSplit="4" ySplit="12" topLeftCell="E13" activePane="bottomRight" state="frozen"/>
      <selection pane="topRight" activeCell="E1" sqref="E1"/>
      <selection pane="bottomLeft" activeCell="A13" sqref="A13"/>
      <selection pane="bottomRight" activeCell="E11" sqref="E11:AF12"/>
    </sheetView>
  </sheetViews>
  <sheetFormatPr baseColWidth="10" defaultColWidth="10" defaultRowHeight="15" x14ac:dyDescent="0.25"/>
  <cols>
    <col min="1" max="1" width="2.42578125" customWidth="1"/>
    <col min="2" max="2" width="32.140625" customWidth="1"/>
    <col min="3" max="3" width="22.42578125" customWidth="1"/>
    <col min="4" max="4" width="0.7109375" style="1" customWidth="1"/>
    <col min="5" max="8" width="3.42578125" style="44" customWidth="1"/>
    <col min="9" max="16" width="3.42578125" customWidth="1"/>
    <col min="17" max="20" width="3.42578125" style="44" customWidth="1"/>
    <col min="21" max="28" width="3.42578125" customWidth="1"/>
    <col min="29" max="32" width="3.42578125" style="44" customWidth="1"/>
    <col min="33" max="84" width="3.42578125" customWidth="1"/>
    <col min="85" max="85" width="0.7109375" style="1" customWidth="1"/>
    <col min="86" max="86" width="15.42578125" style="2" customWidth="1"/>
    <col min="87" max="87" width="23.28515625" style="2" customWidth="1"/>
    <col min="88" max="88" width="13.7109375" customWidth="1"/>
    <col min="89" max="89" width="2.42578125" customWidth="1"/>
    <col min="90" max="91" width="8.140625" customWidth="1"/>
    <col min="92" max="105" width="8.140625" style="5" customWidth="1"/>
    <col min="106" max="110" width="8.140625" customWidth="1"/>
    <col min="111" max="115" width="9.42578125" customWidth="1"/>
    <col min="116" max="117" width="9.42578125" style="5" customWidth="1"/>
    <col min="118" max="130" width="9.42578125" customWidth="1"/>
    <col min="131" max="132" width="1.28515625" customWidth="1"/>
    <col min="133" max="134" width="2.42578125" customWidth="1"/>
    <col min="135" max="135" width="1.28515625" customWidth="1"/>
  </cols>
  <sheetData>
    <row r="1" spans="2:135" ht="40.15" customHeight="1" x14ac:dyDescent="0.3">
      <c r="CI1" s="3" t="s">
        <v>0</v>
      </c>
      <c r="CJ1" s="4">
        <v>45901</v>
      </c>
    </row>
    <row r="2" spans="2:135" ht="40.15" customHeight="1" x14ac:dyDescent="0.25">
      <c r="CI2" s="6" t="s">
        <v>1</v>
      </c>
      <c r="CJ2" s="7">
        <v>46082</v>
      </c>
    </row>
    <row r="3" spans="2:135" ht="15" customHeight="1" x14ac:dyDescent="0.25">
      <c r="B3" s="46" t="s">
        <v>2</v>
      </c>
      <c r="C3" s="47" t="s">
        <v>3</v>
      </c>
      <c r="D3" s="8"/>
      <c r="E3" s="49" t="s">
        <v>4</v>
      </c>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1"/>
      <c r="CG3" s="45"/>
      <c r="CH3" s="46" t="s">
        <v>5</v>
      </c>
      <c r="CI3" s="46"/>
      <c r="CJ3" s="46"/>
      <c r="DC3" s="9"/>
      <c r="DG3" s="9"/>
      <c r="DK3" s="9"/>
      <c r="DO3" s="9"/>
      <c r="DS3" s="9"/>
      <c r="DW3" s="9"/>
      <c r="EA3" s="9"/>
      <c r="EE3" s="9"/>
    </row>
    <row r="4" spans="2:135" ht="15" customHeight="1" x14ac:dyDescent="0.25">
      <c r="B4" s="46"/>
      <c r="C4" s="47"/>
      <c r="D4" s="10"/>
      <c r="E4" s="52"/>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4"/>
      <c r="CG4" s="45"/>
      <c r="CH4" s="46"/>
      <c r="CI4" s="46"/>
      <c r="CJ4" s="46"/>
    </row>
    <row r="5" spans="2:135" ht="15" customHeight="1" x14ac:dyDescent="0.25">
      <c r="B5" s="46" t="s">
        <v>6</v>
      </c>
      <c r="C5" s="48">
        <v>45930</v>
      </c>
      <c r="D5" s="11"/>
      <c r="E5" s="12"/>
      <c r="F5" s="13"/>
      <c r="G5" s="13"/>
      <c r="H5" s="14"/>
      <c r="I5" s="61" t="s">
        <v>7</v>
      </c>
      <c r="J5" s="62"/>
      <c r="K5" s="62"/>
      <c r="L5" s="62"/>
      <c r="M5" s="62"/>
      <c r="N5" s="62"/>
      <c r="O5" s="62"/>
      <c r="P5" s="62"/>
      <c r="Q5" s="62"/>
      <c r="R5" s="62"/>
      <c r="S5" s="62"/>
      <c r="T5" s="63"/>
      <c r="U5" s="12"/>
      <c r="V5" s="13"/>
      <c r="W5" s="13"/>
      <c r="X5" s="14"/>
      <c r="Y5" s="70" t="s">
        <v>8</v>
      </c>
      <c r="Z5" s="71"/>
      <c r="AA5" s="71"/>
      <c r="AB5" s="71"/>
      <c r="AC5" s="71"/>
      <c r="AD5" s="71"/>
      <c r="AE5" s="71"/>
      <c r="AF5" s="71"/>
      <c r="AG5" s="71"/>
      <c r="AH5" s="71"/>
      <c r="AI5" s="71"/>
      <c r="AJ5" s="72"/>
      <c r="AK5" s="12"/>
      <c r="AL5" s="13"/>
      <c r="AM5" s="13"/>
      <c r="AN5" s="14"/>
      <c r="AO5" s="70" t="s">
        <v>9</v>
      </c>
      <c r="AP5" s="71"/>
      <c r="AQ5" s="71"/>
      <c r="AR5" s="71"/>
      <c r="AS5" s="71"/>
      <c r="AT5" s="71"/>
      <c r="AU5" s="71"/>
      <c r="AV5" s="71"/>
      <c r="AW5" s="71"/>
      <c r="AX5" s="71"/>
      <c r="AY5" s="71"/>
      <c r="AZ5" s="72"/>
      <c r="BA5" s="12"/>
      <c r="BB5" s="13"/>
      <c r="BC5" s="13"/>
      <c r="BD5" s="14"/>
      <c r="BE5" s="61" t="s">
        <v>10</v>
      </c>
      <c r="BF5" s="62"/>
      <c r="BG5" s="62"/>
      <c r="BH5" s="62"/>
      <c r="BI5" s="62"/>
      <c r="BJ5" s="62"/>
      <c r="BK5" s="62"/>
      <c r="BL5" s="62"/>
      <c r="BM5" s="62"/>
      <c r="BN5" s="62"/>
      <c r="BO5" s="62"/>
      <c r="BP5" s="63"/>
      <c r="BQ5" s="12"/>
      <c r="BR5" s="13"/>
      <c r="BS5" s="13"/>
      <c r="BT5" s="14"/>
      <c r="BU5" s="70" t="s">
        <v>11</v>
      </c>
      <c r="BV5" s="71"/>
      <c r="BW5" s="71"/>
      <c r="BX5" s="71"/>
      <c r="BY5" s="71"/>
      <c r="BZ5" s="71"/>
      <c r="CA5" s="71"/>
      <c r="CB5" s="71"/>
      <c r="CC5" s="71"/>
      <c r="CD5" s="71"/>
      <c r="CE5" s="71"/>
      <c r="CF5" s="72"/>
      <c r="CG5" s="15"/>
      <c r="CH5" s="122" t="s">
        <v>12</v>
      </c>
      <c r="CI5" s="125" t="s">
        <v>13</v>
      </c>
      <c r="CJ5" s="128" t="s">
        <v>14</v>
      </c>
      <c r="CK5" s="5"/>
      <c r="CN5"/>
      <c r="CO5"/>
      <c r="CP5"/>
      <c r="CQ5"/>
      <c r="CR5"/>
      <c r="CS5"/>
      <c r="CT5"/>
      <c r="CU5"/>
      <c r="CV5"/>
      <c r="CW5"/>
      <c r="CX5"/>
      <c r="CY5"/>
      <c r="CZ5"/>
      <c r="DA5"/>
      <c r="DL5"/>
      <c r="DM5"/>
    </row>
    <row r="6" spans="2:135" ht="15" customHeight="1" x14ac:dyDescent="0.25">
      <c r="B6" s="46"/>
      <c r="C6" s="48"/>
      <c r="D6" s="11"/>
      <c r="E6" s="16"/>
      <c r="F6" s="17"/>
      <c r="G6" s="17"/>
      <c r="H6" s="18"/>
      <c r="I6" s="64"/>
      <c r="J6" s="65"/>
      <c r="K6" s="65"/>
      <c r="L6" s="65"/>
      <c r="M6" s="65"/>
      <c r="N6" s="65"/>
      <c r="O6" s="65"/>
      <c r="P6" s="65"/>
      <c r="Q6" s="65"/>
      <c r="R6" s="65"/>
      <c r="S6" s="65"/>
      <c r="T6" s="66"/>
      <c r="U6" s="16"/>
      <c r="V6" s="17"/>
      <c r="W6" s="17"/>
      <c r="X6" s="18"/>
      <c r="Y6" s="73"/>
      <c r="Z6" s="74"/>
      <c r="AA6" s="74"/>
      <c r="AB6" s="74"/>
      <c r="AC6" s="74"/>
      <c r="AD6" s="74"/>
      <c r="AE6" s="74"/>
      <c r="AF6" s="74"/>
      <c r="AG6" s="74"/>
      <c r="AH6" s="74"/>
      <c r="AI6" s="74"/>
      <c r="AJ6" s="75"/>
      <c r="AK6" s="16"/>
      <c r="AL6" s="17"/>
      <c r="AM6" s="17"/>
      <c r="AN6" s="18"/>
      <c r="AO6" s="73"/>
      <c r="AP6" s="74"/>
      <c r="AQ6" s="74"/>
      <c r="AR6" s="74"/>
      <c r="AS6" s="74"/>
      <c r="AT6" s="74"/>
      <c r="AU6" s="74"/>
      <c r="AV6" s="74"/>
      <c r="AW6" s="74"/>
      <c r="AX6" s="74"/>
      <c r="AY6" s="74"/>
      <c r="AZ6" s="75"/>
      <c r="BA6" s="16"/>
      <c r="BB6" s="17"/>
      <c r="BC6" s="17"/>
      <c r="BD6" s="18"/>
      <c r="BE6" s="64"/>
      <c r="BF6" s="65"/>
      <c r="BG6" s="65"/>
      <c r="BH6" s="65"/>
      <c r="BI6" s="65"/>
      <c r="BJ6" s="65"/>
      <c r="BK6" s="65"/>
      <c r="BL6" s="65"/>
      <c r="BM6" s="65"/>
      <c r="BN6" s="65"/>
      <c r="BO6" s="65"/>
      <c r="BP6" s="66"/>
      <c r="BQ6" s="16"/>
      <c r="BR6" s="19"/>
      <c r="BS6" s="19"/>
      <c r="BT6" s="18"/>
      <c r="BU6" s="73"/>
      <c r="BV6" s="74"/>
      <c r="BW6" s="74"/>
      <c r="BX6" s="74"/>
      <c r="BY6" s="74"/>
      <c r="BZ6" s="74"/>
      <c r="CA6" s="74"/>
      <c r="CB6" s="74"/>
      <c r="CC6" s="74"/>
      <c r="CD6" s="74"/>
      <c r="CE6" s="74"/>
      <c r="CF6" s="75"/>
      <c r="CG6" s="15"/>
      <c r="CH6" s="123"/>
      <c r="CI6" s="126"/>
      <c r="CJ6" s="129"/>
      <c r="CK6" s="20"/>
      <c r="CN6"/>
      <c r="CO6"/>
      <c r="CP6"/>
      <c r="CQ6"/>
      <c r="CR6"/>
      <c r="CS6"/>
      <c r="CT6"/>
      <c r="CU6"/>
      <c r="CV6"/>
      <c r="CW6"/>
      <c r="CX6"/>
      <c r="CY6"/>
      <c r="CZ6"/>
      <c r="DA6"/>
      <c r="DL6"/>
      <c r="DM6"/>
    </row>
    <row r="7" spans="2:135" ht="15" customHeight="1" x14ac:dyDescent="0.25">
      <c r="B7" s="90" t="s">
        <v>15</v>
      </c>
      <c r="C7" s="91">
        <v>7</v>
      </c>
      <c r="E7" s="16"/>
      <c r="F7" s="17"/>
      <c r="G7" s="17"/>
      <c r="H7" s="18"/>
      <c r="I7" s="64"/>
      <c r="J7" s="65"/>
      <c r="K7" s="65"/>
      <c r="L7" s="65"/>
      <c r="M7" s="65"/>
      <c r="N7" s="65"/>
      <c r="O7" s="65"/>
      <c r="P7" s="65"/>
      <c r="Q7" s="65"/>
      <c r="R7" s="65"/>
      <c r="S7" s="65"/>
      <c r="T7" s="66"/>
      <c r="U7" s="16"/>
      <c r="V7" s="17"/>
      <c r="W7" s="17"/>
      <c r="X7" s="18"/>
      <c r="Y7" s="73"/>
      <c r="Z7" s="74"/>
      <c r="AA7" s="74"/>
      <c r="AB7" s="74"/>
      <c r="AC7" s="74"/>
      <c r="AD7" s="74"/>
      <c r="AE7" s="74"/>
      <c r="AF7" s="74"/>
      <c r="AG7" s="74"/>
      <c r="AH7" s="74"/>
      <c r="AI7" s="74"/>
      <c r="AJ7" s="75"/>
      <c r="AK7" s="16"/>
      <c r="AL7" s="17"/>
      <c r="AM7" s="17"/>
      <c r="AN7" s="18"/>
      <c r="AO7" s="73"/>
      <c r="AP7" s="74"/>
      <c r="AQ7" s="74"/>
      <c r="AR7" s="74"/>
      <c r="AS7" s="74"/>
      <c r="AT7" s="74"/>
      <c r="AU7" s="74"/>
      <c r="AV7" s="74"/>
      <c r="AW7" s="74"/>
      <c r="AX7" s="74"/>
      <c r="AY7" s="74"/>
      <c r="AZ7" s="75"/>
      <c r="BA7" s="21"/>
      <c r="BB7" s="17"/>
      <c r="BC7" s="17"/>
      <c r="BD7" s="18"/>
      <c r="BE7" s="64"/>
      <c r="BF7" s="65"/>
      <c r="BG7" s="65"/>
      <c r="BH7" s="65"/>
      <c r="BI7" s="65"/>
      <c r="BJ7" s="65"/>
      <c r="BK7" s="65"/>
      <c r="BL7" s="65"/>
      <c r="BM7" s="65"/>
      <c r="BN7" s="65"/>
      <c r="BO7" s="65"/>
      <c r="BP7" s="66"/>
      <c r="BQ7" s="16"/>
      <c r="BR7" s="19"/>
      <c r="BS7" s="19"/>
      <c r="BT7" s="18"/>
      <c r="BU7" s="73"/>
      <c r="BV7" s="74"/>
      <c r="BW7" s="74"/>
      <c r="BX7" s="74"/>
      <c r="BY7" s="74"/>
      <c r="BZ7" s="74"/>
      <c r="CA7" s="74"/>
      <c r="CB7" s="74"/>
      <c r="CC7" s="74"/>
      <c r="CD7" s="74"/>
      <c r="CE7" s="74"/>
      <c r="CF7" s="75"/>
      <c r="CG7" s="15"/>
      <c r="CH7" s="123"/>
      <c r="CI7" s="126"/>
      <c r="CJ7" s="129"/>
      <c r="CK7" s="20"/>
      <c r="CN7"/>
      <c r="CO7"/>
      <c r="CP7"/>
      <c r="CQ7"/>
      <c r="CR7"/>
      <c r="CS7"/>
      <c r="CT7"/>
      <c r="CU7"/>
      <c r="CV7"/>
      <c r="CW7"/>
      <c r="CX7"/>
      <c r="CY7"/>
      <c r="CZ7"/>
      <c r="DA7"/>
      <c r="DL7"/>
      <c r="DM7"/>
    </row>
    <row r="8" spans="2:135" ht="15" customHeight="1" x14ac:dyDescent="0.25">
      <c r="B8" s="90"/>
      <c r="C8" s="91"/>
      <c r="E8" s="79">
        <v>0</v>
      </c>
      <c r="F8" s="80"/>
      <c r="G8" s="80"/>
      <c r="H8" s="81"/>
      <c r="I8" s="67"/>
      <c r="J8" s="68"/>
      <c r="K8" s="68"/>
      <c r="L8" s="68"/>
      <c r="M8" s="68"/>
      <c r="N8" s="68"/>
      <c r="O8" s="68"/>
      <c r="P8" s="68"/>
      <c r="Q8" s="68"/>
      <c r="R8" s="68"/>
      <c r="S8" s="68"/>
      <c r="T8" s="69"/>
      <c r="U8" s="79">
        <v>1</v>
      </c>
      <c r="V8" s="80"/>
      <c r="W8" s="80"/>
      <c r="X8" s="81"/>
      <c r="Y8" s="76"/>
      <c r="Z8" s="77"/>
      <c r="AA8" s="77"/>
      <c r="AB8" s="77"/>
      <c r="AC8" s="77"/>
      <c r="AD8" s="77"/>
      <c r="AE8" s="77"/>
      <c r="AF8" s="77"/>
      <c r="AG8" s="77"/>
      <c r="AH8" s="77"/>
      <c r="AI8" s="77"/>
      <c r="AJ8" s="78"/>
      <c r="AK8" s="79">
        <v>2</v>
      </c>
      <c r="AL8" s="80"/>
      <c r="AM8" s="80"/>
      <c r="AN8" s="81"/>
      <c r="AO8" s="76"/>
      <c r="AP8" s="77"/>
      <c r="AQ8" s="77"/>
      <c r="AR8" s="77"/>
      <c r="AS8" s="77"/>
      <c r="AT8" s="77"/>
      <c r="AU8" s="77"/>
      <c r="AV8" s="77"/>
      <c r="AW8" s="77"/>
      <c r="AX8" s="77"/>
      <c r="AY8" s="77"/>
      <c r="AZ8" s="78"/>
      <c r="BA8" s="79">
        <v>3</v>
      </c>
      <c r="BB8" s="80"/>
      <c r="BC8" s="80"/>
      <c r="BD8" s="81"/>
      <c r="BE8" s="67"/>
      <c r="BF8" s="68"/>
      <c r="BG8" s="68"/>
      <c r="BH8" s="68"/>
      <c r="BI8" s="68"/>
      <c r="BJ8" s="68"/>
      <c r="BK8" s="68"/>
      <c r="BL8" s="68"/>
      <c r="BM8" s="68"/>
      <c r="BN8" s="68"/>
      <c r="BO8" s="68"/>
      <c r="BP8" s="69"/>
      <c r="BQ8" s="79">
        <v>4</v>
      </c>
      <c r="BR8" s="80"/>
      <c r="BS8" s="80"/>
      <c r="BT8" s="81"/>
      <c r="BU8" s="76"/>
      <c r="BV8" s="77"/>
      <c r="BW8" s="77"/>
      <c r="BX8" s="77"/>
      <c r="BY8" s="77"/>
      <c r="BZ8" s="77"/>
      <c r="CA8" s="77"/>
      <c r="CB8" s="77"/>
      <c r="CC8" s="77"/>
      <c r="CD8" s="77"/>
      <c r="CE8" s="77"/>
      <c r="CF8" s="78"/>
      <c r="CG8" s="22"/>
      <c r="CH8" s="124"/>
      <c r="CI8" s="127"/>
      <c r="CJ8" s="130"/>
      <c r="CK8" s="20"/>
      <c r="CN8"/>
      <c r="CO8"/>
      <c r="CP8"/>
      <c r="CQ8"/>
      <c r="CR8"/>
      <c r="CS8"/>
      <c r="CT8"/>
      <c r="CU8"/>
      <c r="CV8"/>
      <c r="CW8"/>
      <c r="CX8"/>
      <c r="CY8"/>
      <c r="CZ8"/>
      <c r="DA8"/>
      <c r="DL8"/>
      <c r="DM8"/>
    </row>
    <row r="9" spans="2:135" ht="5.0999999999999996" customHeight="1" x14ac:dyDescent="0.25">
      <c r="D9" s="23"/>
      <c r="J9" s="5"/>
      <c r="CJ9" s="24"/>
      <c r="CN9"/>
      <c r="CO9"/>
      <c r="CP9"/>
      <c r="CQ9"/>
      <c r="CR9"/>
      <c r="CS9"/>
      <c r="CT9"/>
      <c r="CU9"/>
      <c r="CV9"/>
      <c r="CW9"/>
      <c r="CX9"/>
      <c r="CY9"/>
      <c r="CZ9"/>
      <c r="DA9"/>
    </row>
    <row r="10" spans="2:135" ht="20.100000000000001" customHeight="1" x14ac:dyDescent="0.25">
      <c r="B10" s="101" t="s">
        <v>16</v>
      </c>
      <c r="C10" s="101"/>
      <c r="E10" s="55" t="s">
        <v>17</v>
      </c>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7"/>
      <c r="CG10" s="8"/>
      <c r="CH10" s="82" t="s">
        <v>18</v>
      </c>
      <c r="CI10" s="82" t="s">
        <v>19</v>
      </c>
      <c r="CJ10" s="85" t="s">
        <v>20</v>
      </c>
      <c r="CK10" s="25"/>
      <c r="CN10"/>
      <c r="CO10"/>
      <c r="CP10"/>
      <c r="CQ10"/>
      <c r="CR10"/>
      <c r="CS10"/>
      <c r="CT10"/>
      <c r="CU10"/>
      <c r="CV10"/>
      <c r="CW10"/>
      <c r="CX10"/>
      <c r="CY10"/>
      <c r="CZ10"/>
      <c r="DA10"/>
      <c r="DL10"/>
      <c r="DM10"/>
    </row>
    <row r="11" spans="2:135" ht="27.6" customHeight="1" x14ac:dyDescent="0.25">
      <c r="B11" s="101"/>
      <c r="C11" s="101"/>
      <c r="D11" s="8"/>
      <c r="E11" s="95" t="s">
        <v>30</v>
      </c>
      <c r="F11" s="96"/>
      <c r="G11" s="96"/>
      <c r="H11" s="97"/>
      <c r="I11" s="88" t="s">
        <v>22</v>
      </c>
      <c r="J11" s="88"/>
      <c r="K11" s="88"/>
      <c r="L11" s="88"/>
      <c r="M11" s="88" t="s">
        <v>23</v>
      </c>
      <c r="N11" s="88"/>
      <c r="O11" s="88"/>
      <c r="P11" s="88"/>
      <c r="Q11" s="95" t="s">
        <v>29</v>
      </c>
      <c r="R11" s="96"/>
      <c r="S11" s="96"/>
      <c r="T11" s="97"/>
      <c r="U11" s="88" t="s">
        <v>25</v>
      </c>
      <c r="V11" s="88"/>
      <c r="W11" s="88"/>
      <c r="X11" s="88"/>
      <c r="Y11" s="88" t="s">
        <v>26</v>
      </c>
      <c r="Z11" s="88"/>
      <c r="AA11" s="88"/>
      <c r="AB11" s="88"/>
      <c r="AC11" s="95" t="s">
        <v>28</v>
      </c>
      <c r="AD11" s="96"/>
      <c r="AE11" s="96"/>
      <c r="AF11" s="97"/>
      <c r="AG11" s="95"/>
      <c r="AH11" s="96"/>
      <c r="AI11" s="96"/>
      <c r="AJ11" s="97"/>
      <c r="AK11" s="95"/>
      <c r="AL11" s="96"/>
      <c r="AM11" s="96"/>
      <c r="AN11" s="97"/>
      <c r="AO11" s="95"/>
      <c r="AP11" s="96"/>
      <c r="AQ11" s="96"/>
      <c r="AR11" s="97"/>
      <c r="AS11" s="95"/>
      <c r="AT11" s="96"/>
      <c r="AU11" s="96"/>
      <c r="AV11" s="97"/>
      <c r="AW11" s="95"/>
      <c r="AX11" s="96"/>
      <c r="AY11" s="96"/>
      <c r="AZ11" s="97"/>
      <c r="BA11" s="95"/>
      <c r="BB11" s="96"/>
      <c r="BC11" s="96"/>
      <c r="BD11" s="97"/>
      <c r="BE11" s="95"/>
      <c r="BF11" s="96"/>
      <c r="BG11" s="96"/>
      <c r="BH11" s="97"/>
      <c r="BI11" s="95"/>
      <c r="BJ11" s="96"/>
      <c r="BK11" s="96"/>
      <c r="BL11" s="97"/>
      <c r="BM11" s="95"/>
      <c r="BN11" s="96"/>
      <c r="BO11" s="96"/>
      <c r="BP11" s="97"/>
      <c r="BQ11" s="95"/>
      <c r="BR11" s="96"/>
      <c r="BS11" s="96"/>
      <c r="BT11" s="97"/>
      <c r="BU11" s="95"/>
      <c r="BV11" s="96"/>
      <c r="BW11" s="96"/>
      <c r="BX11" s="97"/>
      <c r="BY11" s="95"/>
      <c r="BZ11" s="96"/>
      <c r="CA11" s="96"/>
      <c r="CB11" s="97"/>
      <c r="CC11" s="95"/>
      <c r="CD11" s="96"/>
      <c r="CE11" s="96"/>
      <c r="CF11" s="97"/>
      <c r="CG11" s="26"/>
      <c r="CH11" s="83"/>
      <c r="CI11" s="83"/>
      <c r="CJ11" s="86"/>
      <c r="CK11" s="27"/>
      <c r="CO11"/>
      <c r="CP11"/>
      <c r="CQ11"/>
      <c r="CR11"/>
      <c r="CS11"/>
      <c r="CT11"/>
      <c r="CU11"/>
      <c r="CV11"/>
      <c r="CW11"/>
      <c r="CX11"/>
      <c r="CY11"/>
      <c r="CZ11"/>
      <c r="DA11"/>
      <c r="DL11"/>
      <c r="DM11"/>
    </row>
    <row r="12" spans="2:135" ht="27.6" customHeight="1" x14ac:dyDescent="0.25">
      <c r="B12" s="101"/>
      <c r="C12" s="101"/>
      <c r="D12" s="8"/>
      <c r="E12" s="98"/>
      <c r="F12" s="99"/>
      <c r="G12" s="99"/>
      <c r="H12" s="100"/>
      <c r="I12" s="89"/>
      <c r="J12" s="89"/>
      <c r="K12" s="89"/>
      <c r="L12" s="89"/>
      <c r="M12" s="89"/>
      <c r="N12" s="89"/>
      <c r="O12" s="89"/>
      <c r="P12" s="89"/>
      <c r="Q12" s="98"/>
      <c r="R12" s="99"/>
      <c r="S12" s="99"/>
      <c r="T12" s="100"/>
      <c r="U12" s="89"/>
      <c r="V12" s="89"/>
      <c r="W12" s="89"/>
      <c r="X12" s="89"/>
      <c r="Y12" s="89"/>
      <c r="Z12" s="89"/>
      <c r="AA12" s="89"/>
      <c r="AB12" s="89"/>
      <c r="AC12" s="98"/>
      <c r="AD12" s="99"/>
      <c r="AE12" s="99"/>
      <c r="AF12" s="100"/>
      <c r="AG12" s="98"/>
      <c r="AH12" s="99"/>
      <c r="AI12" s="99"/>
      <c r="AJ12" s="100"/>
      <c r="AK12" s="98"/>
      <c r="AL12" s="99"/>
      <c r="AM12" s="99"/>
      <c r="AN12" s="100"/>
      <c r="AO12" s="98"/>
      <c r="AP12" s="99"/>
      <c r="AQ12" s="99"/>
      <c r="AR12" s="100"/>
      <c r="AS12" s="98"/>
      <c r="AT12" s="99"/>
      <c r="AU12" s="99"/>
      <c r="AV12" s="100"/>
      <c r="AW12" s="98"/>
      <c r="AX12" s="99"/>
      <c r="AY12" s="99"/>
      <c r="AZ12" s="100"/>
      <c r="BA12" s="98"/>
      <c r="BB12" s="99"/>
      <c r="BC12" s="99"/>
      <c r="BD12" s="100"/>
      <c r="BE12" s="98"/>
      <c r="BF12" s="99"/>
      <c r="BG12" s="99"/>
      <c r="BH12" s="100"/>
      <c r="BI12" s="98"/>
      <c r="BJ12" s="99"/>
      <c r="BK12" s="99"/>
      <c r="BL12" s="100"/>
      <c r="BM12" s="98"/>
      <c r="BN12" s="99"/>
      <c r="BO12" s="99"/>
      <c r="BP12" s="100"/>
      <c r="BQ12" s="98"/>
      <c r="BR12" s="99"/>
      <c r="BS12" s="99"/>
      <c r="BT12" s="100"/>
      <c r="BU12" s="98"/>
      <c r="BV12" s="99"/>
      <c r="BW12" s="99"/>
      <c r="BX12" s="100"/>
      <c r="BY12" s="98"/>
      <c r="BZ12" s="99"/>
      <c r="CA12" s="99"/>
      <c r="CB12" s="100"/>
      <c r="CC12" s="98"/>
      <c r="CD12" s="99"/>
      <c r="CE12" s="99"/>
      <c r="CF12" s="100"/>
      <c r="CG12" s="26"/>
      <c r="CH12" s="84"/>
      <c r="CI12" s="84"/>
      <c r="CJ12" s="87"/>
      <c r="CK12" s="5"/>
      <c r="CO12"/>
      <c r="CP12"/>
      <c r="CQ12"/>
      <c r="CR12"/>
      <c r="CS12"/>
      <c r="CT12"/>
      <c r="CU12"/>
      <c r="CV12"/>
      <c r="CW12"/>
      <c r="CX12"/>
      <c r="CY12"/>
      <c r="CZ12"/>
      <c r="DA12"/>
      <c r="DL12"/>
      <c r="DM12"/>
    </row>
    <row r="13" spans="2:135" ht="6" customHeight="1" x14ac:dyDescent="0.25">
      <c r="B13" s="102" t="s">
        <v>31</v>
      </c>
      <c r="C13" s="102"/>
      <c r="D13" s="28"/>
      <c r="E13" s="31"/>
      <c r="F13" s="43"/>
      <c r="G13" s="43"/>
      <c r="H13" s="33"/>
      <c r="I13" s="31"/>
      <c r="J13" s="43"/>
      <c r="K13" s="43"/>
      <c r="L13" s="33"/>
      <c r="M13" s="31"/>
      <c r="N13" s="43"/>
      <c r="O13" s="43"/>
      <c r="P13" s="33"/>
      <c r="Q13" s="31"/>
      <c r="R13" s="43"/>
      <c r="S13" s="43"/>
      <c r="T13" s="33"/>
      <c r="U13" s="31"/>
      <c r="V13" s="43"/>
      <c r="W13" s="43"/>
      <c r="X13" s="33"/>
      <c r="Y13" s="31"/>
      <c r="Z13" s="43"/>
      <c r="AA13" s="43"/>
      <c r="AB13" s="33"/>
      <c r="AC13" s="31"/>
      <c r="AD13" s="43"/>
      <c r="AE13" s="43"/>
      <c r="AF13" s="33"/>
      <c r="AG13" s="31"/>
      <c r="AH13" s="43"/>
      <c r="AI13" s="43"/>
      <c r="AJ13" s="33"/>
      <c r="AK13" s="31"/>
      <c r="AL13" s="43"/>
      <c r="AM13" s="43"/>
      <c r="AN13" s="33"/>
      <c r="AO13" s="31"/>
      <c r="AP13" s="43"/>
      <c r="AQ13" s="43"/>
      <c r="AR13" s="33"/>
      <c r="AS13" s="31"/>
      <c r="AT13" s="43"/>
      <c r="AU13" s="43"/>
      <c r="AV13" s="33"/>
      <c r="AW13" s="31"/>
      <c r="AX13" s="43"/>
      <c r="AY13" s="43"/>
      <c r="AZ13" s="33"/>
      <c r="BA13" s="31"/>
      <c r="BB13" s="43"/>
      <c r="BC13" s="43"/>
      <c r="BD13" s="33"/>
      <c r="BE13" s="31"/>
      <c r="BF13" s="43"/>
      <c r="BG13" s="43"/>
      <c r="BH13" s="33"/>
      <c r="BI13" s="31"/>
      <c r="BJ13" s="43"/>
      <c r="BK13" s="43"/>
      <c r="BL13" s="33"/>
      <c r="BM13" s="31"/>
      <c r="BN13" s="43"/>
      <c r="BO13" s="43"/>
      <c r="BP13" s="33"/>
      <c r="BQ13" s="31"/>
      <c r="BR13" s="43"/>
      <c r="BS13" s="43"/>
      <c r="BT13" s="33"/>
      <c r="BU13" s="31"/>
      <c r="BV13" s="43"/>
      <c r="BW13" s="43"/>
      <c r="BX13" s="33"/>
      <c r="BY13" s="31"/>
      <c r="BZ13" s="43"/>
      <c r="CA13" s="43"/>
      <c r="CB13" s="33"/>
      <c r="CC13" s="31"/>
      <c r="CD13" s="43"/>
      <c r="CE13" s="43"/>
      <c r="CF13" s="33"/>
      <c r="CH13" s="29"/>
      <c r="CI13" s="30"/>
      <c r="CJ13" s="103">
        <f>IF(ISBLANK(B13),"",IF(CI14&gt;=CH14,3,IF(CI14=(CH14-1),2,1)))</f>
        <v>1</v>
      </c>
      <c r="CK13" s="5"/>
      <c r="CO13"/>
      <c r="CP13"/>
      <c r="CQ13"/>
      <c r="CR13"/>
      <c r="CS13"/>
      <c r="CT13"/>
      <c r="CU13"/>
      <c r="CV13"/>
      <c r="CW13"/>
      <c r="CX13"/>
      <c r="CY13"/>
      <c r="CZ13"/>
      <c r="DA13"/>
      <c r="DL13"/>
      <c r="DM13"/>
    </row>
    <row r="14" spans="2:135" ht="15" customHeight="1" x14ac:dyDescent="0.25">
      <c r="B14" s="102"/>
      <c r="C14" s="102"/>
      <c r="D14" s="28"/>
      <c r="E14" s="31"/>
      <c r="F14" s="32"/>
      <c r="G14" s="32"/>
      <c r="H14" s="33"/>
      <c r="I14" s="31"/>
      <c r="J14" s="32"/>
      <c r="K14" s="32"/>
      <c r="L14" s="33"/>
      <c r="M14" s="31"/>
      <c r="N14" s="32"/>
      <c r="O14" s="32"/>
      <c r="P14" s="33"/>
      <c r="Q14" s="31"/>
      <c r="R14" s="32"/>
      <c r="S14" s="32"/>
      <c r="T14" s="33"/>
      <c r="U14" s="31"/>
      <c r="V14" s="32"/>
      <c r="W14" s="32"/>
      <c r="X14" s="33"/>
      <c r="Y14" s="31"/>
      <c r="Z14" s="32"/>
      <c r="AA14" s="32"/>
      <c r="AB14" s="33"/>
      <c r="AC14" s="31"/>
      <c r="AD14" s="32"/>
      <c r="AE14" s="32"/>
      <c r="AF14" s="33"/>
      <c r="AG14" s="31"/>
      <c r="AH14" s="32"/>
      <c r="AI14" s="32"/>
      <c r="AJ14" s="33"/>
      <c r="AK14" s="31"/>
      <c r="AL14" s="32"/>
      <c r="AM14" s="32"/>
      <c r="AN14" s="33"/>
      <c r="AO14" s="31"/>
      <c r="AP14" s="32"/>
      <c r="AQ14" s="32"/>
      <c r="AR14" s="33"/>
      <c r="AS14" s="31"/>
      <c r="AT14" s="32"/>
      <c r="AU14" s="32"/>
      <c r="AV14" s="33"/>
      <c r="AW14" s="31"/>
      <c r="AX14" s="32"/>
      <c r="AY14" s="32"/>
      <c r="AZ14" s="33"/>
      <c r="BA14" s="31"/>
      <c r="BB14" s="32"/>
      <c r="BC14" s="32"/>
      <c r="BD14" s="33"/>
      <c r="BE14" s="31"/>
      <c r="BF14" s="32"/>
      <c r="BG14" s="32"/>
      <c r="BH14" s="33"/>
      <c r="BI14" s="31"/>
      <c r="BJ14" s="32"/>
      <c r="BK14" s="32"/>
      <c r="BL14" s="33"/>
      <c r="BM14" s="31"/>
      <c r="BN14" s="32"/>
      <c r="BO14" s="32"/>
      <c r="BP14" s="33"/>
      <c r="BQ14" s="31"/>
      <c r="BR14" s="32"/>
      <c r="BS14" s="32"/>
      <c r="BT14" s="33"/>
      <c r="BU14" s="31"/>
      <c r="BV14" s="32"/>
      <c r="BW14" s="32"/>
      <c r="BX14" s="33"/>
      <c r="BY14" s="31"/>
      <c r="BZ14" s="32"/>
      <c r="CA14" s="32"/>
      <c r="CB14" s="33"/>
      <c r="CC14" s="31"/>
      <c r="CD14" s="32"/>
      <c r="CE14" s="32"/>
      <c r="CF14" s="33"/>
      <c r="CH14" s="34">
        <v>3</v>
      </c>
      <c r="CI14" s="35">
        <f>IF(ISBLANK(B13),"",COUNTIF(B16:CF16,"&gt;=3"))</f>
        <v>1</v>
      </c>
      <c r="CJ14" s="103"/>
      <c r="CK14" s="20"/>
      <c r="CO14"/>
      <c r="CP14"/>
      <c r="CQ14"/>
      <c r="CR14"/>
      <c r="CS14"/>
      <c r="CT14"/>
      <c r="CU14"/>
      <c r="CV14"/>
      <c r="CW14"/>
      <c r="CX14"/>
      <c r="CY14"/>
      <c r="CZ14"/>
      <c r="DA14"/>
      <c r="DL14"/>
      <c r="DM14"/>
    </row>
    <row r="15" spans="2:135" ht="15" customHeight="1" x14ac:dyDescent="0.25">
      <c r="B15" s="102"/>
      <c r="C15" s="102"/>
      <c r="D15" s="28"/>
      <c r="E15" s="31"/>
      <c r="F15" s="32"/>
      <c r="G15" s="32"/>
      <c r="H15" s="33"/>
      <c r="I15" s="31"/>
      <c r="J15" s="32"/>
      <c r="K15" s="32"/>
      <c r="L15" s="33"/>
      <c r="M15" s="31"/>
      <c r="N15" s="32"/>
      <c r="O15" s="32"/>
      <c r="P15" s="33"/>
      <c r="Q15" s="31"/>
      <c r="R15" s="32"/>
      <c r="S15" s="32"/>
      <c r="T15" s="33"/>
      <c r="U15" s="31"/>
      <c r="V15" s="32"/>
      <c r="W15" s="32"/>
      <c r="X15" s="33"/>
      <c r="Y15" s="31"/>
      <c r="Z15" s="32"/>
      <c r="AA15" s="32"/>
      <c r="AB15" s="33"/>
      <c r="AC15" s="31"/>
      <c r="AD15" s="32"/>
      <c r="AE15" s="32"/>
      <c r="AF15" s="33"/>
      <c r="AG15" s="31"/>
      <c r="AH15" s="32"/>
      <c r="AI15" s="32"/>
      <c r="AJ15" s="33"/>
      <c r="AK15" s="31"/>
      <c r="AL15" s="32"/>
      <c r="AM15" s="32"/>
      <c r="AN15" s="33"/>
      <c r="AO15" s="31"/>
      <c r="AP15" s="32"/>
      <c r="AQ15" s="32"/>
      <c r="AR15" s="33"/>
      <c r="AS15" s="31"/>
      <c r="AT15" s="32"/>
      <c r="AU15" s="32"/>
      <c r="AV15" s="33"/>
      <c r="AW15" s="31"/>
      <c r="AX15" s="32"/>
      <c r="AY15" s="32"/>
      <c r="AZ15" s="33"/>
      <c r="BA15" s="31"/>
      <c r="BB15" s="32"/>
      <c r="BC15" s="32"/>
      <c r="BD15" s="33"/>
      <c r="BE15" s="31"/>
      <c r="BF15" s="32"/>
      <c r="BG15" s="32"/>
      <c r="BH15" s="33"/>
      <c r="BI15" s="31"/>
      <c r="BJ15" s="32"/>
      <c r="BK15" s="32"/>
      <c r="BL15" s="33"/>
      <c r="BM15" s="31"/>
      <c r="BN15" s="32"/>
      <c r="BO15" s="32"/>
      <c r="BP15" s="33"/>
      <c r="BQ15" s="31"/>
      <c r="BR15" s="32"/>
      <c r="BS15" s="32"/>
      <c r="BT15" s="33"/>
      <c r="BU15" s="31"/>
      <c r="BV15" s="32"/>
      <c r="BW15" s="32"/>
      <c r="BX15" s="33"/>
      <c r="BY15" s="31"/>
      <c r="BZ15" s="32"/>
      <c r="CA15" s="32"/>
      <c r="CB15" s="33"/>
      <c r="CC15" s="31"/>
      <c r="CD15" s="32"/>
      <c r="CE15" s="32"/>
      <c r="CF15" s="33"/>
      <c r="CH15" s="104" t="str">
        <f>IF(ISBLANK(B13),"","personas cualificadas")</f>
        <v>personas cualificadas</v>
      </c>
      <c r="CI15" s="104" t="str">
        <f>IF(ISBLANK(B13),"","personas cualificadas")</f>
        <v>personas cualificadas</v>
      </c>
      <c r="CJ15" s="103"/>
      <c r="CK15" s="20"/>
      <c r="CO15"/>
      <c r="CP15"/>
      <c r="CS15"/>
      <c r="CT15"/>
      <c r="CU15"/>
      <c r="CV15"/>
      <c r="CW15"/>
      <c r="CX15"/>
      <c r="CY15"/>
      <c r="CZ15"/>
      <c r="DA15"/>
      <c r="DL15"/>
      <c r="DM15"/>
    </row>
    <row r="16" spans="2:135" x14ac:dyDescent="0.25">
      <c r="B16" s="102"/>
      <c r="C16" s="102"/>
      <c r="D16" s="28"/>
      <c r="E16" s="58"/>
      <c r="F16" s="59"/>
      <c r="G16" s="59"/>
      <c r="H16" s="60"/>
      <c r="I16" s="58">
        <v>4</v>
      </c>
      <c r="J16" s="59"/>
      <c r="K16" s="59"/>
      <c r="L16" s="60"/>
      <c r="M16" s="58"/>
      <c r="N16" s="59"/>
      <c r="O16" s="59"/>
      <c r="P16" s="60"/>
      <c r="Q16" s="58"/>
      <c r="R16" s="59"/>
      <c r="S16" s="59"/>
      <c r="T16" s="60"/>
      <c r="U16" s="58"/>
      <c r="V16" s="59"/>
      <c r="W16" s="59"/>
      <c r="X16" s="60"/>
      <c r="Y16" s="58"/>
      <c r="Z16" s="59"/>
      <c r="AA16" s="59"/>
      <c r="AB16" s="60"/>
      <c r="AC16" s="58"/>
      <c r="AD16" s="59"/>
      <c r="AE16" s="59"/>
      <c r="AF16" s="60"/>
      <c r="AG16" s="58"/>
      <c r="AH16" s="59"/>
      <c r="AI16" s="59"/>
      <c r="AJ16" s="60"/>
      <c r="AK16" s="58"/>
      <c r="AL16" s="59"/>
      <c r="AM16" s="59"/>
      <c r="AN16" s="60"/>
      <c r="AO16" s="58"/>
      <c r="AP16" s="59"/>
      <c r="AQ16" s="59"/>
      <c r="AR16" s="60"/>
      <c r="AS16" s="58"/>
      <c r="AT16" s="59"/>
      <c r="AU16" s="59"/>
      <c r="AV16" s="60"/>
      <c r="AW16" s="58"/>
      <c r="AX16" s="59"/>
      <c r="AY16" s="59"/>
      <c r="AZ16" s="60"/>
      <c r="BA16" s="58"/>
      <c r="BB16" s="59"/>
      <c r="BC16" s="59"/>
      <c r="BD16" s="60"/>
      <c r="BE16" s="58"/>
      <c r="BF16" s="59"/>
      <c r="BG16" s="59"/>
      <c r="BH16" s="60"/>
      <c r="BI16" s="58"/>
      <c r="BJ16" s="59"/>
      <c r="BK16" s="59"/>
      <c r="BL16" s="60"/>
      <c r="BM16" s="58"/>
      <c r="BN16" s="59"/>
      <c r="BO16" s="59"/>
      <c r="BP16" s="60"/>
      <c r="BQ16" s="58"/>
      <c r="BR16" s="59"/>
      <c r="BS16" s="59"/>
      <c r="BT16" s="60"/>
      <c r="BU16" s="58"/>
      <c r="BV16" s="59"/>
      <c r="BW16" s="59"/>
      <c r="BX16" s="60"/>
      <c r="BY16" s="58"/>
      <c r="BZ16" s="59"/>
      <c r="CA16" s="59"/>
      <c r="CB16" s="60"/>
      <c r="CC16" s="58"/>
      <c r="CD16" s="59"/>
      <c r="CE16" s="59"/>
      <c r="CF16" s="60"/>
      <c r="CG16" s="36"/>
      <c r="CH16" s="105"/>
      <c r="CI16" s="105"/>
      <c r="CJ16" s="103"/>
      <c r="CK16" s="20"/>
      <c r="CO16"/>
      <c r="CP16"/>
      <c r="CS16"/>
      <c r="CT16"/>
      <c r="CU16"/>
      <c r="CV16"/>
      <c r="CW16"/>
      <c r="CX16"/>
      <c r="CY16"/>
      <c r="CZ16"/>
      <c r="DA16"/>
      <c r="DL16"/>
      <c r="DM16"/>
    </row>
    <row r="17" spans="2:117" ht="6" customHeight="1" x14ac:dyDescent="0.25">
      <c r="B17" s="102" t="s">
        <v>32</v>
      </c>
      <c r="C17" s="102"/>
      <c r="D17" s="28"/>
      <c r="E17" s="31"/>
      <c r="F17" s="43"/>
      <c r="G17" s="43"/>
      <c r="H17" s="33"/>
      <c r="I17" s="31"/>
      <c r="J17" s="43"/>
      <c r="K17" s="43"/>
      <c r="L17" s="33"/>
      <c r="M17" s="31"/>
      <c r="N17" s="43"/>
      <c r="O17" s="43"/>
      <c r="P17" s="33"/>
      <c r="Q17" s="31"/>
      <c r="R17" s="43"/>
      <c r="S17" s="43"/>
      <c r="T17" s="33"/>
      <c r="U17" s="31"/>
      <c r="V17" s="43"/>
      <c r="W17" s="43"/>
      <c r="X17" s="33"/>
      <c r="Y17" s="31"/>
      <c r="Z17" s="43"/>
      <c r="AA17" s="43"/>
      <c r="AB17" s="33"/>
      <c r="AC17" s="31"/>
      <c r="AD17" s="43"/>
      <c r="AE17" s="43"/>
      <c r="AF17" s="33"/>
      <c r="AG17" s="31"/>
      <c r="AH17" s="43"/>
      <c r="AI17" s="43"/>
      <c r="AJ17" s="33"/>
      <c r="AK17" s="31"/>
      <c r="AL17" s="43"/>
      <c r="AM17" s="43"/>
      <c r="AN17" s="33"/>
      <c r="AO17" s="31"/>
      <c r="AP17" s="43"/>
      <c r="AQ17" s="43"/>
      <c r="AR17" s="33"/>
      <c r="AS17" s="31"/>
      <c r="AT17" s="43"/>
      <c r="AU17" s="43"/>
      <c r="AV17" s="33"/>
      <c r="AW17" s="31"/>
      <c r="AX17" s="43"/>
      <c r="AY17" s="43"/>
      <c r="AZ17" s="33"/>
      <c r="BA17" s="31"/>
      <c r="BB17" s="43"/>
      <c r="BC17" s="43"/>
      <c r="BD17" s="33"/>
      <c r="BE17" s="31"/>
      <c r="BF17" s="43"/>
      <c r="BG17" s="43"/>
      <c r="BH17" s="33"/>
      <c r="BI17" s="31"/>
      <c r="BJ17" s="43"/>
      <c r="BK17" s="43"/>
      <c r="BL17" s="33"/>
      <c r="BM17" s="31"/>
      <c r="BN17" s="43"/>
      <c r="BO17" s="43"/>
      <c r="BP17" s="33"/>
      <c r="BQ17" s="31"/>
      <c r="BR17" s="43"/>
      <c r="BS17" s="43"/>
      <c r="BT17" s="33"/>
      <c r="BU17" s="31"/>
      <c r="BV17" s="43"/>
      <c r="BW17" s="43"/>
      <c r="BX17" s="33"/>
      <c r="BY17" s="31"/>
      <c r="BZ17" s="43"/>
      <c r="CA17" s="43"/>
      <c r="CB17" s="33"/>
      <c r="CC17" s="31"/>
      <c r="CD17" s="43"/>
      <c r="CE17" s="43"/>
      <c r="CF17" s="33"/>
      <c r="CH17" s="29"/>
      <c r="CI17" s="30"/>
      <c r="CJ17" s="103">
        <f>IF(ISBLANK(B17),"",IF(CI18&gt;=CH18,3,IF(CI18=(CH18-1),2,1)))</f>
        <v>2</v>
      </c>
      <c r="CK17" s="20"/>
      <c r="CN17"/>
      <c r="CO17"/>
      <c r="CP17"/>
      <c r="CQ17"/>
      <c r="CR17"/>
      <c r="CS17"/>
      <c r="CT17"/>
      <c r="CU17"/>
      <c r="CV17"/>
      <c r="CW17"/>
      <c r="CX17"/>
      <c r="CY17"/>
      <c r="CZ17"/>
      <c r="DA17"/>
      <c r="DL17"/>
      <c r="DM17"/>
    </row>
    <row r="18" spans="2:117" ht="15" customHeight="1" x14ac:dyDescent="0.25">
      <c r="B18" s="102"/>
      <c r="C18" s="102"/>
      <c r="D18" s="28"/>
      <c r="E18" s="31"/>
      <c r="F18" s="32"/>
      <c r="G18" s="32"/>
      <c r="H18" s="33"/>
      <c r="I18" s="31"/>
      <c r="J18" s="32"/>
      <c r="K18" s="32"/>
      <c r="L18" s="33"/>
      <c r="M18" s="31"/>
      <c r="N18" s="32"/>
      <c r="O18" s="32"/>
      <c r="P18" s="33"/>
      <c r="Q18" s="31"/>
      <c r="R18" s="32"/>
      <c r="S18" s="32"/>
      <c r="T18" s="33"/>
      <c r="U18" s="31"/>
      <c r="V18" s="32"/>
      <c r="W18" s="32"/>
      <c r="X18" s="33"/>
      <c r="Y18" s="31"/>
      <c r="Z18" s="32"/>
      <c r="AA18" s="32"/>
      <c r="AB18" s="33"/>
      <c r="AC18" s="31"/>
      <c r="AD18" s="32"/>
      <c r="AE18" s="32"/>
      <c r="AF18" s="33"/>
      <c r="AG18" s="31"/>
      <c r="AH18" s="32"/>
      <c r="AI18" s="32"/>
      <c r="AJ18" s="33"/>
      <c r="AK18" s="31"/>
      <c r="AL18" s="32"/>
      <c r="AM18" s="32"/>
      <c r="AN18" s="33"/>
      <c r="AO18" s="31"/>
      <c r="AP18" s="32"/>
      <c r="AQ18" s="32"/>
      <c r="AR18" s="33"/>
      <c r="AS18" s="31"/>
      <c r="AT18" s="32"/>
      <c r="AU18" s="32"/>
      <c r="AV18" s="33"/>
      <c r="AW18" s="31"/>
      <c r="AX18" s="32"/>
      <c r="AY18" s="32"/>
      <c r="AZ18" s="33"/>
      <c r="BA18" s="31"/>
      <c r="BB18" s="32"/>
      <c r="BC18" s="32"/>
      <c r="BD18" s="33"/>
      <c r="BE18" s="31"/>
      <c r="BF18" s="32"/>
      <c r="BG18" s="32"/>
      <c r="BH18" s="33"/>
      <c r="BI18" s="31"/>
      <c r="BJ18" s="32"/>
      <c r="BK18" s="32"/>
      <c r="BL18" s="33"/>
      <c r="BM18" s="31"/>
      <c r="BN18" s="32"/>
      <c r="BO18" s="32"/>
      <c r="BP18" s="33"/>
      <c r="BQ18" s="31"/>
      <c r="BR18" s="32"/>
      <c r="BS18" s="32"/>
      <c r="BT18" s="33"/>
      <c r="BU18" s="31"/>
      <c r="BV18" s="32"/>
      <c r="BW18" s="32"/>
      <c r="BX18" s="33"/>
      <c r="BY18" s="31"/>
      <c r="BZ18" s="32"/>
      <c r="CA18" s="32"/>
      <c r="CB18" s="33"/>
      <c r="CC18" s="31"/>
      <c r="CD18" s="32"/>
      <c r="CE18" s="32"/>
      <c r="CF18" s="33"/>
      <c r="CH18" s="34">
        <v>3</v>
      </c>
      <c r="CI18" s="35">
        <f>IF(ISBLANK(B17),"",COUNTIF(B20:CF20,"&gt;=3"))</f>
        <v>2</v>
      </c>
      <c r="CJ18" s="103"/>
      <c r="CK18" s="20"/>
      <c r="CN18"/>
      <c r="CO18"/>
      <c r="CP18"/>
      <c r="CQ18"/>
      <c r="CR18"/>
      <c r="CS18"/>
      <c r="CT18"/>
      <c r="CU18"/>
      <c r="CV18"/>
      <c r="CW18"/>
      <c r="CX18"/>
      <c r="CY18"/>
      <c r="CZ18"/>
      <c r="DA18"/>
      <c r="DL18"/>
      <c r="DM18"/>
    </row>
    <row r="19" spans="2:117" ht="15" customHeight="1" x14ac:dyDescent="0.25">
      <c r="B19" s="102"/>
      <c r="C19" s="102"/>
      <c r="D19" s="28"/>
      <c r="E19" s="31"/>
      <c r="F19" s="32"/>
      <c r="G19" s="32"/>
      <c r="H19" s="33"/>
      <c r="I19" s="31"/>
      <c r="J19" s="32"/>
      <c r="K19" s="32"/>
      <c r="L19" s="33"/>
      <c r="M19" s="31"/>
      <c r="N19" s="32"/>
      <c r="O19" s="32"/>
      <c r="P19" s="33"/>
      <c r="Q19" s="31"/>
      <c r="R19" s="32"/>
      <c r="S19" s="32"/>
      <c r="T19" s="33"/>
      <c r="U19" s="31"/>
      <c r="V19" s="32"/>
      <c r="W19" s="32"/>
      <c r="X19" s="33"/>
      <c r="Y19" s="31"/>
      <c r="Z19" s="32"/>
      <c r="AA19" s="32"/>
      <c r="AB19" s="33"/>
      <c r="AC19" s="31"/>
      <c r="AD19" s="32"/>
      <c r="AE19" s="32"/>
      <c r="AF19" s="33"/>
      <c r="AG19" s="31"/>
      <c r="AH19" s="32"/>
      <c r="AI19" s="32"/>
      <c r="AJ19" s="33"/>
      <c r="AK19" s="31"/>
      <c r="AL19" s="32"/>
      <c r="AM19" s="32"/>
      <c r="AN19" s="33"/>
      <c r="AO19" s="31"/>
      <c r="AP19" s="32"/>
      <c r="AQ19" s="32"/>
      <c r="AR19" s="33"/>
      <c r="AS19" s="31"/>
      <c r="AT19" s="32"/>
      <c r="AU19" s="32"/>
      <c r="AV19" s="33"/>
      <c r="AW19" s="31"/>
      <c r="AX19" s="32"/>
      <c r="AY19" s="32"/>
      <c r="AZ19" s="33"/>
      <c r="BA19" s="31"/>
      <c r="BB19" s="32"/>
      <c r="BC19" s="32"/>
      <c r="BD19" s="33"/>
      <c r="BE19" s="31"/>
      <c r="BF19" s="32"/>
      <c r="BG19" s="32"/>
      <c r="BH19" s="33"/>
      <c r="BI19" s="31"/>
      <c r="BJ19" s="32"/>
      <c r="BK19" s="32"/>
      <c r="BL19" s="33"/>
      <c r="BM19" s="31"/>
      <c r="BN19" s="32"/>
      <c r="BO19" s="32"/>
      <c r="BP19" s="33"/>
      <c r="BQ19" s="31"/>
      <c r="BR19" s="32"/>
      <c r="BS19" s="32"/>
      <c r="BT19" s="33"/>
      <c r="BU19" s="31"/>
      <c r="BV19" s="32"/>
      <c r="BW19" s="32"/>
      <c r="BX19" s="33"/>
      <c r="BY19" s="31"/>
      <c r="BZ19" s="32"/>
      <c r="CA19" s="32"/>
      <c r="CB19" s="33"/>
      <c r="CC19" s="31"/>
      <c r="CD19" s="32"/>
      <c r="CE19" s="32"/>
      <c r="CF19" s="33"/>
      <c r="CH19" s="104" t="str">
        <f>IF(ISBLANK(B17),"","personas cualificadas")</f>
        <v>personas cualificadas</v>
      </c>
      <c r="CI19" s="104" t="str">
        <f>IF(ISBLANK(B17),"","personas cualificadas")</f>
        <v>personas cualificadas</v>
      </c>
      <c r="CJ19" s="103"/>
      <c r="CK19" s="20"/>
      <c r="CN19"/>
      <c r="CO19"/>
      <c r="CP19"/>
      <c r="CQ19"/>
      <c r="CR19"/>
      <c r="CS19"/>
      <c r="CT19"/>
      <c r="CU19"/>
      <c r="CV19"/>
      <c r="CW19"/>
      <c r="CX19"/>
      <c r="CY19"/>
      <c r="CZ19"/>
      <c r="DA19"/>
      <c r="DL19"/>
      <c r="DM19"/>
    </row>
    <row r="20" spans="2:117" x14ac:dyDescent="0.25">
      <c r="B20" s="102"/>
      <c r="C20" s="102"/>
      <c r="D20" s="28"/>
      <c r="E20" s="58"/>
      <c r="F20" s="59"/>
      <c r="G20" s="59"/>
      <c r="H20" s="60"/>
      <c r="I20" s="58">
        <v>4</v>
      </c>
      <c r="J20" s="59"/>
      <c r="K20" s="59"/>
      <c r="L20" s="60"/>
      <c r="M20" s="58">
        <v>4</v>
      </c>
      <c r="N20" s="59"/>
      <c r="O20" s="59"/>
      <c r="P20" s="60"/>
      <c r="Q20" s="58"/>
      <c r="R20" s="59"/>
      <c r="S20" s="59"/>
      <c r="T20" s="60"/>
      <c r="U20" s="58"/>
      <c r="V20" s="59"/>
      <c r="W20" s="59"/>
      <c r="X20" s="60"/>
      <c r="Y20" s="58"/>
      <c r="Z20" s="59"/>
      <c r="AA20" s="59"/>
      <c r="AB20" s="60"/>
      <c r="AC20" s="58"/>
      <c r="AD20" s="59"/>
      <c r="AE20" s="59"/>
      <c r="AF20" s="60"/>
      <c r="AG20" s="58"/>
      <c r="AH20" s="59"/>
      <c r="AI20" s="59"/>
      <c r="AJ20" s="60"/>
      <c r="AK20" s="58"/>
      <c r="AL20" s="59"/>
      <c r="AM20" s="59"/>
      <c r="AN20" s="60"/>
      <c r="AO20" s="58"/>
      <c r="AP20" s="59"/>
      <c r="AQ20" s="59"/>
      <c r="AR20" s="60"/>
      <c r="AS20" s="58"/>
      <c r="AT20" s="59"/>
      <c r="AU20" s="59"/>
      <c r="AV20" s="60"/>
      <c r="AW20" s="58"/>
      <c r="AX20" s="59"/>
      <c r="AY20" s="59"/>
      <c r="AZ20" s="60"/>
      <c r="BA20" s="58"/>
      <c r="BB20" s="59"/>
      <c r="BC20" s="59"/>
      <c r="BD20" s="60"/>
      <c r="BE20" s="58"/>
      <c r="BF20" s="59"/>
      <c r="BG20" s="59"/>
      <c r="BH20" s="60"/>
      <c r="BI20" s="58"/>
      <c r="BJ20" s="59"/>
      <c r="BK20" s="59"/>
      <c r="BL20" s="60"/>
      <c r="BM20" s="58"/>
      <c r="BN20" s="59"/>
      <c r="BO20" s="59"/>
      <c r="BP20" s="60"/>
      <c r="BQ20" s="58"/>
      <c r="BR20" s="59"/>
      <c r="BS20" s="59"/>
      <c r="BT20" s="60"/>
      <c r="BU20" s="58"/>
      <c r="BV20" s="59"/>
      <c r="BW20" s="59"/>
      <c r="BX20" s="60"/>
      <c r="BY20" s="58"/>
      <c r="BZ20" s="59"/>
      <c r="CA20" s="59"/>
      <c r="CB20" s="60"/>
      <c r="CC20" s="58"/>
      <c r="CD20" s="59"/>
      <c r="CE20" s="59"/>
      <c r="CF20" s="60"/>
      <c r="CG20" s="36"/>
      <c r="CH20" s="105"/>
      <c r="CI20" s="105"/>
      <c r="CJ20" s="103"/>
      <c r="CK20" s="20"/>
      <c r="CN20"/>
      <c r="CO20"/>
      <c r="CP20"/>
      <c r="CQ20"/>
      <c r="CR20"/>
      <c r="CS20"/>
      <c r="CT20"/>
      <c r="CU20"/>
      <c r="CV20"/>
      <c r="CW20"/>
      <c r="CX20"/>
      <c r="CY20"/>
      <c r="CZ20"/>
      <c r="DA20"/>
      <c r="DL20"/>
      <c r="DM20"/>
    </row>
    <row r="21" spans="2:117" ht="6" customHeight="1" x14ac:dyDescent="0.25">
      <c r="B21" s="102" t="s">
        <v>33</v>
      </c>
      <c r="C21" s="102"/>
      <c r="D21" s="28"/>
      <c r="E21" s="31"/>
      <c r="F21" s="43"/>
      <c r="G21" s="43"/>
      <c r="H21" s="33"/>
      <c r="I21" s="31"/>
      <c r="J21" s="43"/>
      <c r="K21" s="43"/>
      <c r="L21" s="33"/>
      <c r="M21" s="31"/>
      <c r="N21" s="43"/>
      <c r="O21" s="43"/>
      <c r="P21" s="33"/>
      <c r="Q21" s="31"/>
      <c r="R21" s="43"/>
      <c r="S21" s="43"/>
      <c r="T21" s="33"/>
      <c r="U21" s="31"/>
      <c r="V21" s="43"/>
      <c r="W21" s="43"/>
      <c r="X21" s="33"/>
      <c r="Y21" s="31"/>
      <c r="Z21" s="43"/>
      <c r="AA21" s="43"/>
      <c r="AB21" s="33"/>
      <c r="AC21" s="31"/>
      <c r="AD21" s="43"/>
      <c r="AE21" s="43"/>
      <c r="AF21" s="33"/>
      <c r="AG21" s="31"/>
      <c r="AH21" s="43"/>
      <c r="AI21" s="43"/>
      <c r="AJ21" s="33"/>
      <c r="AK21" s="31"/>
      <c r="AL21" s="43"/>
      <c r="AM21" s="43"/>
      <c r="AN21" s="33"/>
      <c r="AO21" s="31"/>
      <c r="AP21" s="43"/>
      <c r="AQ21" s="43"/>
      <c r="AR21" s="33"/>
      <c r="AS21" s="31"/>
      <c r="AT21" s="43"/>
      <c r="AU21" s="43"/>
      <c r="AV21" s="33"/>
      <c r="AW21" s="31"/>
      <c r="AX21" s="43"/>
      <c r="AY21" s="43"/>
      <c r="AZ21" s="33"/>
      <c r="BA21" s="31"/>
      <c r="BB21" s="43"/>
      <c r="BC21" s="43"/>
      <c r="BD21" s="33"/>
      <c r="BE21" s="31"/>
      <c r="BF21" s="43"/>
      <c r="BG21" s="43"/>
      <c r="BH21" s="33"/>
      <c r="BI21" s="31"/>
      <c r="BJ21" s="43"/>
      <c r="BK21" s="43"/>
      <c r="BL21" s="33"/>
      <c r="BM21" s="31"/>
      <c r="BN21" s="43"/>
      <c r="BO21" s="43"/>
      <c r="BP21" s="33"/>
      <c r="BQ21" s="31"/>
      <c r="BR21" s="43"/>
      <c r="BS21" s="43"/>
      <c r="BT21" s="33"/>
      <c r="BU21" s="31"/>
      <c r="BV21" s="43"/>
      <c r="BW21" s="43"/>
      <c r="BX21" s="33"/>
      <c r="BY21" s="31"/>
      <c r="BZ21" s="43"/>
      <c r="CA21" s="43"/>
      <c r="CB21" s="33"/>
      <c r="CC21" s="31"/>
      <c r="CD21" s="43"/>
      <c r="CE21" s="43"/>
      <c r="CF21" s="33"/>
      <c r="CH21" s="29"/>
      <c r="CI21" s="30"/>
      <c r="CJ21" s="103">
        <f>IF(ISBLANK(B21),"",IF(CI22&gt;=CH22,3,IF(CI22=(CH22-1),2,1)))</f>
        <v>1</v>
      </c>
      <c r="CK21" s="20"/>
      <c r="CN21"/>
      <c r="CO21"/>
      <c r="CP21"/>
      <c r="CQ21"/>
      <c r="CR21"/>
      <c r="CS21"/>
      <c r="CT21"/>
      <c r="CU21"/>
      <c r="CV21"/>
      <c r="CW21"/>
      <c r="CX21"/>
      <c r="CY21"/>
      <c r="CZ21"/>
      <c r="DA21"/>
      <c r="DL21"/>
      <c r="DM21"/>
    </row>
    <row r="22" spans="2:117" ht="15" customHeight="1" x14ac:dyDescent="0.25">
      <c r="B22" s="102"/>
      <c r="C22" s="102"/>
      <c r="D22" s="28"/>
      <c r="E22" s="31"/>
      <c r="F22" s="32"/>
      <c r="G22" s="32"/>
      <c r="H22" s="33"/>
      <c r="I22" s="31"/>
      <c r="J22" s="32"/>
      <c r="K22" s="32"/>
      <c r="L22" s="33"/>
      <c r="M22" s="31"/>
      <c r="N22" s="32"/>
      <c r="O22" s="32"/>
      <c r="P22" s="33"/>
      <c r="Q22" s="31"/>
      <c r="R22" s="32"/>
      <c r="S22" s="32"/>
      <c r="T22" s="33"/>
      <c r="U22" s="31"/>
      <c r="V22" s="32"/>
      <c r="W22" s="32"/>
      <c r="X22" s="33"/>
      <c r="Y22" s="31"/>
      <c r="Z22" s="32"/>
      <c r="AA22" s="32"/>
      <c r="AB22" s="33"/>
      <c r="AC22" s="31"/>
      <c r="AD22" s="32"/>
      <c r="AE22" s="32"/>
      <c r="AF22" s="33"/>
      <c r="AG22" s="31"/>
      <c r="AH22" s="32"/>
      <c r="AI22" s="32"/>
      <c r="AJ22" s="33"/>
      <c r="AK22" s="31"/>
      <c r="AL22" s="32"/>
      <c r="AM22" s="32"/>
      <c r="AN22" s="33"/>
      <c r="AO22" s="31"/>
      <c r="AP22" s="32"/>
      <c r="AQ22" s="32"/>
      <c r="AR22" s="33"/>
      <c r="AS22" s="31"/>
      <c r="AT22" s="32"/>
      <c r="AU22" s="32"/>
      <c r="AV22" s="33"/>
      <c r="AW22" s="31"/>
      <c r="AX22" s="32"/>
      <c r="AY22" s="32"/>
      <c r="AZ22" s="33"/>
      <c r="BA22" s="31"/>
      <c r="BB22" s="32"/>
      <c r="BC22" s="32"/>
      <c r="BD22" s="33"/>
      <c r="BE22" s="31"/>
      <c r="BF22" s="32"/>
      <c r="BG22" s="32"/>
      <c r="BH22" s="33"/>
      <c r="BI22" s="31"/>
      <c r="BJ22" s="32"/>
      <c r="BK22" s="32"/>
      <c r="BL22" s="33"/>
      <c r="BM22" s="31"/>
      <c r="BN22" s="32"/>
      <c r="BO22" s="32"/>
      <c r="BP22" s="33"/>
      <c r="BQ22" s="31"/>
      <c r="BR22" s="32"/>
      <c r="BS22" s="32"/>
      <c r="BT22" s="33"/>
      <c r="BU22" s="31"/>
      <c r="BV22" s="32"/>
      <c r="BW22" s="32"/>
      <c r="BX22" s="33"/>
      <c r="BY22" s="31"/>
      <c r="BZ22" s="32"/>
      <c r="CA22" s="32"/>
      <c r="CB22" s="33"/>
      <c r="CC22" s="31"/>
      <c r="CD22" s="32"/>
      <c r="CE22" s="32"/>
      <c r="CF22" s="33"/>
      <c r="CH22" s="34">
        <v>3</v>
      </c>
      <c r="CI22" s="35">
        <f>IF(ISBLANK(B21),"",COUNTIF(B24:CF24,"&gt;=3"))</f>
        <v>1</v>
      </c>
      <c r="CJ22" s="103"/>
      <c r="CK22" s="20"/>
      <c r="CN22"/>
      <c r="CO22"/>
      <c r="CP22"/>
      <c r="CQ22"/>
      <c r="CR22"/>
      <c r="CS22"/>
      <c r="CT22"/>
      <c r="CU22"/>
      <c r="CV22"/>
      <c r="CW22"/>
      <c r="CX22"/>
      <c r="CY22"/>
      <c r="CZ22"/>
      <c r="DA22"/>
      <c r="DL22"/>
      <c r="DM22"/>
    </row>
    <row r="23" spans="2:117" ht="15" customHeight="1" x14ac:dyDescent="0.25">
      <c r="B23" s="102"/>
      <c r="C23" s="102"/>
      <c r="D23" s="28"/>
      <c r="E23" s="31"/>
      <c r="F23" s="32"/>
      <c r="G23" s="32"/>
      <c r="H23" s="33"/>
      <c r="I23" s="31"/>
      <c r="J23" s="32"/>
      <c r="K23" s="32"/>
      <c r="L23" s="33"/>
      <c r="M23" s="31"/>
      <c r="N23" s="32"/>
      <c r="O23" s="32"/>
      <c r="P23" s="33"/>
      <c r="Q23" s="31"/>
      <c r="R23" s="32"/>
      <c r="S23" s="32"/>
      <c r="T23" s="33"/>
      <c r="U23" s="31"/>
      <c r="V23" s="32"/>
      <c r="W23" s="32"/>
      <c r="X23" s="33"/>
      <c r="Y23" s="31"/>
      <c r="Z23" s="32"/>
      <c r="AA23" s="32"/>
      <c r="AB23" s="33"/>
      <c r="AC23" s="31"/>
      <c r="AD23" s="32"/>
      <c r="AE23" s="32"/>
      <c r="AF23" s="33"/>
      <c r="AG23" s="31"/>
      <c r="AH23" s="32"/>
      <c r="AI23" s="32"/>
      <c r="AJ23" s="33"/>
      <c r="AK23" s="31"/>
      <c r="AL23" s="32"/>
      <c r="AM23" s="32"/>
      <c r="AN23" s="33"/>
      <c r="AO23" s="31"/>
      <c r="AP23" s="32"/>
      <c r="AQ23" s="32"/>
      <c r="AR23" s="33"/>
      <c r="AS23" s="31"/>
      <c r="AT23" s="32"/>
      <c r="AU23" s="32"/>
      <c r="AV23" s="33"/>
      <c r="AW23" s="31"/>
      <c r="AX23" s="32"/>
      <c r="AY23" s="32"/>
      <c r="AZ23" s="33"/>
      <c r="BA23" s="31"/>
      <c r="BB23" s="32"/>
      <c r="BC23" s="32"/>
      <c r="BD23" s="33"/>
      <c r="BE23" s="31"/>
      <c r="BF23" s="32"/>
      <c r="BG23" s="32"/>
      <c r="BH23" s="33"/>
      <c r="BI23" s="31"/>
      <c r="BJ23" s="32"/>
      <c r="BK23" s="32"/>
      <c r="BL23" s="33"/>
      <c r="BM23" s="31"/>
      <c r="BN23" s="32"/>
      <c r="BO23" s="32"/>
      <c r="BP23" s="33"/>
      <c r="BQ23" s="31"/>
      <c r="BR23" s="32"/>
      <c r="BS23" s="32"/>
      <c r="BT23" s="33"/>
      <c r="BU23" s="31"/>
      <c r="BV23" s="32"/>
      <c r="BW23" s="32"/>
      <c r="BX23" s="33"/>
      <c r="BY23" s="31"/>
      <c r="BZ23" s="32"/>
      <c r="CA23" s="32"/>
      <c r="CB23" s="33"/>
      <c r="CC23" s="31"/>
      <c r="CD23" s="32"/>
      <c r="CE23" s="32"/>
      <c r="CF23" s="33"/>
      <c r="CH23" s="104" t="str">
        <f>IF(ISBLANK(B21),"","personas cualificadas")</f>
        <v>personas cualificadas</v>
      </c>
      <c r="CI23" s="104" t="str">
        <f>IF(ISBLANK(B21),"","personas cualificadas")</f>
        <v>personas cualificadas</v>
      </c>
      <c r="CJ23" s="103"/>
      <c r="CK23" s="20"/>
      <c r="CN23"/>
      <c r="CO23"/>
      <c r="CP23"/>
      <c r="CQ23"/>
      <c r="CR23"/>
      <c r="CS23"/>
      <c r="CT23"/>
      <c r="CU23"/>
      <c r="CV23"/>
      <c r="CW23"/>
      <c r="CX23"/>
      <c r="CY23"/>
      <c r="CZ23"/>
      <c r="DA23"/>
      <c r="DL23"/>
      <c r="DM23"/>
    </row>
    <row r="24" spans="2:117" x14ac:dyDescent="0.25">
      <c r="B24" s="102"/>
      <c r="C24" s="102"/>
      <c r="D24" s="28"/>
      <c r="E24" s="58"/>
      <c r="F24" s="59"/>
      <c r="G24" s="59"/>
      <c r="H24" s="60"/>
      <c r="I24" s="58">
        <v>4</v>
      </c>
      <c r="J24" s="59"/>
      <c r="K24" s="59"/>
      <c r="L24" s="60"/>
      <c r="M24" s="58"/>
      <c r="N24" s="59"/>
      <c r="O24" s="59"/>
      <c r="P24" s="60"/>
      <c r="Q24" s="58"/>
      <c r="R24" s="59"/>
      <c r="S24" s="59"/>
      <c r="T24" s="60"/>
      <c r="U24" s="58"/>
      <c r="V24" s="59"/>
      <c r="W24" s="59"/>
      <c r="X24" s="60"/>
      <c r="Y24" s="58"/>
      <c r="Z24" s="59"/>
      <c r="AA24" s="59"/>
      <c r="AB24" s="60"/>
      <c r="AC24" s="58"/>
      <c r="AD24" s="59"/>
      <c r="AE24" s="59"/>
      <c r="AF24" s="60"/>
      <c r="AG24" s="58"/>
      <c r="AH24" s="59"/>
      <c r="AI24" s="59"/>
      <c r="AJ24" s="60"/>
      <c r="AK24" s="58"/>
      <c r="AL24" s="59"/>
      <c r="AM24" s="59"/>
      <c r="AN24" s="60"/>
      <c r="AO24" s="58"/>
      <c r="AP24" s="59"/>
      <c r="AQ24" s="59"/>
      <c r="AR24" s="60"/>
      <c r="AS24" s="58"/>
      <c r="AT24" s="59"/>
      <c r="AU24" s="59"/>
      <c r="AV24" s="60"/>
      <c r="AW24" s="58"/>
      <c r="AX24" s="59"/>
      <c r="AY24" s="59"/>
      <c r="AZ24" s="60"/>
      <c r="BA24" s="58"/>
      <c r="BB24" s="59"/>
      <c r="BC24" s="59"/>
      <c r="BD24" s="60"/>
      <c r="BE24" s="58"/>
      <c r="BF24" s="59"/>
      <c r="BG24" s="59"/>
      <c r="BH24" s="60"/>
      <c r="BI24" s="58"/>
      <c r="BJ24" s="59"/>
      <c r="BK24" s="59"/>
      <c r="BL24" s="60"/>
      <c r="BM24" s="58"/>
      <c r="BN24" s="59"/>
      <c r="BO24" s="59"/>
      <c r="BP24" s="60"/>
      <c r="BQ24" s="58"/>
      <c r="BR24" s="59"/>
      <c r="BS24" s="59"/>
      <c r="BT24" s="60"/>
      <c r="BU24" s="58"/>
      <c r="BV24" s="59"/>
      <c r="BW24" s="59"/>
      <c r="BX24" s="60"/>
      <c r="BY24" s="58"/>
      <c r="BZ24" s="59"/>
      <c r="CA24" s="59"/>
      <c r="CB24" s="60"/>
      <c r="CC24" s="58"/>
      <c r="CD24" s="59"/>
      <c r="CE24" s="59"/>
      <c r="CF24" s="60"/>
      <c r="CG24" s="36"/>
      <c r="CH24" s="105"/>
      <c r="CI24" s="105"/>
      <c r="CJ24" s="103"/>
      <c r="CK24" s="20"/>
      <c r="CN24"/>
      <c r="CO24"/>
      <c r="CP24"/>
      <c r="CQ24"/>
      <c r="CR24"/>
      <c r="CS24"/>
      <c r="CT24"/>
      <c r="CU24"/>
      <c r="CV24"/>
      <c r="CW24"/>
      <c r="CX24"/>
      <c r="CY24"/>
      <c r="CZ24"/>
      <c r="DA24"/>
      <c r="DL24"/>
      <c r="DM24"/>
    </row>
    <row r="25" spans="2:117" ht="6" customHeight="1" x14ac:dyDescent="0.25">
      <c r="B25" s="102" t="s">
        <v>34</v>
      </c>
      <c r="C25" s="102"/>
      <c r="D25" s="28"/>
      <c r="E25" s="31"/>
      <c r="F25" s="43"/>
      <c r="G25" s="43"/>
      <c r="H25" s="33"/>
      <c r="I25" s="31"/>
      <c r="J25" s="43"/>
      <c r="K25" s="43"/>
      <c r="L25" s="33"/>
      <c r="M25" s="31"/>
      <c r="N25" s="43"/>
      <c r="O25" s="43"/>
      <c r="P25" s="33"/>
      <c r="Q25" s="31"/>
      <c r="R25" s="43"/>
      <c r="S25" s="43"/>
      <c r="T25" s="33"/>
      <c r="U25" s="31"/>
      <c r="V25" s="43"/>
      <c r="W25" s="43"/>
      <c r="X25" s="33"/>
      <c r="Y25" s="31"/>
      <c r="Z25" s="43"/>
      <c r="AA25" s="43"/>
      <c r="AB25" s="33"/>
      <c r="AC25" s="31"/>
      <c r="AD25" s="43"/>
      <c r="AE25" s="43"/>
      <c r="AF25" s="33"/>
      <c r="AG25" s="31"/>
      <c r="AH25" s="43"/>
      <c r="AI25" s="43"/>
      <c r="AJ25" s="33"/>
      <c r="AK25" s="31"/>
      <c r="AL25" s="43"/>
      <c r="AM25" s="43"/>
      <c r="AN25" s="33"/>
      <c r="AO25" s="31"/>
      <c r="AP25" s="43"/>
      <c r="AQ25" s="43"/>
      <c r="AR25" s="33"/>
      <c r="AS25" s="31"/>
      <c r="AT25" s="43"/>
      <c r="AU25" s="43"/>
      <c r="AV25" s="33"/>
      <c r="AW25" s="31"/>
      <c r="AX25" s="43"/>
      <c r="AY25" s="43"/>
      <c r="AZ25" s="33"/>
      <c r="BA25" s="31"/>
      <c r="BB25" s="43"/>
      <c r="BC25" s="43"/>
      <c r="BD25" s="33"/>
      <c r="BE25" s="31"/>
      <c r="BF25" s="43"/>
      <c r="BG25" s="43"/>
      <c r="BH25" s="33"/>
      <c r="BI25" s="31"/>
      <c r="BJ25" s="43"/>
      <c r="BK25" s="43"/>
      <c r="BL25" s="33"/>
      <c r="BM25" s="31"/>
      <c r="BN25" s="43"/>
      <c r="BO25" s="43"/>
      <c r="BP25" s="33"/>
      <c r="BQ25" s="31"/>
      <c r="BR25" s="43"/>
      <c r="BS25" s="43"/>
      <c r="BT25" s="33"/>
      <c r="BU25" s="31"/>
      <c r="BV25" s="43"/>
      <c r="BW25" s="43"/>
      <c r="BX25" s="33"/>
      <c r="BY25" s="31"/>
      <c r="BZ25" s="43"/>
      <c r="CA25" s="43"/>
      <c r="CB25" s="33"/>
      <c r="CC25" s="31"/>
      <c r="CD25" s="43"/>
      <c r="CE25" s="43"/>
      <c r="CF25" s="33"/>
      <c r="CH25" s="29"/>
      <c r="CI25" s="30"/>
      <c r="CJ25" s="103">
        <f>IF(ISBLANK(B25),"",IF(CI26&gt;=CH26,3,IF(CI26=(CH26-1),2,1)))</f>
        <v>2</v>
      </c>
      <c r="CK25" s="20"/>
      <c r="CN25"/>
      <c r="CO25"/>
      <c r="CP25"/>
      <c r="CQ25"/>
      <c r="CR25"/>
      <c r="CS25"/>
      <c r="CT25"/>
      <c r="CU25"/>
      <c r="CV25"/>
      <c r="CW25"/>
      <c r="CX25"/>
      <c r="CY25"/>
      <c r="CZ25"/>
      <c r="DA25"/>
      <c r="DL25"/>
      <c r="DM25"/>
    </row>
    <row r="26" spans="2:117" ht="15" customHeight="1" x14ac:dyDescent="0.25">
      <c r="B26" s="102"/>
      <c r="C26" s="102"/>
      <c r="D26" s="28"/>
      <c r="E26" s="31"/>
      <c r="F26" s="32"/>
      <c r="G26" s="32"/>
      <c r="H26" s="33"/>
      <c r="I26" s="31"/>
      <c r="J26" s="32"/>
      <c r="K26" s="32"/>
      <c r="L26" s="33"/>
      <c r="M26" s="31"/>
      <c r="N26" s="32"/>
      <c r="O26" s="32"/>
      <c r="P26" s="33"/>
      <c r="Q26" s="31"/>
      <c r="R26" s="32"/>
      <c r="S26" s="32"/>
      <c r="T26" s="33"/>
      <c r="U26" s="31"/>
      <c r="V26" s="32"/>
      <c r="W26" s="32"/>
      <c r="X26" s="33"/>
      <c r="Y26" s="31"/>
      <c r="Z26" s="32"/>
      <c r="AA26" s="32"/>
      <c r="AB26" s="33"/>
      <c r="AC26" s="31"/>
      <c r="AD26" s="32"/>
      <c r="AE26" s="32"/>
      <c r="AF26" s="33"/>
      <c r="AG26" s="31"/>
      <c r="AH26" s="32"/>
      <c r="AI26" s="32"/>
      <c r="AJ26" s="33"/>
      <c r="AK26" s="31"/>
      <c r="AL26" s="32"/>
      <c r="AM26" s="32"/>
      <c r="AN26" s="33"/>
      <c r="AO26" s="31"/>
      <c r="AP26" s="32"/>
      <c r="AQ26" s="32"/>
      <c r="AR26" s="33"/>
      <c r="AS26" s="31"/>
      <c r="AT26" s="32"/>
      <c r="AU26" s="32"/>
      <c r="AV26" s="33"/>
      <c r="AW26" s="31"/>
      <c r="AX26" s="32"/>
      <c r="AY26" s="32"/>
      <c r="AZ26" s="33"/>
      <c r="BA26" s="31"/>
      <c r="BB26" s="32"/>
      <c r="BC26" s="32"/>
      <c r="BD26" s="33"/>
      <c r="BE26" s="31"/>
      <c r="BF26" s="32"/>
      <c r="BG26" s="32"/>
      <c r="BH26" s="33"/>
      <c r="BI26" s="31"/>
      <c r="BJ26" s="32"/>
      <c r="BK26" s="32"/>
      <c r="BL26" s="33"/>
      <c r="BM26" s="31"/>
      <c r="BN26" s="32"/>
      <c r="BO26" s="32"/>
      <c r="BP26" s="33"/>
      <c r="BQ26" s="31"/>
      <c r="BR26" s="32"/>
      <c r="BS26" s="32"/>
      <c r="BT26" s="33"/>
      <c r="BU26" s="31"/>
      <c r="BV26" s="32"/>
      <c r="BW26" s="32"/>
      <c r="BX26" s="33"/>
      <c r="BY26" s="31"/>
      <c r="BZ26" s="32"/>
      <c r="CA26" s="32"/>
      <c r="CB26" s="33"/>
      <c r="CC26" s="31"/>
      <c r="CD26" s="32"/>
      <c r="CE26" s="32"/>
      <c r="CF26" s="33"/>
      <c r="CH26" s="34">
        <v>3</v>
      </c>
      <c r="CI26" s="35">
        <f>IF(ISBLANK(B25),"",COUNTIF(B28:CF28,"&gt;=3"))</f>
        <v>2</v>
      </c>
      <c r="CJ26" s="103"/>
      <c r="CK26" s="20"/>
      <c r="CN26"/>
      <c r="CO26"/>
      <c r="CP26"/>
      <c r="CQ26"/>
      <c r="CR26"/>
      <c r="CS26"/>
      <c r="CT26"/>
      <c r="CU26"/>
      <c r="CV26"/>
      <c r="CW26"/>
      <c r="CX26"/>
      <c r="CY26"/>
      <c r="CZ26"/>
      <c r="DA26"/>
      <c r="DL26"/>
      <c r="DM26"/>
    </row>
    <row r="27" spans="2:117" ht="15" customHeight="1" x14ac:dyDescent="0.25">
      <c r="B27" s="102"/>
      <c r="C27" s="102"/>
      <c r="D27" s="28"/>
      <c r="E27" s="31"/>
      <c r="F27" s="32"/>
      <c r="G27" s="32"/>
      <c r="H27" s="33"/>
      <c r="I27" s="31"/>
      <c r="J27" s="32"/>
      <c r="K27" s="32"/>
      <c r="L27" s="33"/>
      <c r="M27" s="31"/>
      <c r="N27" s="32"/>
      <c r="O27" s="32"/>
      <c r="P27" s="33"/>
      <c r="Q27" s="31"/>
      <c r="R27" s="32"/>
      <c r="S27" s="32"/>
      <c r="T27" s="33"/>
      <c r="U27" s="31"/>
      <c r="V27" s="32"/>
      <c r="W27" s="32"/>
      <c r="X27" s="33"/>
      <c r="Y27" s="31"/>
      <c r="Z27" s="32"/>
      <c r="AA27" s="32"/>
      <c r="AB27" s="33"/>
      <c r="AC27" s="31"/>
      <c r="AD27" s="32"/>
      <c r="AE27" s="32"/>
      <c r="AF27" s="33"/>
      <c r="AG27" s="31"/>
      <c r="AH27" s="32"/>
      <c r="AI27" s="32"/>
      <c r="AJ27" s="33"/>
      <c r="AK27" s="31"/>
      <c r="AL27" s="32"/>
      <c r="AM27" s="32"/>
      <c r="AN27" s="33"/>
      <c r="AO27" s="31"/>
      <c r="AP27" s="32"/>
      <c r="AQ27" s="32"/>
      <c r="AR27" s="33"/>
      <c r="AS27" s="31"/>
      <c r="AT27" s="32"/>
      <c r="AU27" s="32"/>
      <c r="AV27" s="33"/>
      <c r="AW27" s="31"/>
      <c r="AX27" s="32"/>
      <c r="AY27" s="32"/>
      <c r="AZ27" s="33"/>
      <c r="BA27" s="31"/>
      <c r="BB27" s="32"/>
      <c r="BC27" s="32"/>
      <c r="BD27" s="33"/>
      <c r="BE27" s="31"/>
      <c r="BF27" s="32"/>
      <c r="BG27" s="32"/>
      <c r="BH27" s="33"/>
      <c r="BI27" s="31"/>
      <c r="BJ27" s="32"/>
      <c r="BK27" s="32"/>
      <c r="BL27" s="33"/>
      <c r="BM27" s="31"/>
      <c r="BN27" s="32"/>
      <c r="BO27" s="32"/>
      <c r="BP27" s="33"/>
      <c r="BQ27" s="31"/>
      <c r="BR27" s="32"/>
      <c r="BS27" s="32"/>
      <c r="BT27" s="33"/>
      <c r="BU27" s="31"/>
      <c r="BV27" s="32"/>
      <c r="BW27" s="32"/>
      <c r="BX27" s="33"/>
      <c r="BY27" s="31"/>
      <c r="BZ27" s="32"/>
      <c r="CA27" s="32"/>
      <c r="CB27" s="33"/>
      <c r="CC27" s="31"/>
      <c r="CD27" s="32"/>
      <c r="CE27" s="32"/>
      <c r="CF27" s="33"/>
      <c r="CH27" s="104" t="str">
        <f>IF(ISBLANK(B25),"","personas cualificadas")</f>
        <v>personas cualificadas</v>
      </c>
      <c r="CI27" s="104" t="str">
        <f>IF(ISBLANK(B25),"","personas cualificadas")</f>
        <v>personas cualificadas</v>
      </c>
      <c r="CJ27" s="103"/>
      <c r="CK27" s="20"/>
      <c r="CN27"/>
      <c r="CO27"/>
      <c r="CP27"/>
      <c r="CQ27"/>
      <c r="CR27"/>
      <c r="CS27"/>
      <c r="CT27"/>
      <c r="CU27"/>
      <c r="CV27"/>
      <c r="CW27"/>
      <c r="CX27"/>
      <c r="CY27"/>
      <c r="CZ27"/>
      <c r="DA27"/>
      <c r="DL27"/>
      <c r="DM27"/>
    </row>
    <row r="28" spans="2:117" x14ac:dyDescent="0.25">
      <c r="B28" s="102"/>
      <c r="C28" s="102"/>
      <c r="D28" s="28"/>
      <c r="E28" s="58"/>
      <c r="F28" s="59"/>
      <c r="G28" s="59"/>
      <c r="H28" s="60"/>
      <c r="I28" s="58">
        <v>4</v>
      </c>
      <c r="J28" s="59"/>
      <c r="K28" s="59"/>
      <c r="L28" s="60"/>
      <c r="M28" s="58">
        <v>4</v>
      </c>
      <c r="N28" s="59"/>
      <c r="O28" s="59"/>
      <c r="P28" s="60"/>
      <c r="Q28" s="58"/>
      <c r="R28" s="59"/>
      <c r="S28" s="59"/>
      <c r="T28" s="60"/>
      <c r="U28" s="58"/>
      <c r="V28" s="59"/>
      <c r="W28" s="59"/>
      <c r="X28" s="60"/>
      <c r="Y28" s="58"/>
      <c r="Z28" s="59"/>
      <c r="AA28" s="59"/>
      <c r="AB28" s="60"/>
      <c r="AC28" s="58"/>
      <c r="AD28" s="59"/>
      <c r="AE28" s="59"/>
      <c r="AF28" s="60"/>
      <c r="AG28" s="58"/>
      <c r="AH28" s="59"/>
      <c r="AI28" s="59"/>
      <c r="AJ28" s="60"/>
      <c r="AK28" s="58"/>
      <c r="AL28" s="59"/>
      <c r="AM28" s="59"/>
      <c r="AN28" s="60"/>
      <c r="AO28" s="58"/>
      <c r="AP28" s="59"/>
      <c r="AQ28" s="59"/>
      <c r="AR28" s="60"/>
      <c r="AS28" s="58"/>
      <c r="AT28" s="59"/>
      <c r="AU28" s="59"/>
      <c r="AV28" s="60"/>
      <c r="AW28" s="58"/>
      <c r="AX28" s="59"/>
      <c r="AY28" s="59"/>
      <c r="AZ28" s="60"/>
      <c r="BA28" s="58"/>
      <c r="BB28" s="59"/>
      <c r="BC28" s="59"/>
      <c r="BD28" s="60"/>
      <c r="BE28" s="58"/>
      <c r="BF28" s="59"/>
      <c r="BG28" s="59"/>
      <c r="BH28" s="60"/>
      <c r="BI28" s="58"/>
      <c r="BJ28" s="59"/>
      <c r="BK28" s="59"/>
      <c r="BL28" s="60"/>
      <c r="BM28" s="58"/>
      <c r="BN28" s="59"/>
      <c r="BO28" s="59"/>
      <c r="BP28" s="60"/>
      <c r="BQ28" s="58"/>
      <c r="BR28" s="59"/>
      <c r="BS28" s="59"/>
      <c r="BT28" s="60"/>
      <c r="BU28" s="58"/>
      <c r="BV28" s="59"/>
      <c r="BW28" s="59"/>
      <c r="BX28" s="60"/>
      <c r="BY28" s="58"/>
      <c r="BZ28" s="59"/>
      <c r="CA28" s="59"/>
      <c r="CB28" s="60"/>
      <c r="CC28" s="58"/>
      <c r="CD28" s="59"/>
      <c r="CE28" s="59"/>
      <c r="CF28" s="60"/>
      <c r="CG28" s="36"/>
      <c r="CH28" s="105"/>
      <c r="CI28" s="105"/>
      <c r="CJ28" s="103"/>
      <c r="CK28" s="20"/>
      <c r="CN28"/>
      <c r="CO28"/>
      <c r="CP28"/>
      <c r="CQ28"/>
      <c r="CR28"/>
      <c r="CS28"/>
      <c r="CT28"/>
      <c r="CU28"/>
      <c r="CV28"/>
      <c r="CW28"/>
      <c r="CX28"/>
      <c r="CY28"/>
      <c r="CZ28"/>
      <c r="DA28"/>
      <c r="DL28"/>
      <c r="DM28"/>
    </row>
    <row r="29" spans="2:117" ht="6" customHeight="1" x14ac:dyDescent="0.25">
      <c r="B29" s="102" t="s">
        <v>35</v>
      </c>
      <c r="C29" s="102"/>
      <c r="D29" s="28"/>
      <c r="E29" s="31"/>
      <c r="F29" s="43"/>
      <c r="G29" s="43"/>
      <c r="H29" s="33"/>
      <c r="I29" s="31"/>
      <c r="J29" s="43"/>
      <c r="K29" s="43"/>
      <c r="L29" s="33"/>
      <c r="M29" s="31"/>
      <c r="N29" s="43"/>
      <c r="O29" s="43"/>
      <c r="P29" s="33"/>
      <c r="Q29" s="31"/>
      <c r="R29" s="43"/>
      <c r="S29" s="43"/>
      <c r="T29" s="33"/>
      <c r="U29" s="31"/>
      <c r="V29" s="43"/>
      <c r="W29" s="43"/>
      <c r="X29" s="33"/>
      <c r="Y29" s="31"/>
      <c r="Z29" s="43"/>
      <c r="AA29" s="43"/>
      <c r="AB29" s="33"/>
      <c r="AC29" s="31"/>
      <c r="AD29" s="43"/>
      <c r="AE29" s="43"/>
      <c r="AF29" s="33"/>
      <c r="AG29" s="31"/>
      <c r="AH29" s="43"/>
      <c r="AI29" s="43"/>
      <c r="AJ29" s="33"/>
      <c r="AK29" s="31"/>
      <c r="AL29" s="43"/>
      <c r="AM29" s="43"/>
      <c r="AN29" s="33"/>
      <c r="AO29" s="31"/>
      <c r="AP29" s="43"/>
      <c r="AQ29" s="43"/>
      <c r="AR29" s="33"/>
      <c r="AS29" s="31"/>
      <c r="AT29" s="43"/>
      <c r="AU29" s="43"/>
      <c r="AV29" s="33"/>
      <c r="AW29" s="31"/>
      <c r="AX29" s="43"/>
      <c r="AY29" s="43"/>
      <c r="AZ29" s="33"/>
      <c r="BA29" s="31"/>
      <c r="BB29" s="43"/>
      <c r="BC29" s="43"/>
      <c r="BD29" s="33"/>
      <c r="BE29" s="31"/>
      <c r="BF29" s="43"/>
      <c r="BG29" s="43"/>
      <c r="BH29" s="33"/>
      <c r="BI29" s="31"/>
      <c r="BJ29" s="43"/>
      <c r="BK29" s="43"/>
      <c r="BL29" s="33"/>
      <c r="BM29" s="31"/>
      <c r="BN29" s="43"/>
      <c r="BO29" s="43"/>
      <c r="BP29" s="33"/>
      <c r="BQ29" s="31"/>
      <c r="BR29" s="43"/>
      <c r="BS29" s="43"/>
      <c r="BT29" s="33"/>
      <c r="BU29" s="31"/>
      <c r="BV29" s="43"/>
      <c r="BW29" s="43"/>
      <c r="BX29" s="33"/>
      <c r="BY29" s="31"/>
      <c r="BZ29" s="43"/>
      <c r="CA29" s="43"/>
      <c r="CB29" s="33"/>
      <c r="CC29" s="31"/>
      <c r="CD29" s="43"/>
      <c r="CE29" s="43"/>
      <c r="CF29" s="33"/>
      <c r="CH29" s="29"/>
      <c r="CI29" s="30"/>
      <c r="CJ29" s="103">
        <f>IF(ISBLANK(B29),"",IF(CI30&gt;=CH30,3,IF(CI30=(CH30-1),2,1)))</f>
        <v>3</v>
      </c>
      <c r="CK29" s="20"/>
      <c r="CN29"/>
      <c r="CO29"/>
      <c r="CP29"/>
      <c r="CQ29"/>
      <c r="CR29"/>
      <c r="CS29"/>
      <c r="CT29"/>
      <c r="CU29"/>
      <c r="CV29"/>
      <c r="CW29"/>
      <c r="CX29"/>
      <c r="CY29"/>
      <c r="CZ29"/>
      <c r="DA29"/>
      <c r="DL29"/>
      <c r="DM29"/>
    </row>
    <row r="30" spans="2:117" ht="15" customHeight="1" x14ac:dyDescent="0.25">
      <c r="B30" s="102"/>
      <c r="C30" s="102"/>
      <c r="D30" s="28"/>
      <c r="E30" s="31"/>
      <c r="F30" s="32"/>
      <c r="G30" s="32"/>
      <c r="H30" s="33"/>
      <c r="I30" s="31"/>
      <c r="J30" s="32"/>
      <c r="K30" s="32"/>
      <c r="L30" s="33"/>
      <c r="M30" s="31"/>
      <c r="N30" s="32"/>
      <c r="O30" s="32"/>
      <c r="P30" s="33"/>
      <c r="Q30" s="31"/>
      <c r="R30" s="32"/>
      <c r="S30" s="32"/>
      <c r="T30" s="33"/>
      <c r="U30" s="31"/>
      <c r="V30" s="32"/>
      <c r="W30" s="32"/>
      <c r="X30" s="33"/>
      <c r="Y30" s="31"/>
      <c r="Z30" s="32"/>
      <c r="AA30" s="32"/>
      <c r="AB30" s="33"/>
      <c r="AC30" s="31"/>
      <c r="AD30" s="32"/>
      <c r="AE30" s="32"/>
      <c r="AF30" s="33"/>
      <c r="AG30" s="31"/>
      <c r="AH30" s="32"/>
      <c r="AI30" s="32"/>
      <c r="AJ30" s="33"/>
      <c r="AK30" s="31"/>
      <c r="AL30" s="32"/>
      <c r="AM30" s="32"/>
      <c r="AN30" s="33"/>
      <c r="AO30" s="31"/>
      <c r="AP30" s="32"/>
      <c r="AQ30" s="32"/>
      <c r="AR30" s="33"/>
      <c r="AS30" s="31"/>
      <c r="AT30" s="32"/>
      <c r="AU30" s="32"/>
      <c r="AV30" s="33"/>
      <c r="AW30" s="31"/>
      <c r="AX30" s="32"/>
      <c r="AY30" s="32"/>
      <c r="AZ30" s="33"/>
      <c r="BA30" s="31"/>
      <c r="BB30" s="32"/>
      <c r="BC30" s="32"/>
      <c r="BD30" s="33"/>
      <c r="BE30" s="31"/>
      <c r="BF30" s="32"/>
      <c r="BG30" s="32"/>
      <c r="BH30" s="33"/>
      <c r="BI30" s="31"/>
      <c r="BJ30" s="32"/>
      <c r="BK30" s="32"/>
      <c r="BL30" s="33"/>
      <c r="BM30" s="31"/>
      <c r="BN30" s="32"/>
      <c r="BO30" s="32"/>
      <c r="BP30" s="33"/>
      <c r="BQ30" s="31"/>
      <c r="BR30" s="32"/>
      <c r="BS30" s="32"/>
      <c r="BT30" s="33"/>
      <c r="BU30" s="31"/>
      <c r="BV30" s="32"/>
      <c r="BW30" s="32"/>
      <c r="BX30" s="33"/>
      <c r="BY30" s="31"/>
      <c r="BZ30" s="32"/>
      <c r="CA30" s="32"/>
      <c r="CB30" s="33"/>
      <c r="CC30" s="31"/>
      <c r="CD30" s="32"/>
      <c r="CE30" s="32"/>
      <c r="CF30" s="33"/>
      <c r="CH30" s="34">
        <v>3</v>
      </c>
      <c r="CI30" s="35">
        <f>IF(ISBLANK(B29),"",COUNTIF(B32:CF32,"&gt;=3"))</f>
        <v>5</v>
      </c>
      <c r="CJ30" s="103"/>
      <c r="CK30" s="20"/>
      <c r="CN30"/>
      <c r="CO30"/>
      <c r="CP30"/>
      <c r="CQ30"/>
      <c r="CR30"/>
      <c r="CS30"/>
      <c r="CT30"/>
      <c r="CU30"/>
      <c r="CV30"/>
      <c r="CW30"/>
      <c r="CX30"/>
      <c r="CY30"/>
      <c r="CZ30"/>
      <c r="DA30"/>
      <c r="DL30"/>
      <c r="DM30"/>
    </row>
    <row r="31" spans="2:117" ht="15" customHeight="1" x14ac:dyDescent="0.25">
      <c r="B31" s="102"/>
      <c r="C31" s="102"/>
      <c r="D31" s="28"/>
      <c r="E31" s="31"/>
      <c r="F31" s="32"/>
      <c r="G31" s="32"/>
      <c r="H31" s="33"/>
      <c r="I31" s="31"/>
      <c r="J31" s="32"/>
      <c r="K31" s="32"/>
      <c r="L31" s="33"/>
      <c r="M31" s="31"/>
      <c r="N31" s="32"/>
      <c r="O31" s="32"/>
      <c r="P31" s="33"/>
      <c r="Q31" s="31"/>
      <c r="R31" s="32"/>
      <c r="S31" s="32"/>
      <c r="T31" s="33"/>
      <c r="U31" s="31"/>
      <c r="V31" s="32"/>
      <c r="W31" s="32"/>
      <c r="X31" s="33"/>
      <c r="Y31" s="31"/>
      <c r="Z31" s="32"/>
      <c r="AA31" s="32"/>
      <c r="AB31" s="33"/>
      <c r="AC31" s="31"/>
      <c r="AD31" s="32"/>
      <c r="AE31" s="32"/>
      <c r="AF31" s="33"/>
      <c r="AG31" s="31"/>
      <c r="AH31" s="32"/>
      <c r="AI31" s="32"/>
      <c r="AJ31" s="33"/>
      <c r="AK31" s="31"/>
      <c r="AL31" s="32"/>
      <c r="AM31" s="32"/>
      <c r="AN31" s="33"/>
      <c r="AO31" s="31"/>
      <c r="AP31" s="32"/>
      <c r="AQ31" s="32"/>
      <c r="AR31" s="33"/>
      <c r="AS31" s="31"/>
      <c r="AT31" s="32"/>
      <c r="AU31" s="32"/>
      <c r="AV31" s="33"/>
      <c r="AW31" s="31"/>
      <c r="AX31" s="32"/>
      <c r="AY31" s="32"/>
      <c r="AZ31" s="33"/>
      <c r="BA31" s="31"/>
      <c r="BB31" s="32"/>
      <c r="BC31" s="32"/>
      <c r="BD31" s="33"/>
      <c r="BE31" s="31"/>
      <c r="BF31" s="32"/>
      <c r="BG31" s="32"/>
      <c r="BH31" s="33"/>
      <c r="BI31" s="31"/>
      <c r="BJ31" s="32"/>
      <c r="BK31" s="32"/>
      <c r="BL31" s="33"/>
      <c r="BM31" s="31"/>
      <c r="BN31" s="32"/>
      <c r="BO31" s="32"/>
      <c r="BP31" s="33"/>
      <c r="BQ31" s="31"/>
      <c r="BR31" s="32"/>
      <c r="BS31" s="32"/>
      <c r="BT31" s="33"/>
      <c r="BU31" s="31"/>
      <c r="BV31" s="32"/>
      <c r="BW31" s="32"/>
      <c r="BX31" s="33"/>
      <c r="BY31" s="31"/>
      <c r="BZ31" s="32"/>
      <c r="CA31" s="32"/>
      <c r="CB31" s="33"/>
      <c r="CC31" s="31"/>
      <c r="CD31" s="32"/>
      <c r="CE31" s="32"/>
      <c r="CF31" s="33"/>
      <c r="CH31" s="104" t="str">
        <f>IF(ISBLANK(B29),"","personas cualificadas")</f>
        <v>personas cualificadas</v>
      </c>
      <c r="CI31" s="104" t="str">
        <f>IF(ISBLANK(B29),"","personas cualificadas")</f>
        <v>personas cualificadas</v>
      </c>
      <c r="CJ31" s="103"/>
      <c r="CK31" s="20"/>
      <c r="CN31"/>
      <c r="CO31"/>
      <c r="CP31"/>
      <c r="CQ31"/>
      <c r="CR31"/>
      <c r="CS31"/>
      <c r="CT31"/>
      <c r="CU31"/>
      <c r="CV31"/>
      <c r="CW31"/>
      <c r="CX31"/>
      <c r="CY31"/>
      <c r="CZ31"/>
      <c r="DA31"/>
      <c r="DL31"/>
      <c r="DM31"/>
    </row>
    <row r="32" spans="2:117" x14ac:dyDescent="0.25">
      <c r="B32" s="102"/>
      <c r="C32" s="102"/>
      <c r="D32" s="28"/>
      <c r="E32" s="58">
        <v>4</v>
      </c>
      <c r="F32" s="59"/>
      <c r="G32" s="59"/>
      <c r="H32" s="60"/>
      <c r="I32" s="58"/>
      <c r="J32" s="59"/>
      <c r="K32" s="59"/>
      <c r="L32" s="60"/>
      <c r="M32" s="58"/>
      <c r="N32" s="59"/>
      <c r="O32" s="59"/>
      <c r="P32" s="60"/>
      <c r="Q32" s="58">
        <v>4</v>
      </c>
      <c r="R32" s="59"/>
      <c r="S32" s="59"/>
      <c r="T32" s="60"/>
      <c r="U32" s="58">
        <v>4</v>
      </c>
      <c r="V32" s="59"/>
      <c r="W32" s="59"/>
      <c r="X32" s="60"/>
      <c r="Y32" s="58">
        <v>4</v>
      </c>
      <c r="Z32" s="59"/>
      <c r="AA32" s="59"/>
      <c r="AB32" s="60"/>
      <c r="AC32" s="58">
        <v>4</v>
      </c>
      <c r="AD32" s="59"/>
      <c r="AE32" s="59"/>
      <c r="AF32" s="60"/>
      <c r="AG32" s="58"/>
      <c r="AH32" s="59"/>
      <c r="AI32" s="59"/>
      <c r="AJ32" s="60"/>
      <c r="AK32" s="58"/>
      <c r="AL32" s="59"/>
      <c r="AM32" s="59"/>
      <c r="AN32" s="60"/>
      <c r="AO32" s="58"/>
      <c r="AP32" s="59"/>
      <c r="AQ32" s="59"/>
      <c r="AR32" s="60"/>
      <c r="AS32" s="58"/>
      <c r="AT32" s="59"/>
      <c r="AU32" s="59"/>
      <c r="AV32" s="60"/>
      <c r="AW32" s="58"/>
      <c r="AX32" s="59"/>
      <c r="AY32" s="59"/>
      <c r="AZ32" s="60"/>
      <c r="BA32" s="58"/>
      <c r="BB32" s="59"/>
      <c r="BC32" s="59"/>
      <c r="BD32" s="60"/>
      <c r="BE32" s="58"/>
      <c r="BF32" s="59"/>
      <c r="BG32" s="59"/>
      <c r="BH32" s="60"/>
      <c r="BI32" s="58"/>
      <c r="BJ32" s="59"/>
      <c r="BK32" s="59"/>
      <c r="BL32" s="60"/>
      <c r="BM32" s="58"/>
      <c r="BN32" s="59"/>
      <c r="BO32" s="59"/>
      <c r="BP32" s="60"/>
      <c r="BQ32" s="58"/>
      <c r="BR32" s="59"/>
      <c r="BS32" s="59"/>
      <c r="BT32" s="60"/>
      <c r="BU32" s="58"/>
      <c r="BV32" s="59"/>
      <c r="BW32" s="59"/>
      <c r="BX32" s="60"/>
      <c r="BY32" s="58"/>
      <c r="BZ32" s="59"/>
      <c r="CA32" s="59"/>
      <c r="CB32" s="60"/>
      <c r="CC32" s="58"/>
      <c r="CD32" s="59"/>
      <c r="CE32" s="59"/>
      <c r="CF32" s="60"/>
      <c r="CG32" s="36"/>
      <c r="CH32" s="105"/>
      <c r="CI32" s="105"/>
      <c r="CJ32" s="103"/>
      <c r="CK32" s="20"/>
      <c r="CN32"/>
      <c r="CO32"/>
      <c r="CP32"/>
      <c r="CQ32"/>
      <c r="CR32"/>
      <c r="CS32"/>
      <c r="CT32"/>
      <c r="CU32"/>
      <c r="CV32"/>
      <c r="CW32"/>
      <c r="CX32"/>
      <c r="CY32"/>
      <c r="CZ32"/>
      <c r="DA32"/>
      <c r="DL32"/>
      <c r="DM32"/>
    </row>
    <row r="33" spans="2:117" ht="6" customHeight="1" x14ac:dyDescent="0.25">
      <c r="B33" s="102" t="s">
        <v>36</v>
      </c>
      <c r="C33" s="102"/>
      <c r="D33" s="28"/>
      <c r="E33" s="31"/>
      <c r="F33" s="43"/>
      <c r="G33" s="43"/>
      <c r="H33" s="33"/>
      <c r="I33" s="31"/>
      <c r="J33" s="43"/>
      <c r="K33" s="43"/>
      <c r="L33" s="33"/>
      <c r="M33" s="31"/>
      <c r="N33" s="43"/>
      <c r="O33" s="43"/>
      <c r="P33" s="33"/>
      <c r="Q33" s="31"/>
      <c r="R33" s="43"/>
      <c r="S33" s="43"/>
      <c r="T33" s="33"/>
      <c r="U33" s="31"/>
      <c r="V33" s="43"/>
      <c r="W33" s="43"/>
      <c r="X33" s="33"/>
      <c r="Y33" s="31"/>
      <c r="Z33" s="43"/>
      <c r="AA33" s="43"/>
      <c r="AB33" s="33"/>
      <c r="AC33" s="31"/>
      <c r="AD33" s="43"/>
      <c r="AE33" s="43"/>
      <c r="AF33" s="33"/>
      <c r="AG33" s="31"/>
      <c r="AH33" s="43"/>
      <c r="AI33" s="43"/>
      <c r="AJ33" s="33"/>
      <c r="AK33" s="31"/>
      <c r="AL33" s="43"/>
      <c r="AM33" s="43"/>
      <c r="AN33" s="33"/>
      <c r="AO33" s="31"/>
      <c r="AP33" s="43"/>
      <c r="AQ33" s="43"/>
      <c r="AR33" s="33"/>
      <c r="AS33" s="31"/>
      <c r="AT33" s="43"/>
      <c r="AU33" s="43"/>
      <c r="AV33" s="33"/>
      <c r="AW33" s="31"/>
      <c r="AX33" s="43"/>
      <c r="AY33" s="43"/>
      <c r="AZ33" s="33"/>
      <c r="BA33" s="31"/>
      <c r="BB33" s="43"/>
      <c r="BC33" s="43"/>
      <c r="BD33" s="33"/>
      <c r="BE33" s="31"/>
      <c r="BF33" s="43"/>
      <c r="BG33" s="43"/>
      <c r="BH33" s="33"/>
      <c r="BI33" s="31"/>
      <c r="BJ33" s="43"/>
      <c r="BK33" s="43"/>
      <c r="BL33" s="33"/>
      <c r="BM33" s="31"/>
      <c r="BN33" s="43"/>
      <c r="BO33" s="43"/>
      <c r="BP33" s="33"/>
      <c r="BQ33" s="31"/>
      <c r="BR33" s="43"/>
      <c r="BS33" s="43"/>
      <c r="BT33" s="33"/>
      <c r="BU33" s="31"/>
      <c r="BV33" s="43"/>
      <c r="BW33" s="43"/>
      <c r="BX33" s="33"/>
      <c r="BY33" s="31"/>
      <c r="BZ33" s="43"/>
      <c r="CA33" s="43"/>
      <c r="CB33" s="33"/>
      <c r="CC33" s="31"/>
      <c r="CD33" s="43"/>
      <c r="CE33" s="43"/>
      <c r="CF33" s="33"/>
      <c r="CH33" s="29"/>
      <c r="CI33" s="30"/>
      <c r="CJ33" s="103">
        <f>IF(ISBLANK(B33),"",IF(CI34&gt;=CH34,3,IF(CI34=(CH34-1),2,1)))</f>
        <v>3</v>
      </c>
      <c r="CK33" s="20"/>
      <c r="CN33"/>
      <c r="CO33"/>
      <c r="CP33"/>
      <c r="CQ33"/>
      <c r="CR33"/>
      <c r="CS33"/>
      <c r="CT33"/>
      <c r="CU33"/>
      <c r="CV33"/>
      <c r="CW33"/>
      <c r="CX33"/>
      <c r="CY33"/>
      <c r="CZ33"/>
      <c r="DA33"/>
      <c r="DL33"/>
      <c r="DM33"/>
    </row>
    <row r="34" spans="2:117" ht="15" customHeight="1" x14ac:dyDescent="0.25">
      <c r="B34" s="102"/>
      <c r="C34" s="102"/>
      <c r="D34" s="28"/>
      <c r="E34" s="31"/>
      <c r="F34" s="32"/>
      <c r="G34" s="32"/>
      <c r="H34" s="33"/>
      <c r="I34" s="31"/>
      <c r="J34" s="32"/>
      <c r="K34" s="32"/>
      <c r="L34" s="33"/>
      <c r="M34" s="31"/>
      <c r="N34" s="32"/>
      <c r="O34" s="32"/>
      <c r="P34" s="33"/>
      <c r="Q34" s="31"/>
      <c r="R34" s="32"/>
      <c r="S34" s="32"/>
      <c r="T34" s="33"/>
      <c r="U34" s="31"/>
      <c r="V34" s="32"/>
      <c r="W34" s="32"/>
      <c r="X34" s="33"/>
      <c r="Y34" s="31"/>
      <c r="Z34" s="32"/>
      <c r="AA34" s="32"/>
      <c r="AB34" s="33"/>
      <c r="AC34" s="31"/>
      <c r="AD34" s="32"/>
      <c r="AE34" s="32"/>
      <c r="AF34" s="33"/>
      <c r="AG34" s="31"/>
      <c r="AH34" s="32"/>
      <c r="AI34" s="32"/>
      <c r="AJ34" s="33"/>
      <c r="AK34" s="31"/>
      <c r="AL34" s="32"/>
      <c r="AM34" s="32"/>
      <c r="AN34" s="33"/>
      <c r="AO34" s="31"/>
      <c r="AP34" s="32"/>
      <c r="AQ34" s="32"/>
      <c r="AR34" s="33"/>
      <c r="AS34" s="31"/>
      <c r="AT34" s="32"/>
      <c r="AU34" s="32"/>
      <c r="AV34" s="33"/>
      <c r="AW34" s="31"/>
      <c r="AX34" s="32"/>
      <c r="AY34" s="32"/>
      <c r="AZ34" s="33"/>
      <c r="BA34" s="31"/>
      <c r="BB34" s="32"/>
      <c r="BC34" s="32"/>
      <c r="BD34" s="33"/>
      <c r="BE34" s="31"/>
      <c r="BF34" s="32"/>
      <c r="BG34" s="32"/>
      <c r="BH34" s="33"/>
      <c r="BI34" s="31"/>
      <c r="BJ34" s="32"/>
      <c r="BK34" s="32"/>
      <c r="BL34" s="33"/>
      <c r="BM34" s="31"/>
      <c r="BN34" s="32"/>
      <c r="BO34" s="32"/>
      <c r="BP34" s="33"/>
      <c r="BQ34" s="31"/>
      <c r="BR34" s="32"/>
      <c r="BS34" s="32"/>
      <c r="BT34" s="33"/>
      <c r="BU34" s="31"/>
      <c r="BV34" s="32"/>
      <c r="BW34" s="32"/>
      <c r="BX34" s="33"/>
      <c r="BY34" s="31"/>
      <c r="BZ34" s="32"/>
      <c r="CA34" s="32"/>
      <c r="CB34" s="33"/>
      <c r="CC34" s="31"/>
      <c r="CD34" s="32"/>
      <c r="CE34" s="32"/>
      <c r="CF34" s="33"/>
      <c r="CH34" s="34">
        <v>3</v>
      </c>
      <c r="CI34" s="35">
        <f>IF(ISBLANK(B33),"",COUNTIF(B36:CF36,"&gt;=3"))</f>
        <v>5</v>
      </c>
      <c r="CJ34" s="103"/>
      <c r="CK34" s="20"/>
      <c r="CN34"/>
      <c r="CO34"/>
      <c r="CP34"/>
      <c r="CQ34"/>
      <c r="CR34"/>
      <c r="CS34"/>
      <c r="CT34"/>
      <c r="CU34"/>
      <c r="CV34"/>
      <c r="CW34"/>
      <c r="CX34"/>
      <c r="CY34"/>
      <c r="CZ34"/>
      <c r="DA34"/>
      <c r="DL34"/>
      <c r="DM34"/>
    </row>
    <row r="35" spans="2:117" ht="15" customHeight="1" x14ac:dyDescent="0.25">
      <c r="B35" s="102"/>
      <c r="C35" s="102"/>
      <c r="D35" s="28"/>
      <c r="E35" s="31"/>
      <c r="F35" s="32"/>
      <c r="G35" s="32"/>
      <c r="H35" s="33"/>
      <c r="I35" s="31"/>
      <c r="J35" s="32"/>
      <c r="K35" s="32"/>
      <c r="L35" s="33"/>
      <c r="M35" s="31"/>
      <c r="N35" s="32"/>
      <c r="O35" s="32"/>
      <c r="P35" s="33"/>
      <c r="Q35" s="31"/>
      <c r="R35" s="32"/>
      <c r="S35" s="32"/>
      <c r="T35" s="33"/>
      <c r="U35" s="31"/>
      <c r="V35" s="32"/>
      <c r="W35" s="32"/>
      <c r="X35" s="33"/>
      <c r="Y35" s="31"/>
      <c r="Z35" s="32"/>
      <c r="AA35" s="32"/>
      <c r="AB35" s="33"/>
      <c r="AC35" s="31"/>
      <c r="AD35" s="32"/>
      <c r="AE35" s="32"/>
      <c r="AF35" s="33"/>
      <c r="AG35" s="31"/>
      <c r="AH35" s="32"/>
      <c r="AI35" s="32"/>
      <c r="AJ35" s="33"/>
      <c r="AK35" s="31"/>
      <c r="AL35" s="32"/>
      <c r="AM35" s="32"/>
      <c r="AN35" s="33"/>
      <c r="AO35" s="31"/>
      <c r="AP35" s="32"/>
      <c r="AQ35" s="32"/>
      <c r="AR35" s="33"/>
      <c r="AS35" s="31"/>
      <c r="AT35" s="32"/>
      <c r="AU35" s="32"/>
      <c r="AV35" s="33"/>
      <c r="AW35" s="31"/>
      <c r="AX35" s="32"/>
      <c r="AY35" s="32"/>
      <c r="AZ35" s="33"/>
      <c r="BA35" s="31"/>
      <c r="BB35" s="32"/>
      <c r="BC35" s="32"/>
      <c r="BD35" s="33"/>
      <c r="BE35" s="31"/>
      <c r="BF35" s="32"/>
      <c r="BG35" s="32"/>
      <c r="BH35" s="33"/>
      <c r="BI35" s="31"/>
      <c r="BJ35" s="32"/>
      <c r="BK35" s="32"/>
      <c r="BL35" s="33"/>
      <c r="BM35" s="31"/>
      <c r="BN35" s="32"/>
      <c r="BO35" s="32"/>
      <c r="BP35" s="33"/>
      <c r="BQ35" s="31"/>
      <c r="BR35" s="32"/>
      <c r="BS35" s="32"/>
      <c r="BT35" s="33"/>
      <c r="BU35" s="31"/>
      <c r="BV35" s="32"/>
      <c r="BW35" s="32"/>
      <c r="BX35" s="33"/>
      <c r="BY35" s="31"/>
      <c r="BZ35" s="32"/>
      <c r="CA35" s="32"/>
      <c r="CB35" s="33"/>
      <c r="CC35" s="31"/>
      <c r="CD35" s="32"/>
      <c r="CE35" s="32"/>
      <c r="CF35" s="33"/>
      <c r="CH35" s="104" t="str">
        <f>IF(ISBLANK(B33),"","personas cualificadas")</f>
        <v>personas cualificadas</v>
      </c>
      <c r="CI35" s="104" t="str">
        <f>IF(ISBLANK(B33),"","personas cualificadas")</f>
        <v>personas cualificadas</v>
      </c>
      <c r="CJ35" s="103"/>
      <c r="CK35" s="20"/>
      <c r="CN35"/>
      <c r="CO35"/>
      <c r="CP35"/>
      <c r="CQ35"/>
      <c r="CR35"/>
      <c r="CS35"/>
      <c r="CT35"/>
      <c r="CU35"/>
      <c r="CV35"/>
      <c r="CW35"/>
      <c r="CX35"/>
      <c r="CY35"/>
      <c r="CZ35"/>
      <c r="DA35"/>
      <c r="DL35"/>
      <c r="DM35"/>
    </row>
    <row r="36" spans="2:117" x14ac:dyDescent="0.25">
      <c r="B36" s="102"/>
      <c r="C36" s="102"/>
      <c r="D36" s="28"/>
      <c r="E36" s="58">
        <v>4</v>
      </c>
      <c r="F36" s="59"/>
      <c r="G36" s="59"/>
      <c r="H36" s="60"/>
      <c r="I36" s="58"/>
      <c r="J36" s="59"/>
      <c r="K36" s="59"/>
      <c r="L36" s="60"/>
      <c r="M36" s="58"/>
      <c r="N36" s="59"/>
      <c r="O36" s="59"/>
      <c r="P36" s="60"/>
      <c r="Q36" s="58">
        <v>4</v>
      </c>
      <c r="R36" s="59"/>
      <c r="S36" s="59"/>
      <c r="T36" s="60"/>
      <c r="U36" s="58">
        <v>4</v>
      </c>
      <c r="V36" s="59"/>
      <c r="W36" s="59"/>
      <c r="X36" s="60"/>
      <c r="Y36" s="58">
        <v>4</v>
      </c>
      <c r="Z36" s="59"/>
      <c r="AA36" s="59"/>
      <c r="AB36" s="60"/>
      <c r="AC36" s="58">
        <v>3</v>
      </c>
      <c r="AD36" s="59"/>
      <c r="AE36" s="59"/>
      <c r="AF36" s="60"/>
      <c r="AG36" s="58"/>
      <c r="AH36" s="59"/>
      <c r="AI36" s="59"/>
      <c r="AJ36" s="60"/>
      <c r="AK36" s="58"/>
      <c r="AL36" s="59"/>
      <c r="AM36" s="59"/>
      <c r="AN36" s="60"/>
      <c r="AO36" s="58"/>
      <c r="AP36" s="59"/>
      <c r="AQ36" s="59"/>
      <c r="AR36" s="60"/>
      <c r="AS36" s="58"/>
      <c r="AT36" s="59"/>
      <c r="AU36" s="59"/>
      <c r="AV36" s="60"/>
      <c r="AW36" s="58"/>
      <c r="AX36" s="59"/>
      <c r="AY36" s="59"/>
      <c r="AZ36" s="60"/>
      <c r="BA36" s="58"/>
      <c r="BB36" s="59"/>
      <c r="BC36" s="59"/>
      <c r="BD36" s="60"/>
      <c r="BE36" s="58"/>
      <c r="BF36" s="59"/>
      <c r="BG36" s="59"/>
      <c r="BH36" s="60"/>
      <c r="BI36" s="58"/>
      <c r="BJ36" s="59"/>
      <c r="BK36" s="59"/>
      <c r="BL36" s="60"/>
      <c r="BM36" s="58"/>
      <c r="BN36" s="59"/>
      <c r="BO36" s="59"/>
      <c r="BP36" s="60"/>
      <c r="BQ36" s="58"/>
      <c r="BR36" s="59"/>
      <c r="BS36" s="59"/>
      <c r="BT36" s="60"/>
      <c r="BU36" s="58"/>
      <c r="BV36" s="59"/>
      <c r="BW36" s="59"/>
      <c r="BX36" s="60"/>
      <c r="BY36" s="58"/>
      <c r="BZ36" s="59"/>
      <c r="CA36" s="59"/>
      <c r="CB36" s="60"/>
      <c r="CC36" s="58"/>
      <c r="CD36" s="59"/>
      <c r="CE36" s="59"/>
      <c r="CF36" s="60"/>
      <c r="CG36" s="36"/>
      <c r="CH36" s="105"/>
      <c r="CI36" s="105"/>
      <c r="CJ36" s="103"/>
      <c r="CK36" s="20"/>
      <c r="CN36"/>
      <c r="CO36"/>
      <c r="CP36"/>
      <c r="CQ36"/>
      <c r="CR36"/>
      <c r="CS36"/>
      <c r="CT36"/>
      <c r="CU36"/>
      <c r="CV36"/>
      <c r="CW36"/>
      <c r="CX36"/>
      <c r="CY36"/>
      <c r="CZ36"/>
      <c r="DA36"/>
      <c r="DL36"/>
      <c r="DM36"/>
    </row>
    <row r="37" spans="2:117" s="37" customFormat="1" ht="6.75" customHeight="1" x14ac:dyDescent="0.2">
      <c r="D37" s="38"/>
      <c r="E37" s="115">
        <f>SUM(E13:H36)</f>
        <v>8</v>
      </c>
      <c r="F37" s="115"/>
      <c r="G37" s="115">
        <f>COUNT(E13:H36)*4</f>
        <v>8</v>
      </c>
      <c r="H37" s="115"/>
      <c r="I37" s="115">
        <f>SUM(I13:L36)</f>
        <v>16</v>
      </c>
      <c r="J37" s="115"/>
      <c r="K37" s="115">
        <f>COUNT(I13:L36)*4</f>
        <v>16</v>
      </c>
      <c r="L37" s="115"/>
      <c r="M37" s="115">
        <f>SUM(M13:P36)</f>
        <v>8</v>
      </c>
      <c r="N37" s="115"/>
      <c r="O37" s="115">
        <f>COUNT(M13:P36)*4</f>
        <v>8</v>
      </c>
      <c r="P37" s="115"/>
      <c r="Q37" s="115">
        <f>SUM(Q13:T36)</f>
        <v>8</v>
      </c>
      <c r="R37" s="115"/>
      <c r="S37" s="115">
        <f>COUNT(Q13:T36)*4</f>
        <v>8</v>
      </c>
      <c r="T37" s="115"/>
      <c r="U37" s="115">
        <f>SUM(U13:X36)</f>
        <v>8</v>
      </c>
      <c r="V37" s="115"/>
      <c r="W37" s="115">
        <f>COUNT(U13:X36)*4</f>
        <v>8</v>
      </c>
      <c r="X37" s="115"/>
      <c r="Y37" s="115">
        <f>SUM(Y13:AB36)</f>
        <v>8</v>
      </c>
      <c r="Z37" s="115"/>
      <c r="AA37" s="115">
        <f>COUNT(Y13:AB36)*4</f>
        <v>8</v>
      </c>
      <c r="AB37" s="115"/>
      <c r="AC37" s="115">
        <f>SUM(AC13:AF36)</f>
        <v>7</v>
      </c>
      <c r="AD37" s="115"/>
      <c r="AE37" s="115">
        <f>COUNT(AC13:AF36)*4</f>
        <v>8</v>
      </c>
      <c r="AF37" s="115"/>
      <c r="AG37" s="106">
        <f>SUM(AG13:AJ36)</f>
        <v>0</v>
      </c>
      <c r="AH37" s="106"/>
      <c r="AI37" s="106">
        <f>COUNT(AG13:AJ36)*4</f>
        <v>0</v>
      </c>
      <c r="AJ37" s="106"/>
      <c r="AK37" s="106">
        <f>SUM(AK13:AN36)</f>
        <v>0</v>
      </c>
      <c r="AL37" s="106"/>
      <c r="AM37" s="106">
        <f>COUNT(AK13:AN36)*4</f>
        <v>0</v>
      </c>
      <c r="AN37" s="106"/>
      <c r="AO37" s="106">
        <f>SUM(AO13:AR36)</f>
        <v>0</v>
      </c>
      <c r="AP37" s="106"/>
      <c r="AQ37" s="106">
        <f>COUNT(AO13:AR36)*4</f>
        <v>0</v>
      </c>
      <c r="AR37" s="106"/>
      <c r="AS37" s="106">
        <f>SUM(AS13:AV36)</f>
        <v>0</v>
      </c>
      <c r="AT37" s="106"/>
      <c r="AU37" s="106">
        <f>COUNT(AS13:AV36)*4</f>
        <v>0</v>
      </c>
      <c r="AV37" s="106"/>
      <c r="AW37" s="106">
        <f>SUM(AW13:AZ36)</f>
        <v>0</v>
      </c>
      <c r="AX37" s="106"/>
      <c r="AY37" s="106">
        <f>COUNT(AW13:AZ36)*4</f>
        <v>0</v>
      </c>
      <c r="AZ37" s="106"/>
      <c r="BA37" s="106">
        <f>SUM(BA13:BD36)</f>
        <v>0</v>
      </c>
      <c r="BB37" s="106"/>
      <c r="BC37" s="106">
        <f>COUNT(BA13:BD36)*4</f>
        <v>0</v>
      </c>
      <c r="BD37" s="106"/>
      <c r="BE37" s="106">
        <f>SUM(BE13:BH36)</f>
        <v>0</v>
      </c>
      <c r="BF37" s="106"/>
      <c r="BG37" s="106">
        <f>COUNT(BE13:BH36)*4</f>
        <v>0</v>
      </c>
      <c r="BH37" s="106"/>
      <c r="BI37" s="106">
        <f>SUM(BI13:BL36)</f>
        <v>0</v>
      </c>
      <c r="BJ37" s="106"/>
      <c r="BK37" s="106">
        <f>COUNT(BI13:BL36)*4</f>
        <v>0</v>
      </c>
      <c r="BL37" s="106"/>
      <c r="BM37" s="115">
        <f>SUM(BM13:BP36)</f>
        <v>0</v>
      </c>
      <c r="BN37" s="115"/>
      <c r="BO37" s="115">
        <f>COUNT(BM13:BP36)*4</f>
        <v>0</v>
      </c>
      <c r="BP37" s="115"/>
      <c r="BQ37" s="115">
        <f>SUM(BQ13:BT36)</f>
        <v>0</v>
      </c>
      <c r="BR37" s="115"/>
      <c r="BS37" s="115">
        <f>COUNT(BQ13:BT36)*4</f>
        <v>0</v>
      </c>
      <c r="BT37" s="115"/>
      <c r="BU37" s="115">
        <f>SUM(BU13:BX36)</f>
        <v>0</v>
      </c>
      <c r="BV37" s="115"/>
      <c r="BW37" s="115">
        <f>COUNT(BU13:BX36)*4</f>
        <v>0</v>
      </c>
      <c r="BX37" s="115"/>
      <c r="BY37" s="115">
        <f>SUM(BY13:CB36)</f>
        <v>0</v>
      </c>
      <c r="BZ37" s="115"/>
      <c r="CA37" s="115">
        <f>COUNT(BY13:CB36)*4</f>
        <v>0</v>
      </c>
      <c r="CB37" s="115"/>
      <c r="CC37" s="115">
        <f>SUM(CC13:CF36)</f>
        <v>0</v>
      </c>
      <c r="CD37" s="115"/>
      <c r="CE37" s="115">
        <f>COUNT(CC13:CF36)*4</f>
        <v>0</v>
      </c>
      <c r="CF37" s="115"/>
      <c r="CG37" s="39"/>
    </row>
    <row r="38" spans="2:117" ht="14.45" customHeight="1" x14ac:dyDescent="0.25">
      <c r="B38" s="90" t="s">
        <v>37</v>
      </c>
      <c r="C38" s="90"/>
      <c r="E38" s="116">
        <f>IFERROR(E37/G37,"")</f>
        <v>1</v>
      </c>
      <c r="F38" s="117"/>
      <c r="G38" s="117"/>
      <c r="H38" s="118"/>
      <c r="I38" s="116">
        <f>IFERROR(I37/K37,"")</f>
        <v>1</v>
      </c>
      <c r="J38" s="117"/>
      <c r="K38" s="117"/>
      <c r="L38" s="118"/>
      <c r="M38" s="116">
        <f>IFERROR(M37/O37,"")</f>
        <v>1</v>
      </c>
      <c r="N38" s="117"/>
      <c r="O38" s="117"/>
      <c r="P38" s="118"/>
      <c r="Q38" s="116">
        <f>IFERROR(Q37/S37,"")</f>
        <v>1</v>
      </c>
      <c r="R38" s="117"/>
      <c r="S38" s="117"/>
      <c r="T38" s="118"/>
      <c r="U38" s="116">
        <f>IFERROR(U37/W37,"")</f>
        <v>1</v>
      </c>
      <c r="V38" s="117"/>
      <c r="W38" s="117"/>
      <c r="X38" s="118"/>
      <c r="Y38" s="116">
        <f>IFERROR(Y37/AA37,"")</f>
        <v>1</v>
      </c>
      <c r="Z38" s="117"/>
      <c r="AA38" s="117"/>
      <c r="AB38" s="118"/>
      <c r="AC38" s="116">
        <f>IFERROR(AC37/AE37,"")</f>
        <v>0.875</v>
      </c>
      <c r="AD38" s="117"/>
      <c r="AE38" s="117"/>
      <c r="AF38" s="118"/>
      <c r="AG38" s="107" t="str">
        <f>IFERROR(AG37/AI37,"")</f>
        <v/>
      </c>
      <c r="AH38" s="107"/>
      <c r="AI38" s="107"/>
      <c r="AJ38" s="107"/>
      <c r="AK38" s="107" t="str">
        <f>IFERROR(AK37/AM37,"")</f>
        <v/>
      </c>
      <c r="AL38" s="107"/>
      <c r="AM38" s="107"/>
      <c r="AN38" s="107"/>
      <c r="AO38" s="107" t="str">
        <f>IFERROR(AO37/AQ37,"")</f>
        <v/>
      </c>
      <c r="AP38" s="107"/>
      <c r="AQ38" s="107"/>
      <c r="AR38" s="107"/>
      <c r="AS38" s="107" t="str">
        <f>IFERROR(AS37/AU37,"")</f>
        <v/>
      </c>
      <c r="AT38" s="107"/>
      <c r="AU38" s="107"/>
      <c r="AV38" s="107"/>
      <c r="AW38" s="107" t="str">
        <f>IFERROR(AW37/AY37,"")</f>
        <v/>
      </c>
      <c r="AX38" s="107"/>
      <c r="AY38" s="107"/>
      <c r="AZ38" s="107"/>
      <c r="BA38" s="107" t="str">
        <f>IFERROR(BA37/BC37,"")</f>
        <v/>
      </c>
      <c r="BB38" s="107"/>
      <c r="BC38" s="107"/>
      <c r="BD38" s="107"/>
      <c r="BE38" s="107" t="str">
        <f>IFERROR(BE37/BG37,"")</f>
        <v/>
      </c>
      <c r="BF38" s="107"/>
      <c r="BG38" s="107"/>
      <c r="BH38" s="107"/>
      <c r="BI38" s="107" t="str">
        <f>IFERROR(BI37/BK37,"")</f>
        <v/>
      </c>
      <c r="BJ38" s="107"/>
      <c r="BK38" s="107"/>
      <c r="BL38" s="107"/>
      <c r="BM38" s="116" t="str">
        <f>IFERROR(BM37/BO37,"")</f>
        <v/>
      </c>
      <c r="BN38" s="117"/>
      <c r="BO38" s="117"/>
      <c r="BP38" s="118"/>
      <c r="BQ38" s="116" t="str">
        <f>IFERROR(BQ37/BS37,"")</f>
        <v/>
      </c>
      <c r="BR38" s="117"/>
      <c r="BS38" s="117"/>
      <c r="BT38" s="118"/>
      <c r="BU38" s="116" t="str">
        <f>IFERROR(BU37/BW37,"")</f>
        <v/>
      </c>
      <c r="BV38" s="117"/>
      <c r="BW38" s="117"/>
      <c r="BX38" s="118"/>
      <c r="BY38" s="116" t="str">
        <f>IFERROR(BY37/CA37,"")</f>
        <v/>
      </c>
      <c r="BZ38" s="117"/>
      <c r="CA38" s="117"/>
      <c r="CB38" s="118"/>
      <c r="CC38" s="116" t="str">
        <f>IFERROR(CC37/CE37,"")</f>
        <v/>
      </c>
      <c r="CD38" s="117"/>
      <c r="CE38" s="117"/>
      <c r="CF38" s="118"/>
      <c r="CG38" s="40"/>
      <c r="CH38" s="111" t="s">
        <v>38</v>
      </c>
      <c r="CI38" s="112"/>
      <c r="CJ38" s="109">
        <f>IFERROR(AVERAGE(E38:CF39),"")</f>
        <v>0.9821428571428571</v>
      </c>
      <c r="CN38"/>
      <c r="CO38"/>
      <c r="CP38"/>
      <c r="CQ38"/>
      <c r="CR38"/>
      <c r="CS38"/>
      <c r="CT38"/>
      <c r="CU38"/>
      <c r="CV38"/>
      <c r="CW38"/>
      <c r="CX38"/>
      <c r="CY38"/>
      <c r="CZ38"/>
      <c r="DA38"/>
      <c r="DL38"/>
      <c r="DM38"/>
    </row>
    <row r="39" spans="2:117" ht="15.75" x14ac:dyDescent="0.25">
      <c r="B39" s="90"/>
      <c r="C39" s="90"/>
      <c r="D39" s="41"/>
      <c r="E39" s="119"/>
      <c r="F39" s="120"/>
      <c r="G39" s="120"/>
      <c r="H39" s="121"/>
      <c r="I39" s="119"/>
      <c r="J39" s="120"/>
      <c r="K39" s="120"/>
      <c r="L39" s="121"/>
      <c r="M39" s="119"/>
      <c r="N39" s="120"/>
      <c r="O39" s="120"/>
      <c r="P39" s="121"/>
      <c r="Q39" s="119"/>
      <c r="R39" s="120"/>
      <c r="S39" s="120"/>
      <c r="T39" s="121"/>
      <c r="U39" s="119"/>
      <c r="V39" s="120"/>
      <c r="W39" s="120"/>
      <c r="X39" s="121"/>
      <c r="Y39" s="119"/>
      <c r="Z39" s="120"/>
      <c r="AA39" s="120"/>
      <c r="AB39" s="121"/>
      <c r="AC39" s="119"/>
      <c r="AD39" s="120"/>
      <c r="AE39" s="120"/>
      <c r="AF39" s="121"/>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19"/>
      <c r="BN39" s="120"/>
      <c r="BO39" s="120"/>
      <c r="BP39" s="121"/>
      <c r="BQ39" s="119"/>
      <c r="BR39" s="120"/>
      <c r="BS39" s="120"/>
      <c r="BT39" s="121"/>
      <c r="BU39" s="119"/>
      <c r="BV39" s="120"/>
      <c r="BW39" s="120"/>
      <c r="BX39" s="121"/>
      <c r="BY39" s="119"/>
      <c r="BZ39" s="120"/>
      <c r="CA39" s="120"/>
      <c r="CB39" s="121"/>
      <c r="CC39" s="119"/>
      <c r="CD39" s="120"/>
      <c r="CE39" s="120"/>
      <c r="CF39" s="121"/>
      <c r="CG39" s="42"/>
      <c r="CH39" s="113"/>
      <c r="CI39" s="114"/>
      <c r="CJ39" s="110"/>
      <c r="CK39" s="20"/>
      <c r="CN39"/>
      <c r="CO39"/>
      <c r="CP39"/>
      <c r="CQ39"/>
      <c r="CR39"/>
      <c r="CS39"/>
      <c r="CT39"/>
      <c r="CU39"/>
      <c r="CV39"/>
      <c r="CW39"/>
      <c r="CX39"/>
      <c r="CY39"/>
      <c r="CZ39"/>
      <c r="DA39"/>
      <c r="DL39"/>
      <c r="DM39"/>
    </row>
    <row r="40" spans="2:117" x14ac:dyDescent="0.25">
      <c r="CH40"/>
      <c r="CI40"/>
    </row>
    <row r="41" spans="2:117" x14ac:dyDescent="0.25">
      <c r="CH41"/>
      <c r="CI41"/>
    </row>
  </sheetData>
  <mergeCells count="253">
    <mergeCell ref="B3:B4"/>
    <mergeCell ref="C3:C4"/>
    <mergeCell ref="E3:CF4"/>
    <mergeCell ref="CH3:CJ4"/>
    <mergeCell ref="B5:B6"/>
    <mergeCell ref="C5:C6"/>
    <mergeCell ref="CH5:CH8"/>
    <mergeCell ref="CI5:CI8"/>
    <mergeCell ref="CJ5:CJ8"/>
    <mergeCell ref="B7:B8"/>
    <mergeCell ref="C7:C8"/>
    <mergeCell ref="E8:H8"/>
    <mergeCell ref="U8:X8"/>
    <mergeCell ref="AK8:AN8"/>
    <mergeCell ref="BA8:BD8"/>
    <mergeCell ref="BQ8:BT8"/>
    <mergeCell ref="B10:C12"/>
    <mergeCell ref="E10:CF10"/>
    <mergeCell ref="CH10:CH12"/>
    <mergeCell ref="CI10:CI12"/>
    <mergeCell ref="CJ10:CJ12"/>
    <mergeCell ref="E11:H12"/>
    <mergeCell ref="I11:L12"/>
    <mergeCell ref="M11:P12"/>
    <mergeCell ref="Q11:T12"/>
    <mergeCell ref="BQ11:BT12"/>
    <mergeCell ref="BU11:BX12"/>
    <mergeCell ref="BY11:CB12"/>
    <mergeCell ref="CC11:CF12"/>
    <mergeCell ref="CJ13:CJ16"/>
    <mergeCell ref="CH15:CH16"/>
    <mergeCell ref="CI15:CI16"/>
    <mergeCell ref="E16:H16"/>
    <mergeCell ref="I16:L16"/>
    <mergeCell ref="AS11:AV12"/>
    <mergeCell ref="AW11:AZ12"/>
    <mergeCell ref="BA11:BD12"/>
    <mergeCell ref="BE11:BH12"/>
    <mergeCell ref="BI11:BL12"/>
    <mergeCell ref="U11:X12"/>
    <mergeCell ref="Y11:AB12"/>
    <mergeCell ref="AC11:AF12"/>
    <mergeCell ref="AG11:AJ12"/>
    <mergeCell ref="AK11:AN12"/>
    <mergeCell ref="AO11:AR12"/>
    <mergeCell ref="BI16:BL16"/>
    <mergeCell ref="AK16:AN16"/>
    <mergeCell ref="AO16:AR16"/>
    <mergeCell ref="AS16:AV16"/>
    <mergeCell ref="AW16:AZ16"/>
    <mergeCell ref="BA16:BD16"/>
    <mergeCell ref="BE16:BH16"/>
    <mergeCell ref="CJ17:CJ20"/>
    <mergeCell ref="CH19:CH20"/>
    <mergeCell ref="CI19:CI20"/>
    <mergeCell ref="E20:H20"/>
    <mergeCell ref="I20:L20"/>
    <mergeCell ref="M20:P20"/>
    <mergeCell ref="Q20:T20"/>
    <mergeCell ref="U20:X20"/>
    <mergeCell ref="Y20:AB20"/>
    <mergeCell ref="BA20:BD20"/>
    <mergeCell ref="BE20:BH20"/>
    <mergeCell ref="BI20:BL20"/>
    <mergeCell ref="AC20:AF20"/>
    <mergeCell ref="AG20:AJ20"/>
    <mergeCell ref="AK20:AN20"/>
    <mergeCell ref="AO20:AR20"/>
    <mergeCell ref="AS20:AV20"/>
    <mergeCell ref="M24:P24"/>
    <mergeCell ref="Q24:T24"/>
    <mergeCell ref="M16:P16"/>
    <mergeCell ref="Q16:T16"/>
    <mergeCell ref="U16:X16"/>
    <mergeCell ref="Y16:AB16"/>
    <mergeCell ref="AC16:AF16"/>
    <mergeCell ref="AG16:AJ16"/>
    <mergeCell ref="B17:C20"/>
    <mergeCell ref="B13:C16"/>
    <mergeCell ref="B21:C24"/>
    <mergeCell ref="M28:P28"/>
    <mergeCell ref="AW20:AZ20"/>
    <mergeCell ref="CJ25:CJ28"/>
    <mergeCell ref="CH27:CH28"/>
    <mergeCell ref="CI27:CI28"/>
    <mergeCell ref="E28:H28"/>
    <mergeCell ref="I28:L28"/>
    <mergeCell ref="AS24:AV24"/>
    <mergeCell ref="AW24:AZ24"/>
    <mergeCell ref="BA24:BD24"/>
    <mergeCell ref="BE24:BH24"/>
    <mergeCell ref="BI24:BL24"/>
    <mergeCell ref="U24:X24"/>
    <mergeCell ref="Y24:AB24"/>
    <mergeCell ref="AC24:AF24"/>
    <mergeCell ref="AG24:AJ24"/>
    <mergeCell ref="AK24:AN24"/>
    <mergeCell ref="AO24:AR24"/>
    <mergeCell ref="CJ21:CJ24"/>
    <mergeCell ref="CH23:CH24"/>
    <mergeCell ref="CI23:CI24"/>
    <mergeCell ref="E24:H24"/>
    <mergeCell ref="I24:L24"/>
    <mergeCell ref="B29:C32"/>
    <mergeCell ref="CJ29:CJ32"/>
    <mergeCell ref="CH31:CH32"/>
    <mergeCell ref="CI31:CI32"/>
    <mergeCell ref="E32:H32"/>
    <mergeCell ref="I32:L32"/>
    <mergeCell ref="M32:P32"/>
    <mergeCell ref="U28:X28"/>
    <mergeCell ref="Y28:AB28"/>
    <mergeCell ref="AC28:AF28"/>
    <mergeCell ref="AG28:AJ28"/>
    <mergeCell ref="B25:C28"/>
    <mergeCell ref="BA32:BD32"/>
    <mergeCell ref="BE32:BH32"/>
    <mergeCell ref="BI32:BL32"/>
    <mergeCell ref="AC32:AF32"/>
    <mergeCell ref="AG32:AJ32"/>
    <mergeCell ref="AK32:AN32"/>
    <mergeCell ref="AO32:AR32"/>
    <mergeCell ref="AS32:AV32"/>
    <mergeCell ref="AW32:AZ32"/>
    <mergeCell ref="BC37:BD37"/>
    <mergeCell ref="B33:C36"/>
    <mergeCell ref="CJ33:CJ36"/>
    <mergeCell ref="CH35:CH36"/>
    <mergeCell ref="CI35:CI36"/>
    <mergeCell ref="E36:H36"/>
    <mergeCell ref="I36:L36"/>
    <mergeCell ref="M36:P36"/>
    <mergeCell ref="Q36:T36"/>
    <mergeCell ref="AY37:AZ37"/>
    <mergeCell ref="BU36:BX36"/>
    <mergeCell ref="BY36:CB36"/>
    <mergeCell ref="CC36:CF36"/>
    <mergeCell ref="E37:F37"/>
    <mergeCell ref="G37:H37"/>
    <mergeCell ref="I37:J37"/>
    <mergeCell ref="K37:L37"/>
    <mergeCell ref="M37:N37"/>
    <mergeCell ref="O37:P37"/>
    <mergeCell ref="AS36:AV36"/>
    <mergeCell ref="AW36:AZ36"/>
    <mergeCell ref="BA36:BD36"/>
    <mergeCell ref="BE36:BH36"/>
    <mergeCell ref="BI36:BL36"/>
    <mergeCell ref="U36:X36"/>
    <mergeCell ref="Y36:AB36"/>
    <mergeCell ref="AC36:AF36"/>
    <mergeCell ref="AG36:AJ36"/>
    <mergeCell ref="AK36:AN36"/>
    <mergeCell ref="AO36:AR36"/>
    <mergeCell ref="BU37:BV37"/>
    <mergeCell ref="BW37:BX37"/>
    <mergeCell ref="BA37:BB37"/>
    <mergeCell ref="B38:C39"/>
    <mergeCell ref="E38:H39"/>
    <mergeCell ref="I38:L39"/>
    <mergeCell ref="M38:P39"/>
    <mergeCell ref="Q38:T39"/>
    <mergeCell ref="U38:X39"/>
    <mergeCell ref="BM37:BN37"/>
    <mergeCell ref="BO37:BP37"/>
    <mergeCell ref="BQ37:BR37"/>
    <mergeCell ref="AC37:AD37"/>
    <mergeCell ref="AE37:AF37"/>
    <mergeCell ref="AG37:AH37"/>
    <mergeCell ref="AI37:AJ37"/>
    <mergeCell ref="AK37:AL37"/>
    <mergeCell ref="AM37:AN37"/>
    <mergeCell ref="Q37:R37"/>
    <mergeCell ref="S37:T37"/>
    <mergeCell ref="U37:V37"/>
    <mergeCell ref="W37:X37"/>
    <mergeCell ref="Y37:Z37"/>
    <mergeCell ref="AA37:AB37"/>
    <mergeCell ref="BQ38:BT39"/>
    <mergeCell ref="BM38:BP39"/>
    <mergeCell ref="BE37:BF37"/>
    <mergeCell ref="BU38:BX39"/>
    <mergeCell ref="BY38:CB39"/>
    <mergeCell ref="CC38:CF39"/>
    <mergeCell ref="CH38:CI39"/>
    <mergeCell ref="CJ38:CJ39"/>
    <mergeCell ref="I5:T8"/>
    <mergeCell ref="Y5:AJ8"/>
    <mergeCell ref="AO5:AZ8"/>
    <mergeCell ref="BE5:BP8"/>
    <mergeCell ref="BU5:CF8"/>
    <mergeCell ref="AW38:AZ39"/>
    <mergeCell ref="BA38:BD39"/>
    <mergeCell ref="BE38:BH39"/>
    <mergeCell ref="BI38:BL39"/>
    <mergeCell ref="Y38:AB39"/>
    <mergeCell ref="AC38:AF39"/>
    <mergeCell ref="AG38:AJ39"/>
    <mergeCell ref="AK38:AN39"/>
    <mergeCell ref="AO38:AR39"/>
    <mergeCell ref="AS38:AV39"/>
    <mergeCell ref="BY37:BZ37"/>
    <mergeCell ref="CA37:CB37"/>
    <mergeCell ref="CC37:CD37"/>
    <mergeCell ref="CE37:CF37"/>
    <mergeCell ref="BM36:BP36"/>
    <mergeCell ref="BM24:BP24"/>
    <mergeCell ref="BM11:BP12"/>
    <mergeCell ref="BS37:BT37"/>
    <mergeCell ref="BQ36:BT36"/>
    <mergeCell ref="Q32:T32"/>
    <mergeCell ref="U32:X32"/>
    <mergeCell ref="Y32:AB32"/>
    <mergeCell ref="BI28:BL28"/>
    <mergeCell ref="AK28:AN28"/>
    <mergeCell ref="AO28:AR28"/>
    <mergeCell ref="AS28:AV28"/>
    <mergeCell ref="AW28:AZ28"/>
    <mergeCell ref="BA28:BD28"/>
    <mergeCell ref="BE28:BH28"/>
    <mergeCell ref="Q28:T28"/>
    <mergeCell ref="BG37:BH37"/>
    <mergeCell ref="BI37:BJ37"/>
    <mergeCell ref="BK37:BL37"/>
    <mergeCell ref="AO37:AP37"/>
    <mergeCell ref="AQ37:AR37"/>
    <mergeCell ref="AS37:AT37"/>
    <mergeCell ref="AU37:AV37"/>
    <mergeCell ref="AW37:AX37"/>
    <mergeCell ref="BU20:BX20"/>
    <mergeCell ref="BQ20:BT20"/>
    <mergeCell ref="BM20:BP20"/>
    <mergeCell ref="CC16:CF16"/>
    <mergeCell ref="BY16:CB16"/>
    <mergeCell ref="BU16:BX16"/>
    <mergeCell ref="BQ16:BT16"/>
    <mergeCell ref="BM16:BP16"/>
    <mergeCell ref="BU32:BX32"/>
    <mergeCell ref="BQ32:BT32"/>
    <mergeCell ref="BM32:BP32"/>
    <mergeCell ref="CC28:CF28"/>
    <mergeCell ref="BY28:CB28"/>
    <mergeCell ref="BU28:BX28"/>
    <mergeCell ref="BQ28:BT28"/>
    <mergeCell ref="BM28:BP28"/>
    <mergeCell ref="BY32:CB32"/>
    <mergeCell ref="CC32:CF32"/>
    <mergeCell ref="BY20:CB20"/>
    <mergeCell ref="CC20:CF20"/>
    <mergeCell ref="BQ24:BT24"/>
    <mergeCell ref="BU24:BX24"/>
    <mergeCell ref="BY24:CB24"/>
    <mergeCell ref="CC24:CF24"/>
  </mergeCells>
  <conditionalFormatting sqref="C3:C6">
    <cfRule type="containsBlanks" dxfId="67" priority="37">
      <formula>LEN(TRIM(C3))=0</formula>
    </cfRule>
  </conditionalFormatting>
  <conditionalFormatting sqref="F6">
    <cfRule type="expression" dxfId="66" priority="24" stopIfTrue="1">
      <formula>AND(E8&gt;0)</formula>
    </cfRule>
  </conditionalFormatting>
  <conditionalFormatting sqref="F7">
    <cfRule type="expression" dxfId="65" priority="22" stopIfTrue="1">
      <formula>AND(E8&gt;2)</formula>
    </cfRule>
  </conditionalFormatting>
  <conditionalFormatting sqref="F14 F18 F22 F26 F30 F34">
    <cfRule type="expression" dxfId="64" priority="4" stopIfTrue="1">
      <formula>AND(E16&gt;0)</formula>
    </cfRule>
  </conditionalFormatting>
  <conditionalFormatting sqref="F15 F19 F23 F27 F31 F35">
    <cfRule type="expression" dxfId="63" priority="2" stopIfTrue="1">
      <formula>AND(E16&gt;2)</formula>
    </cfRule>
  </conditionalFormatting>
  <conditionalFormatting sqref="G6">
    <cfRule type="expression" dxfId="62" priority="23" stopIfTrue="1">
      <formula>AND(E8&gt;1)</formula>
    </cfRule>
  </conditionalFormatting>
  <conditionalFormatting sqref="G7">
    <cfRule type="expression" dxfId="61" priority="21" stopIfTrue="1">
      <formula>AND(E8&gt;3)</formula>
    </cfRule>
  </conditionalFormatting>
  <conditionalFormatting sqref="G14 G18 G22 G26 G30 G34">
    <cfRule type="expression" dxfId="60" priority="3" stopIfTrue="1">
      <formula>AND(E16&gt;1)</formula>
    </cfRule>
  </conditionalFormatting>
  <conditionalFormatting sqref="G15 G19 G23 G27 G31 G35">
    <cfRule type="expression" dxfId="59" priority="1" stopIfTrue="1">
      <formula>AND(E16&gt;3)</formula>
    </cfRule>
  </conditionalFormatting>
  <conditionalFormatting sqref="J14 N14 R14 V14 Z14 AD14 AH14 AL14 AP14 AT14 AX14 BB14 BF14 BJ14 BN14 BR14 BV14 BZ14 CD14 J18 N18 R18 V18 Z18 AD18 AH18 AL18 AP18 AT18 AX18 BB18 BF18 BJ18 BN18 BR18 BV18 BZ18 CD18 J22 N22 R22 V22 Z22 AD22 AH22 AL22 AP22 AT22 AX22 BB22 BF22 BJ22 BN22 BR22 BV22 BZ22 CD22 J26 N26 R26 V26 Z26 AD26 AH26 AL26 AP26 AT26 AX26 BB26 BF26 BJ26 BN26 BR26 BV26 BZ26 CD26 J30 N30 R30 V30 Z30 AD30 AH30 AL30 AP30 AT30 AX30 BB30 BF30 BJ30 BN30 BR30 BV30 BZ30 CD30 J34 N34 R34 V34 Z34 AD34 AH34 AL34 AP34 AT34 AX34 BB34 BF34 BJ34 BN34 BR34 BV34 BZ34 CD34">
    <cfRule type="expression" dxfId="58" priority="32" stopIfTrue="1">
      <formula>AND(I16&gt;0)</formula>
    </cfRule>
  </conditionalFormatting>
  <conditionalFormatting sqref="J15 N15 R15 V15 Z15 AD15 AH15 AL15 AP15 AT15 AX15 BB15 BF15 BJ15 BN15 BR15 BV15 BZ15 CD15 J19 N19 R19 V19 Z19 AD19 AH19 AL19 AP19 AT19 AX19 BB19 BF19 BJ19 BN19 BR19 BV19 BZ19 CD19 J23 N23 R23 V23 Z23 AD23 AH23 AL23 AP23 AT23 AX23 BB23 BF23 BJ23 BN23 BR23 BV23 BZ23 CD23 J27 N27 R27 V27 Z27 AD27 AH27 AL27 AP27 AT27 AX27 BB27 BF27 BJ27 BN27 BR27 BV27 BZ27 CD27 J31 N31 R31 V31 Z31 AD31 AH31 AL31 AP31 AT31 AX31 BB31 BF31 BJ31 BN31 BR31 BV31 BZ31 CD31 J35 N35 R35 V35 Z35 AD35 AH35 AL35 AP35 AT35 AX35 BB35 BF35 BJ35 BN35 BR35 BV35 BZ35 CD35">
    <cfRule type="expression" dxfId="57" priority="30" stopIfTrue="1">
      <formula>AND(I16&gt;2)</formula>
    </cfRule>
  </conditionalFormatting>
  <conditionalFormatting sqref="K14 O14 S14 W14 AA14 AE14 AI14 AM14 AQ14 AU14 AY14 BC14 BG14 BK14 BO14 BS14 BW14 CA14 CE14 K18 O18 S18 W18 AA18 AE18 AI18 AM18 AQ18 AU18 AY18 BC18 BG18 BK18 BO18 BS18 BW18 CA18 CE18 K22 O22 S22 W22 AA22 AE22 AI22 AM22 AQ22 AU22 AY22 BC22 BG22 BK22 BO22 BS22 BW22 CA22 CE22 K26 O26 S26 W26 AA26 AE26 AI26 AM26 AQ26 AU26 AY26 BC26 BG26 BK26 BO26 BS26 BW26 CA26 CE26 K30 O30 S30 W30 AA30 AE30 AI30 AM30 AQ30 AU30 AY30 BC30 BG30 BK30 BO30 BS30 BW30 CA30 CE30 K34 O34 S34 W34 AA34 AE34 AI34 AM34 AQ34 AU34 AY34 BC34 BG34 BK34 BO34 BS34 BW34 CA34 CE34">
    <cfRule type="expression" dxfId="56" priority="31" stopIfTrue="1">
      <formula>AND(I16&gt;1)</formula>
    </cfRule>
  </conditionalFormatting>
  <conditionalFormatting sqref="K15 O15 S15 W15 AA15 AE15 AI15 AM15 AQ15 AU15 AY15 BC15 BG15 BK15 BO15 BS15 BW15 CA15 CE15 K19 O19 S19 W19 AA19 AE19 AI19 AM19 AQ19 AU19 AY19 BC19 BG19 BK19 BO19 BS19 BW19 CA19 CE19 K23 O23 S23 W23 AA23 AE23 AI23 AM23 AQ23 AU23 AY23 BC23 BG23 BK23 BO23 BS23 BW23 CA23 CE23 K27 O27 S27 W27 AA27 AE27 AI27 AM27 AQ27 AU27 AY27 BC27 BG27 BK27 BO27 BS27 BW27 CA27 CE27 K31 O31 S31 W31 AA31 AE31 AI31 AM31 AQ31 AU31 AY31 BC31 BG31 BK31 BO31 BS31 BW31 CA31 CE31 K35 O35 S35 W35 AA35 AE35 AI35 AM35 AQ35 AU35 AY35 BC35 BG35 BK35 BO35 BS35 BW35 CA35 CE35">
    <cfRule type="expression" dxfId="55" priority="29" stopIfTrue="1">
      <formula>AND(I16&gt;3)</formula>
    </cfRule>
  </conditionalFormatting>
  <conditionalFormatting sqref="V6">
    <cfRule type="expression" dxfId="54" priority="20" stopIfTrue="1">
      <formula>AND(U8&gt;0)</formula>
    </cfRule>
  </conditionalFormatting>
  <conditionalFormatting sqref="V7">
    <cfRule type="expression" dxfId="53" priority="18" stopIfTrue="1">
      <formula>AND(U8&gt;2)</formula>
    </cfRule>
  </conditionalFormatting>
  <conditionalFormatting sqref="W6">
    <cfRule type="expression" dxfId="52" priority="19" stopIfTrue="1">
      <formula>AND(U8&gt;1)</formula>
    </cfRule>
  </conditionalFormatting>
  <conditionalFormatting sqref="W7">
    <cfRule type="expression" dxfId="51" priority="17" stopIfTrue="1">
      <formula>AND(U8&gt;3)</formula>
    </cfRule>
  </conditionalFormatting>
  <conditionalFormatting sqref="AL6">
    <cfRule type="expression" dxfId="50" priority="16" stopIfTrue="1">
      <formula>AND(AK8&gt;0)</formula>
    </cfRule>
  </conditionalFormatting>
  <conditionalFormatting sqref="AL7">
    <cfRule type="expression" dxfId="49" priority="14" stopIfTrue="1">
      <formula>AND(AK8&gt;2)</formula>
    </cfRule>
  </conditionalFormatting>
  <conditionalFormatting sqref="AM6">
    <cfRule type="expression" dxfId="48" priority="15" stopIfTrue="1">
      <formula>AND(AK8&gt;1)</formula>
    </cfRule>
  </conditionalFormatting>
  <conditionalFormatting sqref="AM7">
    <cfRule type="expression" dxfId="47" priority="13" stopIfTrue="1">
      <formula>AND(AK8&gt;3)</formula>
    </cfRule>
  </conditionalFormatting>
  <conditionalFormatting sqref="BB6">
    <cfRule type="expression" dxfId="46" priority="12" stopIfTrue="1">
      <formula>AND(BA8&gt;0)</formula>
    </cfRule>
  </conditionalFormatting>
  <conditionalFormatting sqref="BB7">
    <cfRule type="expression" dxfId="45" priority="10" stopIfTrue="1">
      <formula>AND(BA8&gt;2)</formula>
    </cfRule>
  </conditionalFormatting>
  <conditionalFormatting sqref="BC6">
    <cfRule type="expression" dxfId="44" priority="11" stopIfTrue="1">
      <formula>AND(BA8&gt;1)</formula>
    </cfRule>
  </conditionalFormatting>
  <conditionalFormatting sqref="BC7">
    <cfRule type="expression" dxfId="43" priority="9" stopIfTrue="1">
      <formula>AND(BA8&gt;3)</formula>
    </cfRule>
  </conditionalFormatting>
  <conditionalFormatting sqref="BR6">
    <cfRule type="expression" dxfId="42" priority="8" stopIfTrue="1">
      <formula>AND(BQ8&gt;0)</formula>
    </cfRule>
  </conditionalFormatting>
  <conditionalFormatting sqref="BR7">
    <cfRule type="expression" dxfId="41" priority="6" stopIfTrue="1">
      <formula>AND(BQ8&gt;2)</formula>
    </cfRule>
  </conditionalFormatting>
  <conditionalFormatting sqref="BS6">
    <cfRule type="expression" dxfId="40" priority="7" stopIfTrue="1">
      <formula>AND(BQ8&gt;1)</formula>
    </cfRule>
  </conditionalFormatting>
  <conditionalFormatting sqref="BS7">
    <cfRule type="expression" dxfId="39" priority="5" stopIfTrue="1">
      <formula>AND(BQ8&gt;3)</formula>
    </cfRule>
  </conditionalFormatting>
  <conditionalFormatting sqref="CJ13:CJ36">
    <cfRule type="cellIs" dxfId="38" priority="38" operator="equal">
      <formula>1</formula>
    </cfRule>
    <cfRule type="cellIs" dxfId="37" priority="39" operator="equal">
      <formula>2</formula>
    </cfRule>
    <cfRule type="cellIs" dxfId="36" priority="40"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83EAF9745DEBB4BA9D907C03643FB7A" ma:contentTypeVersion="7" ma:contentTypeDescription="Crear nuevo documento." ma:contentTypeScope="" ma:versionID="67cf3e2dcdfa59c6f4b171543a1f2c59">
  <xsd:schema xmlns:xsd="http://www.w3.org/2001/XMLSchema" xmlns:xs="http://www.w3.org/2001/XMLSchema" xmlns:p="http://schemas.microsoft.com/office/2006/metadata/properties" xmlns:ns2="3ebc4755-f08e-47c5-ad60-3ea58cd281a4" targetNamespace="http://schemas.microsoft.com/office/2006/metadata/properties" ma:root="true" ma:fieldsID="f1fd1c4375ed3f6c7f769698ee9abbee" ns2:_="">
    <xsd:import namespace="3ebc4755-f08e-47c5-ad60-3ea58cd281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bc4755-f08e-47c5-ad60-3ea58cd281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4F0911-04D6-4394-8F9A-8AC4D0CCA0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bc4755-f08e-47c5-ad60-3ea58cd281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60B8BD-69A8-4819-A0AE-A91AB341708A}">
  <ds:schemaRefs>
    <ds:schemaRef ds:uri="http://schemas.microsoft.com/sharepoint/v3/contenttype/forms"/>
  </ds:schemaRefs>
</ds:datastoreItem>
</file>

<file path=customXml/itemProps3.xml><?xml version="1.0" encoding="utf-8"?>
<ds:datastoreItem xmlns:ds="http://schemas.openxmlformats.org/officeDocument/2006/customXml" ds:itemID="{100545E5-6BC1-4A4F-B6BF-CD76A48AF44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Mar26 Matriz Perfileria Sol </vt:lpstr>
      <vt:lpstr>Mar25 Matriz Perfileria Soldadu</vt:lpstr>
      <vt:lpstr>Sep25 Matriz Perfileria Soldadu</vt:lpstr>
      <vt:lpstr>'Mar25 Matriz Perfileria Soldadu'!Área_de_impresión</vt:lpstr>
      <vt:lpstr>'Mar26 Matriz Perfileria Sol '!Área_de_impresión</vt:lpstr>
      <vt:lpstr>'Sep25 Matriz Perfileria Soldadu'!Área_de_impresión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Guijarro</dc:creator>
  <cp:keywords/>
  <dc:description/>
  <cp:lastModifiedBy>Ismael Millan</cp:lastModifiedBy>
  <cp:revision/>
  <dcterms:created xsi:type="dcterms:W3CDTF">2025-05-22T12:41:29Z</dcterms:created>
  <dcterms:modified xsi:type="dcterms:W3CDTF">2026-04-22T09:51:18Z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0x010100E83EAF9745DEBB4BA9D907C03643FB7A</vt:lpwstr>
  </property>
</Properties>
</file>